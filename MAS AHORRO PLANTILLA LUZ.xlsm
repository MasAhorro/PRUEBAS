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06" codeName="{00000000-0000-0000-0000-000000000000}"/>
  <workbookPr codeName="ThisWorkbook"/>
  <mc:AlternateContent xmlns:mc="http://schemas.openxmlformats.org/markup-compatibility/2006">
    <mc:Choice Requires="x15">
      <x15ac:absPath xmlns:x15ac="http://schemas.microsoft.com/office/spreadsheetml/2010/11/ac" url="C:\Users\masah\OneDrive\Escritorio\PLANTILLAS ACTUALIZADAS\PLANTILLAS LUZ\"/>
    </mc:Choice>
  </mc:AlternateContent>
  <xr:revisionPtr revIDLastSave="115" documentId="11_2991D99F58B2D9D9307EFC18DF29B9D451EF62F9" xr6:coauthVersionLast="47" xr6:coauthVersionMax="47" xr10:uidLastSave="{D6713942-2143-4C08-826C-F6702656CF51}"/>
  <bookViews>
    <workbookView xWindow="0" yWindow="0" windowWidth="23040" windowHeight="9072" tabRatio="878" activeTab="1" xr2:uid="{00000000-000D-0000-FFFF-FFFF00000000}"/>
  </bookViews>
  <sheets>
    <sheet name="INTRODUCIR DATOS" sheetId="6" r:id="rId1"/>
    <sheet name="IMPRIMIR PRECIO FIJO" sheetId="15" r:id="rId2"/>
    <sheet name="IMPRIMIR INDEXADO" sheetId="24" state="hidden" r:id="rId3"/>
    <sheet name="RESULTADO PRECIO FIJO" sheetId="22" state="hidden" r:id="rId4"/>
    <sheet name="RESULTADO INDEXADO" sheetId="25" state="hidden" r:id="rId5"/>
    <sheet name="COMISIONES AUDAX" sheetId="12" state="hidden" r:id="rId6"/>
    <sheet name="COMISIONES ALDRO" sheetId="13" state="hidden" r:id="rId7"/>
    <sheet name="COMISIONES HOLALUZ" sheetId="28" state="hidden" r:id="rId8"/>
    <sheet name="DESCUENTOS" sheetId="26" state="hidden" r:id="rId9"/>
    <sheet name="COMISIONES TOTAL" sheetId="19" state="hidden" r:id="rId10"/>
    <sheet name="TOTAL CYE" sheetId="16" state="hidden" r:id="rId11"/>
    <sheet name="PRECIOS CYE" sheetId="17" state="hidden" r:id="rId12"/>
  </sheets>
  <externalReferences>
    <externalReference r:id="rId13"/>
    <externalReference r:id="rId14"/>
    <externalReference r:id="rId15"/>
  </externalReferences>
  <definedNames>
    <definedName name="_xlnm._FilterDatabase" localSheetId="0" hidden="1">'INTRODUCIR DATOS'!$B$8:$E$22</definedName>
    <definedName name="T0_2_0TD" localSheetId="7">#REF!</definedName>
    <definedName name="T0_2_0TD" localSheetId="2">#REF!</definedName>
    <definedName name="T0_2_0TD" localSheetId="11">'[1]PRECIOS AUDAX'!#REF!</definedName>
    <definedName name="T0_2_0TD" localSheetId="4">#REF!</definedName>
    <definedName name="T0_2_0TD" localSheetId="10">'[2]PRECIOS AUDAX'!#REF!</definedName>
    <definedName name="T0_2_0T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8" i="22" l="1"/>
  <c r="G18" i="22"/>
  <c r="J38" i="22"/>
  <c r="G28" i="22"/>
  <c r="G14" i="22"/>
  <c r="G34" i="22"/>
  <c r="G26" i="22"/>
  <c r="G24" i="22"/>
  <c r="G2" i="22"/>
  <c r="G30" i="22" l="1"/>
  <c r="G20" i="22"/>
  <c r="G36" i="22"/>
  <c r="G10" i="22"/>
  <c r="G32" i="22"/>
  <c r="H4" i="22"/>
  <c r="G6" i="22"/>
  <c r="G22" i="22"/>
  <c r="H38" i="22" l="1"/>
  <c r="I38" i="22"/>
  <c r="K38" i="22"/>
  <c r="L38" i="22"/>
  <c r="H36" i="22"/>
  <c r="I36" i="22"/>
  <c r="J36" i="22"/>
  <c r="K36" i="22"/>
  <c r="L36" i="22"/>
  <c r="H34" i="22"/>
  <c r="I34" i="22"/>
  <c r="J34" i="22"/>
  <c r="K34" i="22"/>
  <c r="L34" i="22"/>
  <c r="H30" i="22"/>
  <c r="H32" i="22"/>
  <c r="I32" i="22"/>
  <c r="J32" i="22"/>
  <c r="K32" i="22"/>
  <c r="L32" i="22"/>
  <c r="A136" i="22" l="1"/>
  <c r="A137" i="22"/>
  <c r="A138" i="22"/>
  <c r="A139" i="22"/>
  <c r="A140" i="22"/>
  <c r="A141" i="22"/>
  <c r="A142" i="22"/>
  <c r="A143" i="22"/>
  <c r="A144" i="22"/>
  <c r="A145" i="22"/>
  <c r="A146" i="22"/>
  <c r="A147" i="22"/>
  <c r="A148" i="22"/>
  <c r="A149" i="22"/>
  <c r="A150" i="22"/>
  <c r="A151" i="22"/>
  <c r="A152" i="22"/>
  <c r="D25" i="6"/>
  <c r="E206" i="15"/>
  <c r="C192" i="15"/>
  <c r="E325" i="15"/>
  <c r="E288" i="15"/>
  <c r="E251" i="15"/>
  <c r="E214" i="15"/>
  <c r="E178" i="15"/>
  <c r="E140" i="15"/>
  <c r="E67" i="15"/>
  <c r="E103" i="15"/>
  <c r="G8" i="22"/>
  <c r="G160" i="22"/>
  <c r="H160" i="22"/>
  <c r="C303" i="15"/>
  <c r="N23" i="6"/>
  <c r="K327" i="15"/>
  <c r="K324" i="15"/>
  <c r="K323" i="15"/>
  <c r="H319" i="15"/>
  <c r="E319" i="15"/>
  <c r="H318" i="15"/>
  <c r="E318" i="15"/>
  <c r="H317" i="15"/>
  <c r="E317" i="15"/>
  <c r="H314" i="15"/>
  <c r="E314" i="15"/>
  <c r="H313" i="15"/>
  <c r="E313" i="15"/>
  <c r="H312" i="15"/>
  <c r="E312" i="15"/>
  <c r="A308" i="15"/>
  <c r="H301" i="15"/>
  <c r="H300" i="15"/>
  <c r="H299" i="15"/>
  <c r="H298" i="15"/>
  <c r="H297" i="15"/>
  <c r="I28" i="6"/>
  <c r="I27" i="6"/>
  <c r="I26" i="6"/>
  <c r="I30" i="22"/>
  <c r="J30" i="22"/>
  <c r="K30" i="22"/>
  <c r="H28" i="22"/>
  <c r="I28" i="22"/>
  <c r="J28" i="22"/>
  <c r="K28" i="22"/>
  <c r="L28" i="22"/>
  <c r="H26" i="22"/>
  <c r="I26" i="22"/>
  <c r="J26" i="22"/>
  <c r="K26" i="22"/>
  <c r="L26" i="22"/>
  <c r="H24" i="22"/>
  <c r="I24" i="22"/>
  <c r="J24" i="22"/>
  <c r="K24" i="22"/>
  <c r="L24" i="22"/>
  <c r="H22" i="22"/>
  <c r="I22" i="22"/>
  <c r="J22" i="22"/>
  <c r="K22" i="22"/>
  <c r="L22" i="22"/>
  <c r="H20" i="22"/>
  <c r="H18" i="22"/>
  <c r="H16" i="22"/>
  <c r="G16" i="22"/>
  <c r="H14" i="22"/>
  <c r="H12" i="22"/>
  <c r="G12" i="22"/>
  <c r="H10" i="22"/>
  <c r="H8" i="22"/>
  <c r="H6" i="22"/>
  <c r="G4" i="22"/>
  <c r="H2" i="22"/>
  <c r="C266" i="15"/>
  <c r="N22" i="6"/>
  <c r="K290" i="15"/>
  <c r="K287" i="15"/>
  <c r="K286" i="15"/>
  <c r="H282" i="15"/>
  <c r="E282" i="15"/>
  <c r="H281" i="15"/>
  <c r="E281" i="15"/>
  <c r="H280" i="15"/>
  <c r="E280" i="15"/>
  <c r="H277" i="15"/>
  <c r="E277" i="15"/>
  <c r="H276" i="15"/>
  <c r="E276" i="15"/>
  <c r="H275" i="15"/>
  <c r="E275" i="15"/>
  <c r="A271" i="15"/>
  <c r="H264" i="15"/>
  <c r="H263" i="15"/>
  <c r="H262" i="15"/>
  <c r="H261" i="15"/>
  <c r="H260" i="15"/>
  <c r="I41" i="6"/>
  <c r="D17" i="6"/>
  <c r="M43" i="22"/>
  <c r="O43" i="22" s="1"/>
  <c r="M49" i="22"/>
  <c r="N49" i="22" s="1"/>
  <c r="M55" i="22"/>
  <c r="N55" i="22" s="1"/>
  <c r="M61" i="22"/>
  <c r="O61" i="22" s="1"/>
  <c r="M75" i="22"/>
  <c r="M81" i="22"/>
  <c r="N81" i="22" s="1"/>
  <c r="M87" i="22"/>
  <c r="M93" i="22"/>
  <c r="N93" i="22" s="1"/>
  <c r="M113" i="22"/>
  <c r="O113" i="22" s="1"/>
  <c r="M119" i="22"/>
  <c r="O119" i="22" s="1"/>
  <c r="M171" i="22"/>
  <c r="N171" i="22" s="1"/>
  <c r="J53" i="6" s="1"/>
  <c r="K53" i="6" s="1"/>
  <c r="M177" i="22"/>
  <c r="N177" i="22" s="1"/>
  <c r="J56" i="6" s="1"/>
  <c r="K56" i="6" s="1"/>
  <c r="M37" i="22"/>
  <c r="N37" i="22" s="1"/>
  <c r="M51" i="22"/>
  <c r="N51" i="22" s="1"/>
  <c r="M57" i="22"/>
  <c r="N57" i="22" s="1"/>
  <c r="J25" i="6" s="1"/>
  <c r="K25" i="6" s="1"/>
  <c r="M63" i="22"/>
  <c r="O63" i="22" s="1"/>
  <c r="M69" i="22"/>
  <c r="N69" i="22" s="1"/>
  <c r="M83" i="22"/>
  <c r="O83" i="22" s="1"/>
  <c r="M95" i="22"/>
  <c r="N95" i="22" s="1"/>
  <c r="M115" i="22"/>
  <c r="O115" i="22" s="1"/>
  <c r="M121" i="22"/>
  <c r="N121" i="22" s="1"/>
  <c r="M153" i="22"/>
  <c r="O153" i="22" s="1"/>
  <c r="M165" i="22"/>
  <c r="N165" i="22" s="1"/>
  <c r="M179" i="22"/>
  <c r="N179" i="22" s="1"/>
  <c r="J57" i="6" s="1"/>
  <c r="K57" i="6" s="1"/>
  <c r="M169" i="22"/>
  <c r="O169" i="22" s="1"/>
  <c r="M39" i="22"/>
  <c r="O39" i="22" s="1"/>
  <c r="M45" i="22"/>
  <c r="N45" i="22" s="1"/>
  <c r="J19" i="6" s="1"/>
  <c r="K19" i="6" s="1"/>
  <c r="M59" i="22"/>
  <c r="O59" i="22" s="1"/>
  <c r="M65" i="22"/>
  <c r="O65" i="22" s="1"/>
  <c r="M71" i="22"/>
  <c r="N71" i="22" s="1"/>
  <c r="M77" i="22"/>
  <c r="N77" i="22" s="1"/>
  <c r="M91" i="22"/>
  <c r="O91" i="22" s="1"/>
  <c r="M97" i="22"/>
  <c r="O97" i="22" s="1"/>
  <c r="M123" i="22"/>
  <c r="O123" i="22" s="1"/>
  <c r="M155" i="22"/>
  <c r="N155" i="22" s="1"/>
  <c r="M167" i="22"/>
  <c r="N167" i="22" s="1"/>
  <c r="J51" i="6" s="1"/>
  <c r="K51" i="6" s="1"/>
  <c r="Q22" i="6" s="1"/>
  <c r="M173" i="22"/>
  <c r="M35" i="22"/>
  <c r="O35" i="22" s="1"/>
  <c r="M41" i="22"/>
  <c r="N41" i="22" s="1"/>
  <c r="M47" i="22"/>
  <c r="N47" i="22" s="1"/>
  <c r="J20" i="6" s="1"/>
  <c r="K20" i="6" s="1"/>
  <c r="M53" i="22"/>
  <c r="N53" i="22" s="1"/>
  <c r="J23" i="6" s="1"/>
  <c r="K23" i="6" s="1"/>
  <c r="M67" i="22"/>
  <c r="N67" i="22" s="1"/>
  <c r="M73" i="22"/>
  <c r="N73" i="22" s="1"/>
  <c r="M79" i="22"/>
  <c r="N79" i="22" s="1"/>
  <c r="M85" i="22"/>
  <c r="M99" i="22"/>
  <c r="O99" i="22" s="1"/>
  <c r="M117" i="22"/>
  <c r="N117" i="22" s="1"/>
  <c r="M175" i="22"/>
  <c r="N175" i="22" s="1"/>
  <c r="J55" i="6" s="1"/>
  <c r="K55" i="6" s="1"/>
  <c r="M21" i="22"/>
  <c r="O21" i="22" s="1"/>
  <c r="M7" i="22"/>
  <c r="N7" i="22" s="1"/>
  <c r="M133" i="22"/>
  <c r="O133" i="22" s="1"/>
  <c r="M111" i="22"/>
  <c r="N111" i="22" s="1"/>
  <c r="M125" i="22"/>
  <c r="N125" i="22" s="1"/>
  <c r="M107" i="22"/>
  <c r="N107" i="22" s="1"/>
  <c r="M127" i="22"/>
  <c r="N127" i="22" s="1"/>
  <c r="M131" i="22"/>
  <c r="O131" i="22" s="1"/>
  <c r="M135" i="22"/>
  <c r="N135" i="22" s="1"/>
  <c r="M109" i="22"/>
  <c r="N109" i="22" s="1"/>
  <c r="M129" i="22"/>
  <c r="O129" i="22" s="1"/>
  <c r="M141" i="22"/>
  <c r="N141" i="22" s="1"/>
  <c r="M103" i="22"/>
  <c r="N103" i="22" s="1"/>
  <c r="J33" i="6" s="1"/>
  <c r="K33" i="6" s="1"/>
  <c r="M101" i="22"/>
  <c r="N101" i="22" s="1"/>
  <c r="J32" i="6" s="1"/>
  <c r="K32" i="6" s="1"/>
  <c r="M145" i="22"/>
  <c r="O145" i="22" s="1"/>
  <c r="M157" i="22"/>
  <c r="N157" i="22" s="1"/>
  <c r="M137" i="22"/>
  <c r="O137" i="22" s="1"/>
  <c r="M151" i="22"/>
  <c r="N151" i="22" s="1"/>
  <c r="J47" i="6" s="1"/>
  <c r="K47" i="6" s="1"/>
  <c r="M159" i="22"/>
  <c r="M143" i="22"/>
  <c r="N143" i="22" s="1"/>
  <c r="M139" i="22"/>
  <c r="N139" i="22" s="1"/>
  <c r="M149" i="22"/>
  <c r="N149" i="22" s="1"/>
  <c r="M163" i="22"/>
  <c r="N163" i="22" s="1"/>
  <c r="M147" i="22"/>
  <c r="O147" i="22" s="1"/>
  <c r="AD4" i="16"/>
  <c r="V3" i="22"/>
  <c r="V4" i="22"/>
  <c r="J43" i="6"/>
  <c r="K43" i="6" s="1"/>
  <c r="N85" i="22"/>
  <c r="O85" i="22"/>
  <c r="N173" i="22"/>
  <c r="J54" i="6" s="1"/>
  <c r="K54" i="6" s="1"/>
  <c r="O173" i="22"/>
  <c r="N87" i="22"/>
  <c r="O87" i="22"/>
  <c r="V2" i="22"/>
  <c r="V5" i="22"/>
  <c r="E58" i="25"/>
  <c r="F58" i="25"/>
  <c r="G58" i="25"/>
  <c r="I42" i="6"/>
  <c r="A85" i="24"/>
  <c r="A86" i="15"/>
  <c r="A234" i="15"/>
  <c r="G3" i="26"/>
  <c r="G2" i="26"/>
  <c r="C46" i="24"/>
  <c r="C81" i="24"/>
  <c r="K103" i="24" s="1"/>
  <c r="E102" i="24"/>
  <c r="E67" i="24"/>
  <c r="D33" i="6"/>
  <c r="D32" i="6"/>
  <c r="D26" i="6"/>
  <c r="E50" i="25"/>
  <c r="N13" i="6"/>
  <c r="N12" i="6"/>
  <c r="E3" i="25"/>
  <c r="F3" i="25"/>
  <c r="G3" i="25"/>
  <c r="H3" i="25"/>
  <c r="I3" i="25"/>
  <c r="J3" i="25"/>
  <c r="E4" i="25"/>
  <c r="F4" i="25"/>
  <c r="G4" i="25"/>
  <c r="H4" i="25"/>
  <c r="I4" i="25"/>
  <c r="J4" i="25"/>
  <c r="E5" i="25"/>
  <c r="F5" i="25"/>
  <c r="G5" i="25"/>
  <c r="H5" i="25"/>
  <c r="I5" i="25"/>
  <c r="J5" i="25"/>
  <c r="E6" i="25"/>
  <c r="F6" i="25"/>
  <c r="G6" i="25"/>
  <c r="H6" i="25"/>
  <c r="I6" i="25"/>
  <c r="J6" i="25"/>
  <c r="E7" i="25"/>
  <c r="F7" i="25"/>
  <c r="G7" i="25"/>
  <c r="H7" i="25"/>
  <c r="I7" i="25"/>
  <c r="J7" i="25"/>
  <c r="E8" i="25"/>
  <c r="F8" i="25"/>
  <c r="G8" i="25"/>
  <c r="H8" i="25"/>
  <c r="I8" i="25"/>
  <c r="J8" i="25"/>
  <c r="E9" i="25"/>
  <c r="F9" i="25"/>
  <c r="G9" i="25"/>
  <c r="H9" i="25"/>
  <c r="I9" i="25"/>
  <c r="J9" i="25"/>
  <c r="E10" i="25"/>
  <c r="F10" i="25"/>
  <c r="G10" i="25"/>
  <c r="H10" i="25"/>
  <c r="I10" i="25"/>
  <c r="J10" i="25"/>
  <c r="E11" i="25"/>
  <c r="F11" i="25"/>
  <c r="G11" i="25"/>
  <c r="H11" i="25"/>
  <c r="I11" i="25"/>
  <c r="J11" i="25"/>
  <c r="E12" i="25"/>
  <c r="F12" i="25"/>
  <c r="G12" i="25"/>
  <c r="H12" i="25"/>
  <c r="I12" i="25"/>
  <c r="J12" i="25"/>
  <c r="E13" i="25"/>
  <c r="F13" i="25"/>
  <c r="G13" i="25"/>
  <c r="H13" i="25"/>
  <c r="I13" i="25"/>
  <c r="J13" i="25"/>
  <c r="E14" i="25"/>
  <c r="F14" i="25"/>
  <c r="G14" i="25"/>
  <c r="H14" i="25"/>
  <c r="I14" i="25"/>
  <c r="J14" i="25"/>
  <c r="E15" i="25"/>
  <c r="F15" i="25"/>
  <c r="G15" i="25"/>
  <c r="H15" i="25"/>
  <c r="I15" i="25"/>
  <c r="J15" i="25"/>
  <c r="E16" i="25"/>
  <c r="F16" i="25"/>
  <c r="G16" i="25"/>
  <c r="H16" i="25"/>
  <c r="I16" i="25"/>
  <c r="J16" i="25"/>
  <c r="E17" i="25"/>
  <c r="F17" i="25"/>
  <c r="G17" i="25"/>
  <c r="H17" i="25"/>
  <c r="I17" i="25"/>
  <c r="J17" i="25"/>
  <c r="E18" i="25"/>
  <c r="F18" i="25"/>
  <c r="G18" i="25"/>
  <c r="H18" i="25"/>
  <c r="I18" i="25"/>
  <c r="J18" i="25"/>
  <c r="E19" i="25"/>
  <c r="F19" i="25"/>
  <c r="G19" i="25"/>
  <c r="H19" i="25"/>
  <c r="I19" i="25"/>
  <c r="J19" i="25"/>
  <c r="E20" i="25"/>
  <c r="F20" i="25"/>
  <c r="G20" i="25"/>
  <c r="H20" i="25"/>
  <c r="I20" i="25"/>
  <c r="J20" i="25"/>
  <c r="E21" i="25"/>
  <c r="F21" i="25"/>
  <c r="G21" i="25"/>
  <c r="H21" i="25"/>
  <c r="I21" i="25"/>
  <c r="J21" i="25"/>
  <c r="E22" i="25"/>
  <c r="F22" i="25"/>
  <c r="G22" i="25"/>
  <c r="H22" i="25"/>
  <c r="I22" i="25"/>
  <c r="J22" i="25"/>
  <c r="E23" i="25"/>
  <c r="F23" i="25"/>
  <c r="G23" i="25"/>
  <c r="H23" i="25"/>
  <c r="I23" i="25"/>
  <c r="J23" i="25"/>
  <c r="E24" i="25"/>
  <c r="F24" i="25"/>
  <c r="G24" i="25"/>
  <c r="H24" i="25"/>
  <c r="I24" i="25"/>
  <c r="J24" i="25"/>
  <c r="E25" i="25"/>
  <c r="F25" i="25"/>
  <c r="G25" i="25"/>
  <c r="H25" i="25"/>
  <c r="I25" i="25"/>
  <c r="J25" i="25"/>
  <c r="E26" i="25"/>
  <c r="F26" i="25"/>
  <c r="G26" i="25"/>
  <c r="H26" i="25"/>
  <c r="I26" i="25"/>
  <c r="J26" i="25"/>
  <c r="E27" i="25"/>
  <c r="F27" i="25"/>
  <c r="G27" i="25"/>
  <c r="H27" i="25"/>
  <c r="I27" i="25"/>
  <c r="J27" i="25"/>
  <c r="E28" i="25"/>
  <c r="F28" i="25"/>
  <c r="G28" i="25"/>
  <c r="H28" i="25"/>
  <c r="I28" i="25"/>
  <c r="J28" i="25"/>
  <c r="E29" i="25"/>
  <c r="F29" i="25"/>
  <c r="G29" i="25"/>
  <c r="H29" i="25"/>
  <c r="I29" i="25"/>
  <c r="J29" i="25"/>
  <c r="E30" i="25"/>
  <c r="F30" i="25"/>
  <c r="G30" i="25"/>
  <c r="H30" i="25"/>
  <c r="I30" i="25"/>
  <c r="J30" i="25"/>
  <c r="E31" i="25"/>
  <c r="F31" i="25"/>
  <c r="G31" i="25"/>
  <c r="H31" i="25"/>
  <c r="I31" i="25"/>
  <c r="J31" i="25"/>
  <c r="E32" i="25"/>
  <c r="F32" i="25"/>
  <c r="G32" i="25"/>
  <c r="H32" i="25"/>
  <c r="I32" i="25"/>
  <c r="J32" i="25"/>
  <c r="E33" i="25"/>
  <c r="F33" i="25"/>
  <c r="G33" i="25"/>
  <c r="H33" i="25"/>
  <c r="I33" i="25"/>
  <c r="J33" i="25"/>
  <c r="E34" i="25"/>
  <c r="F34" i="25"/>
  <c r="G34" i="25"/>
  <c r="H34" i="25"/>
  <c r="I34" i="25"/>
  <c r="J34" i="25"/>
  <c r="E35" i="25"/>
  <c r="F35" i="25"/>
  <c r="G35" i="25"/>
  <c r="H35" i="25"/>
  <c r="I35" i="25"/>
  <c r="J35" i="25"/>
  <c r="E36" i="25"/>
  <c r="F36" i="25"/>
  <c r="G36" i="25"/>
  <c r="H36" i="25"/>
  <c r="I36" i="25"/>
  <c r="J36" i="25"/>
  <c r="E37" i="25"/>
  <c r="F37" i="25"/>
  <c r="G37" i="25"/>
  <c r="H37" i="25"/>
  <c r="I37" i="25"/>
  <c r="J37" i="25"/>
  <c r="E38" i="25"/>
  <c r="F38" i="25"/>
  <c r="G38" i="25"/>
  <c r="H38" i="25"/>
  <c r="I38" i="25"/>
  <c r="J38" i="25"/>
  <c r="E39" i="25"/>
  <c r="F39" i="25"/>
  <c r="G39" i="25"/>
  <c r="H39" i="25"/>
  <c r="I39" i="25"/>
  <c r="J39" i="25"/>
  <c r="E40" i="25"/>
  <c r="F40" i="25"/>
  <c r="G40" i="25"/>
  <c r="H40" i="25"/>
  <c r="I40" i="25"/>
  <c r="J40" i="25"/>
  <c r="E41" i="25"/>
  <c r="F41" i="25"/>
  <c r="G41" i="25"/>
  <c r="H41" i="25"/>
  <c r="I41" i="25"/>
  <c r="J41" i="25"/>
  <c r="G42" i="25"/>
  <c r="H42" i="25"/>
  <c r="I42" i="25"/>
  <c r="J42" i="25"/>
  <c r="E43" i="25"/>
  <c r="F43" i="25"/>
  <c r="G43" i="25"/>
  <c r="H43" i="25"/>
  <c r="I43" i="25"/>
  <c r="J43" i="25"/>
  <c r="G44" i="25"/>
  <c r="H44" i="25"/>
  <c r="I44" i="25"/>
  <c r="J44" i="25"/>
  <c r="E45" i="25"/>
  <c r="F45" i="25"/>
  <c r="G45" i="25"/>
  <c r="H45" i="25"/>
  <c r="I45" i="25"/>
  <c r="J45" i="25"/>
  <c r="E46" i="25"/>
  <c r="F46" i="25"/>
  <c r="G46" i="25"/>
  <c r="H46" i="25"/>
  <c r="I46" i="25"/>
  <c r="J46" i="25"/>
  <c r="E47" i="25"/>
  <c r="F47" i="25"/>
  <c r="G47" i="25"/>
  <c r="H47" i="25"/>
  <c r="I47" i="25"/>
  <c r="J47" i="25"/>
  <c r="E48" i="25"/>
  <c r="F48" i="25"/>
  <c r="G48" i="25"/>
  <c r="H48" i="25"/>
  <c r="I48" i="25"/>
  <c r="J48" i="25"/>
  <c r="E49" i="25"/>
  <c r="F49" i="25"/>
  <c r="G49" i="25"/>
  <c r="H49" i="25"/>
  <c r="I49" i="25"/>
  <c r="J49" i="25"/>
  <c r="F50" i="25"/>
  <c r="G50" i="25"/>
  <c r="H50" i="25"/>
  <c r="I50" i="25"/>
  <c r="J50" i="25"/>
  <c r="E51" i="25"/>
  <c r="F51" i="25"/>
  <c r="G51" i="25"/>
  <c r="H51" i="25"/>
  <c r="I51" i="25"/>
  <c r="J51" i="25"/>
  <c r="E52" i="25"/>
  <c r="F52" i="25"/>
  <c r="G52" i="25"/>
  <c r="H52" i="25"/>
  <c r="I52" i="25"/>
  <c r="J52" i="25"/>
  <c r="E53" i="25"/>
  <c r="F53" i="25"/>
  <c r="G53" i="25"/>
  <c r="H53" i="25"/>
  <c r="I53" i="25"/>
  <c r="J53" i="25"/>
  <c r="E54" i="25"/>
  <c r="F54" i="25"/>
  <c r="G54" i="25"/>
  <c r="H54" i="25"/>
  <c r="I54" i="25"/>
  <c r="J54" i="25"/>
  <c r="E55" i="25"/>
  <c r="F55" i="25"/>
  <c r="G55" i="25"/>
  <c r="H55" i="25"/>
  <c r="I55" i="25"/>
  <c r="J55" i="25"/>
  <c r="E56" i="25"/>
  <c r="F56" i="25"/>
  <c r="G56" i="25"/>
  <c r="H56" i="25"/>
  <c r="I56" i="25"/>
  <c r="J56" i="25"/>
  <c r="E57" i="25"/>
  <c r="F57" i="25"/>
  <c r="G57" i="25"/>
  <c r="H57" i="25"/>
  <c r="I57" i="25"/>
  <c r="J57" i="25"/>
  <c r="H58" i="25"/>
  <c r="I58" i="25"/>
  <c r="J58" i="25"/>
  <c r="E59" i="25"/>
  <c r="F59" i="25"/>
  <c r="G59" i="25"/>
  <c r="H59" i="25"/>
  <c r="I59" i="25"/>
  <c r="J59" i="25"/>
  <c r="E60" i="25"/>
  <c r="F60" i="25"/>
  <c r="G60" i="25"/>
  <c r="H60" i="25"/>
  <c r="I60" i="25"/>
  <c r="J60" i="25"/>
  <c r="E61" i="25"/>
  <c r="F61" i="25"/>
  <c r="G61" i="25"/>
  <c r="H61" i="25"/>
  <c r="I61" i="25"/>
  <c r="J61" i="25"/>
  <c r="E62" i="25"/>
  <c r="F62" i="25"/>
  <c r="G62" i="25"/>
  <c r="H62" i="25"/>
  <c r="I62" i="25"/>
  <c r="J62" i="25"/>
  <c r="E63" i="25"/>
  <c r="F63" i="25"/>
  <c r="G63" i="25"/>
  <c r="H63" i="25"/>
  <c r="I63" i="25"/>
  <c r="J63" i="25"/>
  <c r="E64" i="25"/>
  <c r="F64" i="25"/>
  <c r="G64" i="25"/>
  <c r="H64" i="25"/>
  <c r="I64" i="25"/>
  <c r="J64" i="25"/>
  <c r="E65" i="25"/>
  <c r="F65" i="25"/>
  <c r="G65" i="25"/>
  <c r="H65" i="25"/>
  <c r="I65" i="25"/>
  <c r="J65" i="25"/>
  <c r="E66" i="25"/>
  <c r="F66" i="25"/>
  <c r="G66" i="25"/>
  <c r="H66" i="25"/>
  <c r="I66" i="25"/>
  <c r="J66" i="25"/>
  <c r="E67" i="25"/>
  <c r="F67" i="25"/>
  <c r="G67" i="25"/>
  <c r="H67" i="25"/>
  <c r="I67" i="25"/>
  <c r="J67" i="25"/>
  <c r="E68" i="25"/>
  <c r="F68" i="25"/>
  <c r="G68" i="25"/>
  <c r="H68" i="25"/>
  <c r="I68" i="25"/>
  <c r="J68" i="25"/>
  <c r="E69" i="25"/>
  <c r="F69" i="25"/>
  <c r="G69" i="25"/>
  <c r="H69" i="25"/>
  <c r="I69" i="25"/>
  <c r="J69" i="25"/>
  <c r="E70" i="25"/>
  <c r="F70" i="25"/>
  <c r="G70" i="25"/>
  <c r="H70" i="25"/>
  <c r="I70" i="25"/>
  <c r="J70" i="25"/>
  <c r="E71" i="25"/>
  <c r="F71" i="25"/>
  <c r="G71" i="25"/>
  <c r="H71" i="25"/>
  <c r="I71" i="25"/>
  <c r="J71" i="25"/>
  <c r="E72" i="25"/>
  <c r="F72" i="25"/>
  <c r="G72" i="25"/>
  <c r="H72" i="25"/>
  <c r="I72" i="25"/>
  <c r="J72" i="25"/>
  <c r="E73" i="25"/>
  <c r="F73" i="25"/>
  <c r="G73" i="25"/>
  <c r="H73" i="25"/>
  <c r="I73" i="25"/>
  <c r="J73" i="25"/>
  <c r="E74" i="25"/>
  <c r="F74" i="25"/>
  <c r="G74" i="25"/>
  <c r="H74" i="25"/>
  <c r="I74" i="25"/>
  <c r="J74" i="25"/>
  <c r="E75" i="25"/>
  <c r="F75" i="25"/>
  <c r="G75" i="25"/>
  <c r="H75" i="25"/>
  <c r="I75" i="25"/>
  <c r="J75" i="25"/>
  <c r="E76" i="25"/>
  <c r="F76" i="25"/>
  <c r="G76" i="25"/>
  <c r="H76" i="25"/>
  <c r="I76" i="25"/>
  <c r="J76" i="25"/>
  <c r="E77" i="25"/>
  <c r="F77" i="25"/>
  <c r="G77" i="25"/>
  <c r="H77" i="25"/>
  <c r="I77" i="25"/>
  <c r="J77" i="25"/>
  <c r="E78" i="25"/>
  <c r="F78" i="25"/>
  <c r="G78" i="25"/>
  <c r="H78" i="25"/>
  <c r="I78" i="25"/>
  <c r="J78" i="25"/>
  <c r="E79" i="25"/>
  <c r="F79" i="25"/>
  <c r="G79" i="25"/>
  <c r="H79" i="25"/>
  <c r="I79" i="25"/>
  <c r="J79" i="25"/>
  <c r="E80" i="25"/>
  <c r="F80" i="25"/>
  <c r="G80" i="25"/>
  <c r="H80" i="25"/>
  <c r="I80" i="25"/>
  <c r="J80" i="25"/>
  <c r="E81" i="25"/>
  <c r="F81" i="25"/>
  <c r="G81" i="25"/>
  <c r="H81" i="25"/>
  <c r="I81" i="25"/>
  <c r="J81" i="25"/>
  <c r="F2" i="25"/>
  <c r="G2" i="25"/>
  <c r="H2" i="25"/>
  <c r="I2" i="25"/>
  <c r="J2" i="25"/>
  <c r="E2" i="25"/>
  <c r="K41" i="25"/>
  <c r="K33" i="25"/>
  <c r="K19" i="25"/>
  <c r="L19" i="25" s="1"/>
  <c r="K15" i="25"/>
  <c r="K9" i="25"/>
  <c r="L9" i="25" s="1"/>
  <c r="K105" i="24"/>
  <c r="K101" i="24"/>
  <c r="K100" i="24"/>
  <c r="H96" i="24"/>
  <c r="E96" i="24"/>
  <c r="H95" i="24"/>
  <c r="E95" i="24"/>
  <c r="H94" i="24"/>
  <c r="E94" i="24"/>
  <c r="H91" i="24"/>
  <c r="E91" i="24"/>
  <c r="H90" i="24"/>
  <c r="E90" i="24"/>
  <c r="H89" i="24"/>
  <c r="E89" i="24"/>
  <c r="H79" i="24"/>
  <c r="H78" i="24"/>
  <c r="H77" i="24"/>
  <c r="H76" i="24"/>
  <c r="H75" i="24"/>
  <c r="K69" i="24"/>
  <c r="K66" i="24"/>
  <c r="K65" i="24"/>
  <c r="H61" i="24"/>
  <c r="E61" i="24"/>
  <c r="H60" i="24"/>
  <c r="E60" i="24"/>
  <c r="H59" i="24"/>
  <c r="E59" i="24"/>
  <c r="H56" i="24"/>
  <c r="E56" i="24"/>
  <c r="H55" i="24"/>
  <c r="E55" i="24"/>
  <c r="H54" i="24"/>
  <c r="E54" i="24"/>
  <c r="H43" i="24"/>
  <c r="H42" i="24"/>
  <c r="H41" i="24"/>
  <c r="H40" i="24"/>
  <c r="H39" i="24"/>
  <c r="E25" i="24"/>
  <c r="E24" i="24"/>
  <c r="E23" i="24"/>
  <c r="E22" i="24"/>
  <c r="P35" i="6"/>
  <c r="Q35" i="6" s="1"/>
  <c r="P38" i="6"/>
  <c r="Q38" i="6" s="1"/>
  <c r="Q13" i="6" s="1"/>
  <c r="P30" i="6"/>
  <c r="Q30" i="6" s="1"/>
  <c r="P32" i="6"/>
  <c r="Q32" i="6" s="1"/>
  <c r="P33" i="6"/>
  <c r="Q33" i="6" s="1"/>
  <c r="P31" i="6"/>
  <c r="Q31" i="6" s="1"/>
  <c r="C229" i="15"/>
  <c r="N21" i="6"/>
  <c r="K253" i="15"/>
  <c r="K250" i="15"/>
  <c r="K249" i="15"/>
  <c r="H245" i="15"/>
  <c r="E245" i="15"/>
  <c r="H244" i="15"/>
  <c r="E244" i="15"/>
  <c r="H243" i="15"/>
  <c r="E243" i="15"/>
  <c r="H240" i="15"/>
  <c r="E240" i="15"/>
  <c r="H239" i="15"/>
  <c r="E239" i="15"/>
  <c r="H238" i="15"/>
  <c r="E238" i="15"/>
  <c r="H227" i="15"/>
  <c r="H226" i="15"/>
  <c r="H225" i="15"/>
  <c r="H224" i="15"/>
  <c r="H223" i="15"/>
  <c r="P37" i="6"/>
  <c r="Q37" i="6" s="1"/>
  <c r="P36" i="6"/>
  <c r="Q36" i="6" s="1"/>
  <c r="P34" i="6"/>
  <c r="Q34" i="6" s="1"/>
  <c r="P39" i="6"/>
  <c r="Q39" i="6" s="1"/>
  <c r="P29" i="6"/>
  <c r="Q29" i="6" s="1"/>
  <c r="Q12" i="6" s="1"/>
  <c r="M3" i="22"/>
  <c r="O3" i="22" s="1"/>
  <c r="N20" i="6"/>
  <c r="K216" i="15"/>
  <c r="K213" i="15"/>
  <c r="K212" i="15"/>
  <c r="H208" i="15"/>
  <c r="E208" i="15"/>
  <c r="H207" i="15"/>
  <c r="E207" i="15"/>
  <c r="H206" i="15"/>
  <c r="H203" i="15"/>
  <c r="E203" i="15"/>
  <c r="H202" i="15"/>
  <c r="E202" i="15"/>
  <c r="H201" i="15"/>
  <c r="E201" i="15"/>
  <c r="H190" i="15"/>
  <c r="H189" i="15"/>
  <c r="D195" i="15" s="1"/>
  <c r="H188" i="15"/>
  <c r="H187" i="15"/>
  <c r="H186" i="15"/>
  <c r="P12" i="6"/>
  <c r="P13" i="6"/>
  <c r="H166" i="15"/>
  <c r="E166" i="15"/>
  <c r="H165" i="15"/>
  <c r="E165" i="15"/>
  <c r="H164" i="15"/>
  <c r="E164" i="15"/>
  <c r="H171" i="15"/>
  <c r="E171" i="15"/>
  <c r="H170" i="15"/>
  <c r="E170" i="15"/>
  <c r="H169" i="15"/>
  <c r="E169" i="15"/>
  <c r="Y397" i="16"/>
  <c r="Z397" i="16"/>
  <c r="Y403" i="16"/>
  <c r="Z403" i="16"/>
  <c r="Y400" i="16"/>
  <c r="Z400" i="16"/>
  <c r="Y406" i="16"/>
  <c r="Z406" i="16"/>
  <c r="Y382" i="16"/>
  <c r="Z382" i="16"/>
  <c r="Y385" i="16"/>
  <c r="Z385" i="16"/>
  <c r="Y388" i="16"/>
  <c r="Z388" i="16"/>
  <c r="Y391" i="16"/>
  <c r="Z391" i="16"/>
  <c r="Y394" i="16"/>
  <c r="Z394" i="16"/>
  <c r="Y379" i="16"/>
  <c r="Z379" i="16"/>
  <c r="Y376" i="16"/>
  <c r="Z376" i="16"/>
  <c r="Y373" i="16"/>
  <c r="Z373" i="16"/>
  <c r="Y370" i="16"/>
  <c r="Z370" i="16"/>
  <c r="Y367" i="16"/>
  <c r="Z367" i="16"/>
  <c r="Y364" i="16"/>
  <c r="Z364" i="16"/>
  <c r="Y361" i="16"/>
  <c r="Z361" i="16"/>
  <c r="Y358" i="16"/>
  <c r="Z358" i="16"/>
  <c r="Y355" i="16"/>
  <c r="Z355" i="16"/>
  <c r="Y352" i="16"/>
  <c r="Z352" i="16"/>
  <c r="Y349" i="16"/>
  <c r="Z349" i="16"/>
  <c r="Y346" i="16"/>
  <c r="Z346" i="16"/>
  <c r="Y343" i="16"/>
  <c r="Z343" i="16"/>
  <c r="Y340" i="16"/>
  <c r="Z340" i="16"/>
  <c r="Y337" i="16"/>
  <c r="Z337" i="16"/>
  <c r="Y334" i="16"/>
  <c r="Z334" i="16"/>
  <c r="Y331" i="16"/>
  <c r="Z331" i="16"/>
  <c r="Y328" i="16"/>
  <c r="Z328" i="16"/>
  <c r="Y325" i="16"/>
  <c r="Z325" i="16"/>
  <c r="Y322" i="16"/>
  <c r="Z322" i="16"/>
  <c r="Y319" i="16"/>
  <c r="Z319" i="16"/>
  <c r="Y316" i="16"/>
  <c r="Z316" i="16"/>
  <c r="Y313" i="16"/>
  <c r="Z313" i="16"/>
  <c r="Y310" i="16"/>
  <c r="Z310" i="16"/>
  <c r="Y307" i="16"/>
  <c r="Z307" i="16"/>
  <c r="Y304" i="16"/>
  <c r="Z304" i="16"/>
  <c r="Y301" i="16"/>
  <c r="Z301" i="16"/>
  <c r="Y298" i="16"/>
  <c r="Z298" i="16"/>
  <c r="Y295" i="16"/>
  <c r="Z295" i="16"/>
  <c r="Y292" i="16"/>
  <c r="Z292" i="16"/>
  <c r="Y289" i="16"/>
  <c r="Z289" i="16"/>
  <c r="Y286" i="16"/>
  <c r="Z286" i="16"/>
  <c r="Y283" i="16"/>
  <c r="Z283" i="16"/>
  <c r="Y280" i="16"/>
  <c r="Z280" i="16"/>
  <c r="Y277" i="16"/>
  <c r="Z277" i="16"/>
  <c r="Y274" i="16"/>
  <c r="Z274" i="16"/>
  <c r="Y271" i="16"/>
  <c r="Z271" i="16"/>
  <c r="Y268" i="16"/>
  <c r="Z268" i="16"/>
  <c r="Y265" i="16"/>
  <c r="Z265" i="16"/>
  <c r="Y262" i="16"/>
  <c r="Z262" i="16"/>
  <c r="Y259" i="16"/>
  <c r="Z259" i="16"/>
  <c r="Y256" i="16"/>
  <c r="Z256" i="16"/>
  <c r="Y253" i="16"/>
  <c r="Z253" i="16"/>
  <c r="Y250" i="16"/>
  <c r="Z250" i="16"/>
  <c r="Y247" i="16"/>
  <c r="Z247" i="16"/>
  <c r="Y244" i="16"/>
  <c r="Z244" i="16"/>
  <c r="Y241" i="16"/>
  <c r="Z241" i="16"/>
  <c r="Y238" i="16"/>
  <c r="Z238" i="16"/>
  <c r="Y235" i="16"/>
  <c r="Z235" i="16"/>
  <c r="Y232" i="16"/>
  <c r="Z232" i="16"/>
  <c r="Y229" i="16"/>
  <c r="Z229" i="16"/>
  <c r="Y226" i="16"/>
  <c r="Z226" i="16"/>
  <c r="Y223" i="16"/>
  <c r="Z223" i="16"/>
  <c r="Y220" i="16"/>
  <c r="Z220" i="16"/>
  <c r="Y217" i="16"/>
  <c r="Z217" i="16"/>
  <c r="Y214" i="16"/>
  <c r="Z214" i="16"/>
  <c r="Y211" i="16"/>
  <c r="Z211" i="16"/>
  <c r="Y208" i="16"/>
  <c r="Z208" i="16"/>
  <c r="Y205" i="16"/>
  <c r="Z205" i="16"/>
  <c r="Y202" i="16"/>
  <c r="Z202" i="16"/>
  <c r="Y199" i="16"/>
  <c r="Z199" i="16"/>
  <c r="Y196" i="16"/>
  <c r="Z196" i="16"/>
  <c r="Y193" i="16"/>
  <c r="Z193" i="16"/>
  <c r="Y190" i="16"/>
  <c r="Z190" i="16"/>
  <c r="Y187" i="16"/>
  <c r="Z187" i="16"/>
  <c r="Y184" i="16"/>
  <c r="Z184" i="16"/>
  <c r="Y181" i="16"/>
  <c r="Z181" i="16"/>
  <c r="Y178" i="16"/>
  <c r="Z178" i="16"/>
  <c r="Y175" i="16"/>
  <c r="Z175" i="16"/>
  <c r="Y172" i="16"/>
  <c r="Z172" i="16"/>
  <c r="Y169" i="16"/>
  <c r="Z169" i="16"/>
  <c r="Y166" i="16"/>
  <c r="Z166" i="16"/>
  <c r="Y163" i="16"/>
  <c r="Z163" i="16"/>
  <c r="Y160" i="16"/>
  <c r="Z160" i="16"/>
  <c r="Y157" i="16"/>
  <c r="Z157" i="16"/>
  <c r="Y154" i="16"/>
  <c r="Z154" i="16"/>
  <c r="Y151" i="16"/>
  <c r="Z151" i="16"/>
  <c r="Y148" i="16"/>
  <c r="Z148" i="16"/>
  <c r="Y145" i="16"/>
  <c r="Z145" i="16"/>
  <c r="Y142" i="16"/>
  <c r="Z142" i="16"/>
  <c r="Y139" i="16"/>
  <c r="Z139" i="16"/>
  <c r="AD16" i="16"/>
  <c r="AE16" i="16"/>
  <c r="AF16" i="16"/>
  <c r="AG16" i="16"/>
  <c r="AH16" i="16"/>
  <c r="AI16" i="16"/>
  <c r="AJ16" i="16"/>
  <c r="AK16" i="16"/>
  <c r="AL16" i="16"/>
  <c r="AM16" i="16"/>
  <c r="AN16" i="16"/>
  <c r="AO16" i="16"/>
  <c r="AD13" i="16"/>
  <c r="AE13" i="16"/>
  <c r="AF13" i="16"/>
  <c r="AG13" i="16"/>
  <c r="AH13" i="16"/>
  <c r="AI13" i="16"/>
  <c r="AJ13" i="16"/>
  <c r="AK13" i="16"/>
  <c r="AL13" i="16"/>
  <c r="AM13" i="16"/>
  <c r="AN13" i="16"/>
  <c r="AO13" i="16"/>
  <c r="AD10" i="16"/>
  <c r="AE10" i="16"/>
  <c r="AF10" i="16"/>
  <c r="AG10" i="16"/>
  <c r="AH10" i="16"/>
  <c r="AI10" i="16"/>
  <c r="AJ10" i="16"/>
  <c r="AK10" i="16"/>
  <c r="AL10" i="16"/>
  <c r="AM10" i="16"/>
  <c r="AN10" i="16"/>
  <c r="AO10" i="16"/>
  <c r="AD7" i="16"/>
  <c r="AE7" i="16"/>
  <c r="AF7" i="16"/>
  <c r="AG7" i="16"/>
  <c r="AH7" i="16"/>
  <c r="AI7" i="16"/>
  <c r="AJ7" i="16"/>
  <c r="AK7" i="16"/>
  <c r="AL7" i="16"/>
  <c r="AM7" i="16"/>
  <c r="AN7" i="16"/>
  <c r="AO7" i="16"/>
  <c r="AE4" i="16"/>
  <c r="AF4" i="16"/>
  <c r="AG4" i="16"/>
  <c r="AH4" i="16"/>
  <c r="AI4" i="16"/>
  <c r="AJ4" i="16"/>
  <c r="AK4" i="16"/>
  <c r="AL4" i="16"/>
  <c r="AM4" i="16"/>
  <c r="AN4" i="16"/>
  <c r="AO4" i="16"/>
  <c r="X259" i="16"/>
  <c r="X337" i="16"/>
  <c r="X382" i="16"/>
  <c r="X355" i="16"/>
  <c r="X328" i="16"/>
  <c r="X301" i="16"/>
  <c r="X274" i="16"/>
  <c r="X247" i="16"/>
  <c r="X220" i="16"/>
  <c r="X193" i="16"/>
  <c r="X166" i="16"/>
  <c r="X139" i="16"/>
  <c r="X406" i="16"/>
  <c r="X403" i="16"/>
  <c r="X400" i="16"/>
  <c r="X397" i="16"/>
  <c r="X394" i="16"/>
  <c r="X391" i="16"/>
  <c r="X388" i="16"/>
  <c r="X385" i="16"/>
  <c r="X379" i="16"/>
  <c r="X376" i="16"/>
  <c r="X373" i="16"/>
  <c r="X370" i="16"/>
  <c r="X367" i="16"/>
  <c r="X364" i="16"/>
  <c r="X361" i="16"/>
  <c r="X358" i="16"/>
  <c r="X352" i="16"/>
  <c r="X349" i="16"/>
  <c r="X346" i="16"/>
  <c r="X343" i="16"/>
  <c r="X340" i="16"/>
  <c r="X334" i="16"/>
  <c r="X331" i="16"/>
  <c r="X325" i="16"/>
  <c r="X322" i="16"/>
  <c r="X319" i="16"/>
  <c r="X316" i="16"/>
  <c r="X313" i="16"/>
  <c r="X310" i="16"/>
  <c r="X307" i="16"/>
  <c r="X304" i="16"/>
  <c r="X298" i="16"/>
  <c r="X295" i="16"/>
  <c r="X292" i="16"/>
  <c r="X289" i="16"/>
  <c r="X286" i="16"/>
  <c r="X283" i="16"/>
  <c r="X280" i="16"/>
  <c r="X277" i="16"/>
  <c r="X271" i="16"/>
  <c r="X268" i="16"/>
  <c r="X265" i="16"/>
  <c r="X262" i="16"/>
  <c r="X256" i="16"/>
  <c r="X253" i="16"/>
  <c r="X250" i="16"/>
  <c r="X244" i="16"/>
  <c r="X241" i="16"/>
  <c r="X238" i="16"/>
  <c r="X235" i="16"/>
  <c r="X232" i="16"/>
  <c r="X229" i="16"/>
  <c r="X226" i="16"/>
  <c r="X223" i="16"/>
  <c r="X217" i="16"/>
  <c r="X214" i="16"/>
  <c r="X211" i="16"/>
  <c r="X208" i="16"/>
  <c r="X205" i="16"/>
  <c r="X202" i="16"/>
  <c r="X196" i="16"/>
  <c r="X199" i="16"/>
  <c r="X190" i="16"/>
  <c r="X187" i="16"/>
  <c r="X184" i="16"/>
  <c r="X181" i="16"/>
  <c r="X178" i="16"/>
  <c r="X175" i="16"/>
  <c r="X172" i="16"/>
  <c r="X169" i="16"/>
  <c r="X163" i="16"/>
  <c r="X160" i="16"/>
  <c r="X157" i="16"/>
  <c r="X154" i="16"/>
  <c r="X151" i="16"/>
  <c r="X148" i="16"/>
  <c r="X145" i="16"/>
  <c r="X142" i="16"/>
  <c r="E17" i="16"/>
  <c r="H24" i="16"/>
  <c r="E24" i="16"/>
  <c r="H23" i="16"/>
  <c r="E23" i="16"/>
  <c r="H22" i="16"/>
  <c r="E22" i="16"/>
  <c r="J19" i="17"/>
  <c r="K19" i="17"/>
  <c r="L19" i="17"/>
  <c r="M19" i="17"/>
  <c r="J20" i="17"/>
  <c r="K20" i="17"/>
  <c r="L20" i="17"/>
  <c r="M20" i="17"/>
  <c r="J21" i="17"/>
  <c r="K21" i="17"/>
  <c r="L21" i="17"/>
  <c r="M21" i="17"/>
  <c r="J22" i="17"/>
  <c r="K22" i="17"/>
  <c r="L22" i="17"/>
  <c r="M22" i="17"/>
  <c r="J23" i="17"/>
  <c r="K23" i="17"/>
  <c r="L23" i="17"/>
  <c r="M23" i="17"/>
  <c r="N23" i="17"/>
  <c r="O23" i="17"/>
  <c r="P23" i="17"/>
  <c r="Q23" i="17"/>
  <c r="R23" i="17"/>
  <c r="S23" i="17"/>
  <c r="T23" i="17"/>
  <c r="U23" i="17"/>
  <c r="V23" i="17"/>
  <c r="W23" i="17"/>
  <c r="X23" i="17"/>
  <c r="Y23" i="17"/>
  <c r="J24" i="17"/>
  <c r="K24" i="17"/>
  <c r="L24" i="17"/>
  <c r="M24" i="17"/>
  <c r="N24" i="17"/>
  <c r="O24" i="17"/>
  <c r="P24" i="17"/>
  <c r="Q24" i="17"/>
  <c r="R24" i="17"/>
  <c r="S24" i="17"/>
  <c r="T24" i="17"/>
  <c r="U24" i="17"/>
  <c r="V24" i="17"/>
  <c r="W24" i="17"/>
  <c r="X24" i="17"/>
  <c r="Y24" i="17"/>
  <c r="J25" i="17"/>
  <c r="K25" i="17"/>
  <c r="L25" i="17"/>
  <c r="M25" i="17"/>
  <c r="N25" i="17"/>
  <c r="O25" i="17"/>
  <c r="P25" i="17"/>
  <c r="Q25" i="17"/>
  <c r="R25" i="17"/>
  <c r="S25" i="17"/>
  <c r="T25" i="17"/>
  <c r="U25" i="17"/>
  <c r="V25" i="17"/>
  <c r="W25" i="17"/>
  <c r="X25" i="17"/>
  <c r="Y25" i="17"/>
  <c r="J26" i="17"/>
  <c r="K26" i="17"/>
  <c r="L26" i="17"/>
  <c r="M26" i="17"/>
  <c r="N26" i="17"/>
  <c r="O26" i="17"/>
  <c r="P26" i="17"/>
  <c r="Q26" i="17"/>
  <c r="R26" i="17"/>
  <c r="S26" i="17"/>
  <c r="T26" i="17"/>
  <c r="U26" i="17"/>
  <c r="V26" i="17"/>
  <c r="W26" i="17"/>
  <c r="X26" i="17"/>
  <c r="Y26" i="17"/>
  <c r="I18" i="17"/>
  <c r="J18" i="17"/>
  <c r="K18" i="17"/>
  <c r="L18" i="17"/>
  <c r="M18" i="17"/>
  <c r="N18" i="17"/>
  <c r="O18" i="17"/>
  <c r="P18" i="17"/>
  <c r="Q18" i="17"/>
  <c r="R18" i="17"/>
  <c r="S18" i="17"/>
  <c r="T18" i="17"/>
  <c r="U18" i="17"/>
  <c r="V18" i="17"/>
  <c r="W18" i="17"/>
  <c r="X18" i="17"/>
  <c r="Y18" i="17"/>
  <c r="K29" i="16"/>
  <c r="K28" i="16"/>
  <c r="K177" i="15"/>
  <c r="K176" i="15"/>
  <c r="H18" i="17"/>
  <c r="H153" i="15"/>
  <c r="H152" i="15"/>
  <c r="H151" i="15"/>
  <c r="H150" i="15"/>
  <c r="H149" i="15"/>
  <c r="H19" i="16"/>
  <c r="E19" i="16"/>
  <c r="H18" i="16"/>
  <c r="E18" i="16"/>
  <c r="H17" i="16"/>
  <c r="E18" i="17"/>
  <c r="G158" i="15" s="1"/>
  <c r="F26" i="17"/>
  <c r="F25" i="17"/>
  <c r="F24" i="17"/>
  <c r="F23" i="17"/>
  <c r="E25" i="17"/>
  <c r="E24" i="17"/>
  <c r="E26" i="17"/>
  <c r="E23" i="17"/>
  <c r="D26" i="17"/>
  <c r="D24" i="17"/>
  <c r="AJ381" i="16"/>
  <c r="AJ354" i="16"/>
  <c r="AJ300" i="16"/>
  <c r="AJ273" i="16"/>
  <c r="AJ246" i="16"/>
  <c r="AJ219" i="16"/>
  <c r="AJ192" i="16"/>
  <c r="AJ327" i="16"/>
  <c r="AJ165" i="16"/>
  <c r="AJ138" i="16"/>
  <c r="AJ111" i="16"/>
  <c r="AJ84" i="16"/>
  <c r="AJ57" i="16"/>
  <c r="AJ30" i="16"/>
  <c r="AJ3" i="16"/>
  <c r="AF381" i="16"/>
  <c r="AF354" i="16"/>
  <c r="AF273" i="16"/>
  <c r="AF246" i="16"/>
  <c r="AF219" i="16"/>
  <c r="AF192" i="16"/>
  <c r="AF327" i="16"/>
  <c r="AF300" i="16"/>
  <c r="AF165" i="16"/>
  <c r="AF138" i="16"/>
  <c r="AF57" i="16"/>
  <c r="AF84" i="16"/>
  <c r="AF30" i="16"/>
  <c r="AF111" i="16"/>
  <c r="AF3" i="16"/>
  <c r="AM381" i="16"/>
  <c r="AM354" i="16"/>
  <c r="AM327" i="16"/>
  <c r="AM300" i="16"/>
  <c r="AM273" i="16"/>
  <c r="AM246" i="16"/>
  <c r="AM219" i="16"/>
  <c r="AM192" i="16"/>
  <c r="AM165" i="16"/>
  <c r="AM138" i="16"/>
  <c r="AM111" i="16"/>
  <c r="AM84" i="16"/>
  <c r="AM57" i="16"/>
  <c r="AM30" i="16"/>
  <c r="AM3" i="16"/>
  <c r="G18" i="17"/>
  <c r="I158" i="15" s="1"/>
  <c r="AI381" i="16"/>
  <c r="AI354" i="16"/>
  <c r="AI327" i="16"/>
  <c r="AI300" i="16"/>
  <c r="AI273" i="16"/>
  <c r="AI246" i="16"/>
  <c r="AI219" i="16"/>
  <c r="AI192" i="16"/>
  <c r="AI165" i="16"/>
  <c r="AI138" i="16"/>
  <c r="AI111" i="16"/>
  <c r="AI84" i="16"/>
  <c r="AI57" i="16"/>
  <c r="AI30" i="16"/>
  <c r="AI3" i="16"/>
  <c r="AE381" i="16"/>
  <c r="AE354" i="16"/>
  <c r="AE327" i="16"/>
  <c r="AE300" i="16"/>
  <c r="AE273" i="16"/>
  <c r="AE246" i="16"/>
  <c r="AE219" i="16"/>
  <c r="AE192" i="16"/>
  <c r="AE165" i="16"/>
  <c r="AE138" i="16"/>
  <c r="AE111" i="16"/>
  <c r="AE84" i="16"/>
  <c r="AE57" i="16"/>
  <c r="AE30" i="16"/>
  <c r="AE3" i="16"/>
  <c r="AL354" i="16"/>
  <c r="AL381" i="16"/>
  <c r="AL327" i="16"/>
  <c r="AL300" i="16"/>
  <c r="AL273" i="16"/>
  <c r="AL246" i="16"/>
  <c r="AL219" i="16"/>
  <c r="AL192" i="16"/>
  <c r="AL111" i="16"/>
  <c r="AL84" i="16"/>
  <c r="AL165" i="16"/>
  <c r="AL138" i="16"/>
  <c r="AL57" i="16"/>
  <c r="AL30" i="16"/>
  <c r="AL3" i="16"/>
  <c r="AN381" i="16"/>
  <c r="AN354" i="16"/>
  <c r="AN327" i="16"/>
  <c r="AN300" i="16"/>
  <c r="AN273" i="16"/>
  <c r="AN246" i="16"/>
  <c r="AN219" i="16"/>
  <c r="AN192" i="16"/>
  <c r="AN165" i="16"/>
  <c r="AN138" i="16"/>
  <c r="AN84" i="16"/>
  <c r="AN30" i="16"/>
  <c r="AN111" i="16"/>
  <c r="AN57" i="16"/>
  <c r="AN3" i="16"/>
  <c r="B18" i="17"/>
  <c r="D158" i="15" s="1"/>
  <c r="X381" i="16"/>
  <c r="X273" i="16"/>
  <c r="X165" i="16"/>
  <c r="X354" i="16"/>
  <c r="X246" i="16"/>
  <c r="X138" i="16"/>
  <c r="X327" i="16"/>
  <c r="X219" i="16"/>
  <c r="X192" i="16"/>
  <c r="X300" i="16"/>
  <c r="AH354" i="16"/>
  <c r="AH381" i="16"/>
  <c r="AH327" i="16"/>
  <c r="AH300" i="16"/>
  <c r="AH111" i="16"/>
  <c r="AH84" i="16"/>
  <c r="AH165" i="16"/>
  <c r="AH138" i="16"/>
  <c r="AH246" i="16"/>
  <c r="AH219" i="16"/>
  <c r="AH192" i="16"/>
  <c r="AH57" i="16"/>
  <c r="AH30" i="16"/>
  <c r="AH3" i="16"/>
  <c r="AH273" i="16"/>
  <c r="AD354" i="16"/>
  <c r="AD327" i="16"/>
  <c r="AD300" i="16"/>
  <c r="AD381" i="16"/>
  <c r="AD111" i="16"/>
  <c r="AD84" i="16"/>
  <c r="AD273" i="16"/>
  <c r="AD246" i="16"/>
  <c r="AD219" i="16"/>
  <c r="AD192" i="16"/>
  <c r="AD138" i="16"/>
  <c r="AD57" i="16"/>
  <c r="AD30" i="16"/>
  <c r="AD3" i="16"/>
  <c r="AD165" i="16"/>
  <c r="D18" i="17"/>
  <c r="F158" i="15" s="1"/>
  <c r="F166" i="15" s="1"/>
  <c r="Z354" i="16"/>
  <c r="Z381" i="16"/>
  <c r="Z327" i="16"/>
  <c r="Z300" i="16"/>
  <c r="Z273" i="16"/>
  <c r="Z246" i="16"/>
  <c r="Z219" i="16"/>
  <c r="Z192" i="16"/>
  <c r="Z165" i="16"/>
  <c r="Z138" i="16"/>
  <c r="AO354" i="16"/>
  <c r="AO381" i="16"/>
  <c r="AO327" i="16"/>
  <c r="AO300" i="16"/>
  <c r="AO273" i="16"/>
  <c r="AO246" i="16"/>
  <c r="AO219" i="16"/>
  <c r="AO192" i="16"/>
  <c r="AO111" i="16"/>
  <c r="AO84" i="16"/>
  <c r="AO165" i="16"/>
  <c r="AO138" i="16"/>
  <c r="AO57" i="16"/>
  <c r="AO30" i="16"/>
  <c r="AO3" i="16"/>
  <c r="AK354" i="16"/>
  <c r="AK381" i="16"/>
  <c r="AK327" i="16"/>
  <c r="AK300" i="16"/>
  <c r="AK273" i="16"/>
  <c r="AK246" i="16"/>
  <c r="AK219" i="16"/>
  <c r="AK192" i="16"/>
  <c r="AK111" i="16"/>
  <c r="AK84" i="16"/>
  <c r="AK165" i="16"/>
  <c r="AK138" i="16"/>
  <c r="AK57" i="16"/>
  <c r="AK30" i="16"/>
  <c r="AK3" i="16"/>
  <c r="AG354" i="16"/>
  <c r="AG381" i="16"/>
  <c r="AG327" i="16"/>
  <c r="AG300" i="16"/>
  <c r="AG273" i="16"/>
  <c r="AG246" i="16"/>
  <c r="AG219" i="16"/>
  <c r="AG192" i="16"/>
  <c r="AG111" i="16"/>
  <c r="AG84" i="16"/>
  <c r="AG165" i="16"/>
  <c r="AG138" i="16"/>
  <c r="AG57" i="16"/>
  <c r="AG30" i="16"/>
  <c r="AG3" i="16"/>
  <c r="Y381" i="16"/>
  <c r="Y354" i="16"/>
  <c r="Y327" i="16"/>
  <c r="Y273" i="16"/>
  <c r="Y246" i="16"/>
  <c r="Y219" i="16"/>
  <c r="Y192" i="16"/>
  <c r="X194" i="16" s="1"/>
  <c r="Y300" i="16"/>
  <c r="Y165" i="16"/>
  <c r="Y138" i="16"/>
  <c r="Z378" i="16"/>
  <c r="Z351" i="16"/>
  <c r="Z405" i="16"/>
  <c r="Z324" i="16"/>
  <c r="Z297" i="16"/>
  <c r="Z270" i="16"/>
  <c r="Z243" i="16"/>
  <c r="Z216" i="16"/>
  <c r="Z189" i="16"/>
  <c r="Z162" i="16"/>
  <c r="Z375" i="16"/>
  <c r="Z348" i="16"/>
  <c r="Z402" i="16"/>
  <c r="Z321" i="16"/>
  <c r="Z294" i="16"/>
  <c r="Z267" i="16"/>
  <c r="Z240" i="16"/>
  <c r="Z213" i="16"/>
  <c r="Z186" i="16"/>
  <c r="Z159" i="16"/>
  <c r="Z372" i="16"/>
  <c r="Z345" i="16"/>
  <c r="Z399" i="16"/>
  <c r="Z318" i="16"/>
  <c r="Z291" i="16"/>
  <c r="Z264" i="16"/>
  <c r="Z237" i="16"/>
  <c r="Z210" i="16"/>
  <c r="Z183" i="16"/>
  <c r="Z156" i="16"/>
  <c r="Z369" i="16"/>
  <c r="Z342" i="16"/>
  <c r="Z396" i="16"/>
  <c r="Z315" i="16"/>
  <c r="Z288" i="16"/>
  <c r="Z261" i="16"/>
  <c r="Z234" i="16"/>
  <c r="Z207" i="16"/>
  <c r="Z180" i="16"/>
  <c r="Z153" i="16"/>
  <c r="Z366" i="16"/>
  <c r="Z339" i="16"/>
  <c r="Z393" i="16"/>
  <c r="Z285" i="16"/>
  <c r="Z312" i="16"/>
  <c r="Z258" i="16"/>
  <c r="Z231" i="16"/>
  <c r="Z204" i="16"/>
  <c r="Z177" i="16"/>
  <c r="Z150" i="16"/>
  <c r="Z363" i="16"/>
  <c r="Z390" i="16"/>
  <c r="Z336" i="16"/>
  <c r="Z309" i="16"/>
  <c r="Z282" i="16"/>
  <c r="Z255" i="16"/>
  <c r="Z228" i="16"/>
  <c r="Z201" i="16"/>
  <c r="Z174" i="16"/>
  <c r="Z147" i="16"/>
  <c r="Z360" i="16"/>
  <c r="Z387" i="16"/>
  <c r="Z333" i="16"/>
  <c r="Z306" i="16"/>
  <c r="Z279" i="16"/>
  <c r="Z252" i="16"/>
  <c r="Z225" i="16"/>
  <c r="Z198" i="16"/>
  <c r="Z171" i="16"/>
  <c r="Z144" i="16"/>
  <c r="Z357" i="16"/>
  <c r="Z384" i="16"/>
  <c r="Z330" i="16"/>
  <c r="Z303" i="16"/>
  <c r="Z276" i="16"/>
  <c r="Z249" i="16"/>
  <c r="Z222" i="16"/>
  <c r="Z195" i="16"/>
  <c r="Z168" i="16"/>
  <c r="Z141" i="16"/>
  <c r="C18" i="17"/>
  <c r="E158" i="15" s="1"/>
  <c r="D25" i="17"/>
  <c r="D23" i="17"/>
  <c r="F18" i="17"/>
  <c r="H158" i="15" s="1"/>
  <c r="G26" i="17"/>
  <c r="G25" i="17"/>
  <c r="G24" i="17"/>
  <c r="G23" i="17"/>
  <c r="H5" i="16"/>
  <c r="N19" i="17"/>
  <c r="O19" i="17"/>
  <c r="P19" i="17"/>
  <c r="Q19" i="17"/>
  <c r="T19" i="17"/>
  <c r="U19" i="17"/>
  <c r="V19" i="17"/>
  <c r="W19" i="17"/>
  <c r="K69" i="15"/>
  <c r="K105" i="15"/>
  <c r="K142" i="15"/>
  <c r="K180" i="15"/>
  <c r="K32" i="16"/>
  <c r="C156" i="15"/>
  <c r="C155" i="15"/>
  <c r="C9" i="16"/>
  <c r="C8" i="16"/>
  <c r="C3" i="17"/>
  <c r="X140" i="16"/>
  <c r="AJ5" i="16"/>
  <c r="AL5" i="16" s="1"/>
  <c r="AD5" i="16"/>
  <c r="AF5" i="16" s="1"/>
  <c r="AL357" i="16"/>
  <c r="AL384" i="16"/>
  <c r="AL330" i="16"/>
  <c r="AL303" i="16"/>
  <c r="AL276" i="16"/>
  <c r="AL249" i="16"/>
  <c r="AL222" i="16"/>
  <c r="AL195" i="16"/>
  <c r="AL114" i="16"/>
  <c r="AL87" i="16"/>
  <c r="AL168" i="16"/>
  <c r="AL141" i="16"/>
  <c r="AL60" i="16"/>
  <c r="AL33" i="16"/>
  <c r="AL6" i="16"/>
  <c r="E5" i="17"/>
  <c r="AG43" i="16"/>
  <c r="AG40" i="16"/>
  <c r="AG37" i="16"/>
  <c r="AG34" i="16"/>
  <c r="AG31" i="16"/>
  <c r="AH43" i="16"/>
  <c r="AH40" i="16"/>
  <c r="AH37" i="16"/>
  <c r="AH34" i="16"/>
  <c r="AH31" i="16"/>
  <c r="AD357" i="16"/>
  <c r="AD330" i="16"/>
  <c r="AD303" i="16"/>
  <c r="AD114" i="16"/>
  <c r="AD87" i="16"/>
  <c r="AD384" i="16"/>
  <c r="AD276" i="16"/>
  <c r="AD249" i="16"/>
  <c r="AD222" i="16"/>
  <c r="AD195" i="16"/>
  <c r="AD168" i="16"/>
  <c r="AD60" i="16"/>
  <c r="AD33" i="16"/>
  <c r="AD141" i="16"/>
  <c r="AD6" i="16"/>
  <c r="AK43" i="16"/>
  <c r="AK40" i="16"/>
  <c r="AK37" i="16"/>
  <c r="AK34" i="16"/>
  <c r="AK31" i="16"/>
  <c r="E19" i="17"/>
  <c r="AG357" i="16"/>
  <c r="AG384" i="16"/>
  <c r="AG330" i="16"/>
  <c r="AG303" i="16"/>
  <c r="AG276" i="16"/>
  <c r="AG249" i="16"/>
  <c r="AG222" i="16"/>
  <c r="AG195" i="16"/>
  <c r="AG114" i="16"/>
  <c r="AG87" i="16"/>
  <c r="AG168" i="16"/>
  <c r="AG141" i="16"/>
  <c r="AG60" i="16"/>
  <c r="AG33" i="16"/>
  <c r="AG6" i="16"/>
  <c r="AN43" i="16"/>
  <c r="AN40" i="16"/>
  <c r="AN37" i="16"/>
  <c r="AN34" i="16"/>
  <c r="AN31" i="16"/>
  <c r="AJ43" i="16"/>
  <c r="AJ40" i="16"/>
  <c r="AJ37" i="16"/>
  <c r="AJ34" i="16"/>
  <c r="AJ31" i="16"/>
  <c r="AF43" i="16"/>
  <c r="AF40" i="16"/>
  <c r="AF37" i="16"/>
  <c r="AF34" i="16"/>
  <c r="AF31" i="16"/>
  <c r="AJ384" i="16"/>
  <c r="AJ357" i="16"/>
  <c r="AJ276" i="16"/>
  <c r="AJ249" i="16"/>
  <c r="AJ222" i="16"/>
  <c r="AJ195" i="16"/>
  <c r="AJ330" i="16"/>
  <c r="AJ303" i="16"/>
  <c r="AJ168" i="16"/>
  <c r="AJ141" i="16"/>
  <c r="AJ87" i="16"/>
  <c r="AJ6" i="16"/>
  <c r="AJ60" i="16"/>
  <c r="AJ114" i="16"/>
  <c r="AJ33" i="16"/>
  <c r="D19" i="17"/>
  <c r="AF384" i="16"/>
  <c r="AF357" i="16"/>
  <c r="AF330" i="16"/>
  <c r="AF276" i="16"/>
  <c r="AF249" i="16"/>
  <c r="AF222" i="16"/>
  <c r="AF195" i="16"/>
  <c r="AF303" i="16"/>
  <c r="AF168" i="16"/>
  <c r="AF141" i="16"/>
  <c r="AF6" i="16"/>
  <c r="AF60" i="16"/>
  <c r="AF114" i="16"/>
  <c r="AF33" i="16"/>
  <c r="AF87" i="16"/>
  <c r="AD43" i="16"/>
  <c r="AD40" i="16"/>
  <c r="AD37" i="16"/>
  <c r="AD34" i="16"/>
  <c r="AD31" i="16"/>
  <c r="AL43" i="16"/>
  <c r="AL40" i="16"/>
  <c r="AL37" i="16"/>
  <c r="AL34" i="16"/>
  <c r="AL31" i="16"/>
  <c r="AO43" i="16"/>
  <c r="AO40" i="16"/>
  <c r="AO37" i="16"/>
  <c r="AO34" i="16"/>
  <c r="AO31" i="16"/>
  <c r="AK357" i="16"/>
  <c r="AK384" i="16"/>
  <c r="AK330" i="16"/>
  <c r="AK303" i="16"/>
  <c r="AK276" i="16"/>
  <c r="AK249" i="16"/>
  <c r="AK222" i="16"/>
  <c r="AK195" i="16"/>
  <c r="AK114" i="16"/>
  <c r="AK87" i="16"/>
  <c r="AK168" i="16"/>
  <c r="AK141" i="16"/>
  <c r="AK60" i="16"/>
  <c r="AK33" i="16"/>
  <c r="AK6" i="16"/>
  <c r="AM43" i="16"/>
  <c r="AM40" i="16"/>
  <c r="AM37" i="16"/>
  <c r="AM34" i="16"/>
  <c r="AM31" i="16"/>
  <c r="AI43" i="16"/>
  <c r="AI40" i="16"/>
  <c r="AI37" i="16"/>
  <c r="AI34" i="16"/>
  <c r="AI31" i="16"/>
  <c r="AE43" i="16"/>
  <c r="AE40" i="16"/>
  <c r="AE37" i="16"/>
  <c r="AE34" i="16"/>
  <c r="AE31" i="16"/>
  <c r="AM384" i="16"/>
  <c r="AM357" i="16"/>
  <c r="AM330" i="16"/>
  <c r="AM303" i="16"/>
  <c r="AM276" i="16"/>
  <c r="AM249" i="16"/>
  <c r="AM222" i="16"/>
  <c r="AM195" i="16"/>
  <c r="AM168" i="16"/>
  <c r="AM141" i="16"/>
  <c r="AM114" i="16"/>
  <c r="AM87" i="16"/>
  <c r="AM60" i="16"/>
  <c r="AM33" i="16"/>
  <c r="AM6" i="16"/>
  <c r="AE384" i="16"/>
  <c r="AE357" i="16"/>
  <c r="AE330" i="16"/>
  <c r="AE303" i="16"/>
  <c r="AE276" i="16"/>
  <c r="AE249" i="16"/>
  <c r="AE222" i="16"/>
  <c r="AE195" i="16"/>
  <c r="AE168" i="16"/>
  <c r="AE141" i="16"/>
  <c r="AE114" i="16"/>
  <c r="AE87" i="16"/>
  <c r="AE60" i="16"/>
  <c r="AE33" i="16"/>
  <c r="AE6" i="16"/>
  <c r="P20" i="17"/>
  <c r="AF63" i="16"/>
  <c r="U20" i="17"/>
  <c r="AK63" i="16"/>
  <c r="V20" i="17"/>
  <c r="AL63" i="16"/>
  <c r="S19" i="17"/>
  <c r="H19" i="17"/>
  <c r="R19" i="17"/>
  <c r="Y19" i="17"/>
  <c r="I19" i="17"/>
  <c r="X19" i="17"/>
  <c r="H6" i="16"/>
  <c r="H4" i="16"/>
  <c r="H3" i="16"/>
  <c r="H2" i="16"/>
  <c r="D3" i="17"/>
  <c r="E3" i="17"/>
  <c r="F3" i="17"/>
  <c r="G3" i="17"/>
  <c r="C4" i="17"/>
  <c r="D4" i="17"/>
  <c r="E4" i="17"/>
  <c r="F4" i="17"/>
  <c r="G4" i="17"/>
  <c r="C5" i="17"/>
  <c r="D5" i="17"/>
  <c r="F5" i="17"/>
  <c r="G5" i="17"/>
  <c r="B4" i="17"/>
  <c r="B5" i="17"/>
  <c r="B3" i="17"/>
  <c r="AD32" i="16"/>
  <c r="AF32" i="16" s="1"/>
  <c r="AJ32" i="16"/>
  <c r="AL32" i="16" s="1"/>
  <c r="AK360" i="16"/>
  <c r="AK387" i="16"/>
  <c r="AK333" i="16"/>
  <c r="AK306" i="16"/>
  <c r="AK279" i="16"/>
  <c r="AK252" i="16"/>
  <c r="AK225" i="16"/>
  <c r="AK198" i="16"/>
  <c r="AK117" i="16"/>
  <c r="AK90" i="16"/>
  <c r="AK171" i="16"/>
  <c r="AK144" i="16"/>
  <c r="AK36" i="16"/>
  <c r="AK9" i="16"/>
  <c r="AN384" i="16"/>
  <c r="AN357" i="16"/>
  <c r="AN303" i="16"/>
  <c r="AN276" i="16"/>
  <c r="AN249" i="16"/>
  <c r="AN222" i="16"/>
  <c r="AN195" i="16"/>
  <c r="AN330" i="16"/>
  <c r="AN168" i="16"/>
  <c r="AN141" i="16"/>
  <c r="AN6" i="16"/>
  <c r="AN114" i="16"/>
  <c r="AN33" i="16"/>
  <c r="AN87" i="16"/>
  <c r="AN60" i="16"/>
  <c r="AO70" i="16"/>
  <c r="AO67" i="16"/>
  <c r="AO64" i="16"/>
  <c r="AO61" i="16"/>
  <c r="AO58" i="16"/>
  <c r="AL70" i="16"/>
  <c r="AL67" i="16"/>
  <c r="AL64" i="16"/>
  <c r="AL61" i="16"/>
  <c r="AL58" i="16"/>
  <c r="E6" i="17"/>
  <c r="AG70" i="16"/>
  <c r="AG67" i="16"/>
  <c r="AG64" i="16"/>
  <c r="AG61" i="16"/>
  <c r="AG58" i="16"/>
  <c r="B19" i="17"/>
  <c r="X330" i="16"/>
  <c r="X357" i="16"/>
  <c r="X222" i="16"/>
  <c r="X303" i="16"/>
  <c r="X195" i="16"/>
  <c r="X276" i="16"/>
  <c r="X168" i="16"/>
  <c r="X249" i="16"/>
  <c r="X141" i="16"/>
  <c r="X384" i="16"/>
  <c r="AL360" i="16"/>
  <c r="AL387" i="16"/>
  <c r="AL333" i="16"/>
  <c r="AL306" i="16"/>
  <c r="AL279" i="16"/>
  <c r="AL252" i="16"/>
  <c r="AL225" i="16"/>
  <c r="AL198" i="16"/>
  <c r="AL117" i="16"/>
  <c r="AL90" i="16"/>
  <c r="AL171" i="16"/>
  <c r="AL144" i="16"/>
  <c r="AL36" i="16"/>
  <c r="AL9" i="16"/>
  <c r="G6" i="17"/>
  <c r="AI70" i="16"/>
  <c r="AI67" i="16"/>
  <c r="AI64" i="16"/>
  <c r="AI61" i="16"/>
  <c r="AI58" i="16"/>
  <c r="D6" i="17"/>
  <c r="AF67" i="16"/>
  <c r="AF64" i="16"/>
  <c r="AF61" i="16"/>
  <c r="AF58" i="16"/>
  <c r="AF70" i="16"/>
  <c r="AN58" i="16"/>
  <c r="AN70" i="16"/>
  <c r="AN67" i="16"/>
  <c r="AN64" i="16"/>
  <c r="AN61" i="16"/>
  <c r="B6" i="17"/>
  <c r="AD70" i="16"/>
  <c r="AD67" i="16"/>
  <c r="AD64" i="16"/>
  <c r="AD61" i="16"/>
  <c r="AD58" i="16"/>
  <c r="C19" i="17"/>
  <c r="Y384" i="16"/>
  <c r="X386" i="16" s="1"/>
  <c r="Z386" i="16" s="1"/>
  <c r="Y357" i="16"/>
  <c r="Y330" i="16"/>
  <c r="Y303" i="16"/>
  <c r="Y276" i="16"/>
  <c r="Y249" i="16"/>
  <c r="Y222" i="16"/>
  <c r="Y195" i="16"/>
  <c r="Y168" i="16"/>
  <c r="Y141" i="16"/>
  <c r="AO357" i="16"/>
  <c r="AO384" i="16"/>
  <c r="AO330" i="16"/>
  <c r="AO303" i="16"/>
  <c r="AO276" i="16"/>
  <c r="AO249" i="16"/>
  <c r="AO222" i="16"/>
  <c r="AO195" i="16"/>
  <c r="AO114" i="16"/>
  <c r="AO87" i="16"/>
  <c r="AO168" i="16"/>
  <c r="AO141" i="16"/>
  <c r="AO60" i="16"/>
  <c r="AO33" i="16"/>
  <c r="AO6" i="16"/>
  <c r="F19" i="17"/>
  <c r="AH357" i="16"/>
  <c r="AH384" i="16"/>
  <c r="AH330" i="16"/>
  <c r="AH303" i="16"/>
  <c r="AH114" i="16"/>
  <c r="AH87" i="16"/>
  <c r="AH168" i="16"/>
  <c r="AH141" i="16"/>
  <c r="AH60" i="16"/>
  <c r="AH33" i="16"/>
  <c r="AH6" i="16"/>
  <c r="AH276" i="16"/>
  <c r="AH249" i="16"/>
  <c r="AH222" i="16"/>
  <c r="AH195" i="16"/>
  <c r="G19" i="17"/>
  <c r="AI384" i="16"/>
  <c r="AI357" i="16"/>
  <c r="AI330" i="16"/>
  <c r="AI303" i="16"/>
  <c r="AI276" i="16"/>
  <c r="AI249" i="16"/>
  <c r="AI222" i="16"/>
  <c r="AI195" i="16"/>
  <c r="AI168" i="16"/>
  <c r="AI141" i="16"/>
  <c r="AI114" i="16"/>
  <c r="AI87" i="16"/>
  <c r="AI60" i="16"/>
  <c r="AI33" i="16"/>
  <c r="AI6" i="16"/>
  <c r="D20" i="17"/>
  <c r="AF387" i="16"/>
  <c r="AF333" i="16"/>
  <c r="AF360" i="16"/>
  <c r="AF306" i="16"/>
  <c r="AF279" i="16"/>
  <c r="AF252" i="16"/>
  <c r="AF225" i="16"/>
  <c r="AF198" i="16"/>
  <c r="AF171" i="16"/>
  <c r="AF144" i="16"/>
  <c r="AF9" i="16"/>
  <c r="AF90" i="16"/>
  <c r="AF36" i="16"/>
  <c r="AF117" i="16"/>
  <c r="C6" i="17"/>
  <c r="AE70" i="16"/>
  <c r="AE67" i="16"/>
  <c r="AE64" i="16"/>
  <c r="AE61" i="16"/>
  <c r="AE58" i="16"/>
  <c r="AM70" i="16"/>
  <c r="AM67" i="16"/>
  <c r="AM64" i="16"/>
  <c r="AM61" i="16"/>
  <c r="AM58" i="16"/>
  <c r="AJ70" i="16"/>
  <c r="AJ67" i="16"/>
  <c r="AJ64" i="16"/>
  <c r="AJ61" i="16"/>
  <c r="AJ58" i="16"/>
  <c r="AK70" i="16"/>
  <c r="AK67" i="16"/>
  <c r="AK64" i="16"/>
  <c r="AK61" i="16"/>
  <c r="AJ62" i="16" s="1"/>
  <c r="AK62" i="16" s="1"/>
  <c r="U22" i="16" s="1"/>
  <c r="AK58" i="16"/>
  <c r="F6" i="17"/>
  <c r="AH70" i="16"/>
  <c r="AH67" i="16"/>
  <c r="AH64" i="16"/>
  <c r="AH61" i="16"/>
  <c r="AH58" i="16"/>
  <c r="T20" i="17"/>
  <c r="AJ63" i="16"/>
  <c r="P21" i="17"/>
  <c r="U22" i="17"/>
  <c r="U21" i="17"/>
  <c r="X20" i="17"/>
  <c r="Y20" i="17"/>
  <c r="P22" i="17"/>
  <c r="H20" i="17"/>
  <c r="Q20" i="17"/>
  <c r="AG63" i="16"/>
  <c r="V21" i="17"/>
  <c r="V22" i="17"/>
  <c r="O20" i="17"/>
  <c r="AE63" i="16"/>
  <c r="T22" i="17"/>
  <c r="T21" i="17"/>
  <c r="W20" i="17"/>
  <c r="N20" i="17"/>
  <c r="AD63" i="16"/>
  <c r="I20" i="17"/>
  <c r="R20" i="17"/>
  <c r="AH63" i="16"/>
  <c r="S20" i="17"/>
  <c r="AI63" i="16"/>
  <c r="C119" i="15"/>
  <c r="C82" i="15"/>
  <c r="K101" i="15" s="1"/>
  <c r="C46" i="15"/>
  <c r="N16" i="6"/>
  <c r="N17" i="6"/>
  <c r="N18" i="6"/>
  <c r="N15" i="6"/>
  <c r="X332" i="16"/>
  <c r="AD59" i="16"/>
  <c r="AF59" i="16" s="1"/>
  <c r="AJ59" i="16"/>
  <c r="AK59" i="16" s="1"/>
  <c r="U21" i="16" s="1"/>
  <c r="X170" i="16"/>
  <c r="D21" i="17"/>
  <c r="AF390" i="16"/>
  <c r="AF363" i="16"/>
  <c r="AF309" i="16"/>
  <c r="AF282" i="16"/>
  <c r="AF255" i="16"/>
  <c r="AF228" i="16"/>
  <c r="AF201" i="16"/>
  <c r="AF174" i="16"/>
  <c r="AF147" i="16"/>
  <c r="AF336" i="16"/>
  <c r="AF12" i="16"/>
  <c r="AF66" i="16"/>
  <c r="AF120" i="16"/>
  <c r="AF39" i="16"/>
  <c r="AF93" i="16"/>
  <c r="D22" i="17"/>
  <c r="AF393" i="16"/>
  <c r="AF366" i="16"/>
  <c r="AF312" i="16"/>
  <c r="AF339" i="16"/>
  <c r="AF285" i="16"/>
  <c r="AF258" i="16"/>
  <c r="AF231" i="16"/>
  <c r="AF204" i="16"/>
  <c r="AF177" i="16"/>
  <c r="AF150" i="16"/>
  <c r="AF15" i="16"/>
  <c r="AF96" i="16"/>
  <c r="AF42" i="16"/>
  <c r="AF123" i="16"/>
  <c r="AF69" i="16"/>
  <c r="AN94" i="16"/>
  <c r="AN88" i="16"/>
  <c r="AN97" i="16"/>
  <c r="AN91" i="16"/>
  <c r="AN85" i="16"/>
  <c r="G7" i="17"/>
  <c r="AI97" i="16"/>
  <c r="AI94" i="16"/>
  <c r="AI91" i="16"/>
  <c r="AI88" i="16"/>
  <c r="AI85" i="16"/>
  <c r="F20" i="17"/>
  <c r="AH360" i="16"/>
  <c r="AH387" i="16"/>
  <c r="AH333" i="16"/>
  <c r="AH306" i="16"/>
  <c r="AH117" i="16"/>
  <c r="AH90" i="16"/>
  <c r="AH171" i="16"/>
  <c r="AH144" i="16"/>
  <c r="AH36" i="16"/>
  <c r="AH252" i="16"/>
  <c r="AH225" i="16"/>
  <c r="AH198" i="16"/>
  <c r="AH9" i="16"/>
  <c r="AH279" i="16"/>
  <c r="AJ390" i="16"/>
  <c r="AJ336" i="16"/>
  <c r="AJ363" i="16"/>
  <c r="AJ309" i="16"/>
  <c r="AJ255" i="16"/>
  <c r="AJ228" i="16"/>
  <c r="AJ201" i="16"/>
  <c r="AJ282" i="16"/>
  <c r="AJ174" i="16"/>
  <c r="AJ147" i="16"/>
  <c r="AJ93" i="16"/>
  <c r="AJ12" i="16"/>
  <c r="AJ66" i="16"/>
  <c r="AJ120" i="16"/>
  <c r="AJ39" i="16"/>
  <c r="AL366" i="16"/>
  <c r="AL339" i="16"/>
  <c r="AL393" i="16"/>
  <c r="AL285" i="16"/>
  <c r="AL312" i="16"/>
  <c r="AL258" i="16"/>
  <c r="AL231" i="16"/>
  <c r="AL204" i="16"/>
  <c r="AL123" i="16"/>
  <c r="AL96" i="16"/>
  <c r="AL69" i="16"/>
  <c r="AL177" i="16"/>
  <c r="AL150" i="16"/>
  <c r="AL42" i="16"/>
  <c r="AL15" i="16"/>
  <c r="X333" i="16"/>
  <c r="X387" i="16"/>
  <c r="X360" i="16"/>
  <c r="X144" i="16"/>
  <c r="X252" i="16"/>
  <c r="X171" i="16"/>
  <c r="X279" i="16"/>
  <c r="X198" i="16"/>
  <c r="X306" i="16"/>
  <c r="X225" i="16"/>
  <c r="AO360" i="16"/>
  <c r="AO387" i="16"/>
  <c r="AO333" i="16"/>
  <c r="AO306" i="16"/>
  <c r="AO279" i="16"/>
  <c r="AO252" i="16"/>
  <c r="AO225" i="16"/>
  <c r="AO198" i="16"/>
  <c r="AO117" i="16"/>
  <c r="AO90" i="16"/>
  <c r="AO171" i="16"/>
  <c r="AO144" i="16"/>
  <c r="AO63" i="16"/>
  <c r="AO36" i="16"/>
  <c r="AO9" i="16"/>
  <c r="AK363" i="16"/>
  <c r="AK390" i="16"/>
  <c r="AK336" i="16"/>
  <c r="AK309" i="16"/>
  <c r="AK282" i="16"/>
  <c r="AK255" i="16"/>
  <c r="AK228" i="16"/>
  <c r="AK201" i="16"/>
  <c r="AK120" i="16"/>
  <c r="AK93" i="16"/>
  <c r="AK174" i="16"/>
  <c r="AK147" i="16"/>
  <c r="AK66" i="16"/>
  <c r="AK39" i="16"/>
  <c r="AK12" i="16"/>
  <c r="AJ387" i="16"/>
  <c r="AJ360" i="16"/>
  <c r="AJ333" i="16"/>
  <c r="AJ279" i="16"/>
  <c r="AJ252" i="16"/>
  <c r="AJ225" i="16"/>
  <c r="AJ198" i="16"/>
  <c r="AJ306" i="16"/>
  <c r="AJ171" i="16"/>
  <c r="AJ144" i="16"/>
  <c r="AJ117" i="16"/>
  <c r="AJ9" i="16"/>
  <c r="AJ90" i="16"/>
  <c r="AJ36" i="16"/>
  <c r="AK97" i="16"/>
  <c r="AK94" i="16"/>
  <c r="AK91" i="16"/>
  <c r="AK88" i="16"/>
  <c r="AK85" i="16"/>
  <c r="C7" i="17"/>
  <c r="AE97" i="16"/>
  <c r="AE94" i="16"/>
  <c r="AE91" i="16"/>
  <c r="AE88" i="16"/>
  <c r="AE85" i="16"/>
  <c r="AO97" i="16"/>
  <c r="AO94" i="16"/>
  <c r="AO91" i="16"/>
  <c r="AO88" i="16"/>
  <c r="AO85" i="16"/>
  <c r="AD360" i="16"/>
  <c r="AD333" i="16"/>
  <c r="AD306" i="16"/>
  <c r="AD387" i="16"/>
  <c r="AD117" i="16"/>
  <c r="AD90" i="16"/>
  <c r="AD279" i="16"/>
  <c r="AD252" i="16"/>
  <c r="AD225" i="16"/>
  <c r="AD198" i="16"/>
  <c r="AD144" i="16"/>
  <c r="AD36" i="16"/>
  <c r="AD171" i="16"/>
  <c r="AD9" i="16"/>
  <c r="AJ393" i="16"/>
  <c r="AJ312" i="16"/>
  <c r="AJ366" i="16"/>
  <c r="AJ339" i="16"/>
  <c r="AJ285" i="16"/>
  <c r="AJ258" i="16"/>
  <c r="AJ231" i="16"/>
  <c r="AJ204" i="16"/>
  <c r="AJ177" i="16"/>
  <c r="AJ150" i="16"/>
  <c r="AJ123" i="16"/>
  <c r="AJ69" i="16"/>
  <c r="AJ15" i="16"/>
  <c r="AJ96" i="16"/>
  <c r="AJ42" i="16"/>
  <c r="AL363" i="16"/>
  <c r="AL390" i="16"/>
  <c r="AL336" i="16"/>
  <c r="AL309" i="16"/>
  <c r="AL282" i="16"/>
  <c r="AL255" i="16"/>
  <c r="AL228" i="16"/>
  <c r="AL201" i="16"/>
  <c r="AL120" i="16"/>
  <c r="AL93" i="16"/>
  <c r="AL174" i="16"/>
  <c r="AL147" i="16"/>
  <c r="AL66" i="16"/>
  <c r="AL39" i="16"/>
  <c r="AL12" i="16"/>
  <c r="AK366" i="16"/>
  <c r="AK339" i="16"/>
  <c r="AK393" i="16"/>
  <c r="AK285" i="16"/>
  <c r="AK312" i="16"/>
  <c r="AK258" i="16"/>
  <c r="AK231" i="16"/>
  <c r="AK204" i="16"/>
  <c r="AK123" i="16"/>
  <c r="AK96" i="16"/>
  <c r="AK69" i="16"/>
  <c r="AK177" i="16"/>
  <c r="AK150" i="16"/>
  <c r="AK42" i="16"/>
  <c r="AK15" i="16"/>
  <c r="B7" i="17"/>
  <c r="AD97" i="16"/>
  <c r="AD94" i="16"/>
  <c r="AD91" i="16"/>
  <c r="AD88" i="16"/>
  <c r="AD85" i="16"/>
  <c r="D7" i="17"/>
  <c r="AF97" i="16"/>
  <c r="AF91" i="16"/>
  <c r="AF85" i="16"/>
  <c r="AF94" i="16"/>
  <c r="AF88" i="16"/>
  <c r="E7" i="17"/>
  <c r="AG97" i="16"/>
  <c r="AG94" i="16"/>
  <c r="AG91" i="16"/>
  <c r="AG88" i="16"/>
  <c r="AG85" i="16"/>
  <c r="G20" i="17"/>
  <c r="AI387" i="16"/>
  <c r="AI360" i="16"/>
  <c r="AI333" i="16"/>
  <c r="AI306" i="16"/>
  <c r="AI279" i="16"/>
  <c r="AI252" i="16"/>
  <c r="AI225" i="16"/>
  <c r="AI198" i="16"/>
  <c r="AI171" i="16"/>
  <c r="AI144" i="16"/>
  <c r="AI117" i="16"/>
  <c r="AI90" i="16"/>
  <c r="AI36" i="16"/>
  <c r="AI9" i="16"/>
  <c r="C20" i="17"/>
  <c r="Y387" i="16"/>
  <c r="Y360" i="16"/>
  <c r="Y306" i="16"/>
  <c r="X308" i="16" s="1"/>
  <c r="Y279" i="16"/>
  <c r="Y252" i="16"/>
  <c r="X254" i="16" s="1"/>
  <c r="Y254" i="16" s="1"/>
  <c r="O86" i="16" s="1"/>
  <c r="Y225" i="16"/>
  <c r="Y198" i="16"/>
  <c r="Y333" i="16"/>
  <c r="Y171" i="16"/>
  <c r="Y144" i="16"/>
  <c r="AM387" i="16"/>
  <c r="AM360" i="16"/>
  <c r="AM333" i="16"/>
  <c r="AM306" i="16"/>
  <c r="AM279" i="16"/>
  <c r="AM252" i="16"/>
  <c r="AM225" i="16"/>
  <c r="AM198" i="16"/>
  <c r="AM171" i="16"/>
  <c r="AM144" i="16"/>
  <c r="AM117" i="16"/>
  <c r="AM90" i="16"/>
  <c r="AM63" i="16"/>
  <c r="AM36" i="16"/>
  <c r="AM9" i="16"/>
  <c r="AE387" i="16"/>
  <c r="AE360" i="16"/>
  <c r="AE333" i="16"/>
  <c r="AE306" i="16"/>
  <c r="AE279" i="16"/>
  <c r="AE252" i="16"/>
  <c r="AE225" i="16"/>
  <c r="AE198" i="16"/>
  <c r="AE171" i="16"/>
  <c r="AE144" i="16"/>
  <c r="AE117" i="16"/>
  <c r="AE90" i="16"/>
  <c r="AE36" i="16"/>
  <c r="AE9" i="16"/>
  <c r="E20" i="17"/>
  <c r="AG360" i="16"/>
  <c r="AG387" i="16"/>
  <c r="AG333" i="16"/>
  <c r="AG306" i="16"/>
  <c r="AG279" i="16"/>
  <c r="AG252" i="16"/>
  <c r="AG225" i="16"/>
  <c r="AG198" i="16"/>
  <c r="AG117" i="16"/>
  <c r="AG90" i="16"/>
  <c r="AG171" i="16"/>
  <c r="AG144" i="16"/>
  <c r="AG36" i="16"/>
  <c r="AG9" i="16"/>
  <c r="AN387" i="16"/>
  <c r="AN360" i="16"/>
  <c r="AN279" i="16"/>
  <c r="AN252" i="16"/>
  <c r="AN225" i="16"/>
  <c r="AN198" i="16"/>
  <c r="AN333" i="16"/>
  <c r="AN306" i="16"/>
  <c r="AN171" i="16"/>
  <c r="AN144" i="16"/>
  <c r="AN9" i="16"/>
  <c r="AN90" i="16"/>
  <c r="AN36" i="16"/>
  <c r="AN117" i="16"/>
  <c r="AN63" i="16"/>
  <c r="F7" i="17"/>
  <c r="AH97" i="16"/>
  <c r="AH94" i="16"/>
  <c r="AH91" i="16"/>
  <c r="AH88" i="16"/>
  <c r="AH85" i="16"/>
  <c r="AJ97" i="16"/>
  <c r="AJ91" i="16"/>
  <c r="AJ85" i="16"/>
  <c r="AJ94" i="16"/>
  <c r="AJ88" i="16"/>
  <c r="AM97" i="16"/>
  <c r="AM94" i="16"/>
  <c r="AM91" i="16"/>
  <c r="AM88" i="16"/>
  <c r="AM85" i="16"/>
  <c r="AL97" i="16"/>
  <c r="AL94" i="16"/>
  <c r="AL91" i="16"/>
  <c r="AL88" i="16"/>
  <c r="AL85" i="16"/>
  <c r="F11" i="16"/>
  <c r="F19" i="16" s="1"/>
  <c r="B20" i="17"/>
  <c r="S22" i="17"/>
  <c r="S21" i="17"/>
  <c r="I21" i="17"/>
  <c r="W22" i="17"/>
  <c r="W21" i="17"/>
  <c r="O22" i="17"/>
  <c r="O21" i="17"/>
  <c r="Q22" i="17"/>
  <c r="Q21" i="17"/>
  <c r="X22" i="17"/>
  <c r="X21" i="17"/>
  <c r="N22" i="17"/>
  <c r="N21" i="17"/>
  <c r="R22" i="17"/>
  <c r="R21" i="17"/>
  <c r="H21" i="17"/>
  <c r="Y22" i="17"/>
  <c r="Y21" i="17"/>
  <c r="AJ65" i="16"/>
  <c r="AD86" i="16"/>
  <c r="AF86" i="16" s="1"/>
  <c r="AJ86" i="16"/>
  <c r="AL86" i="16" s="1"/>
  <c r="X146" i="16"/>
  <c r="Y146" i="16" s="1"/>
  <c r="O50" i="16" s="1"/>
  <c r="AO366" i="16"/>
  <c r="AO339" i="16"/>
  <c r="AO393" i="16"/>
  <c r="AO285" i="16"/>
  <c r="AO312" i="16"/>
  <c r="AO258" i="16"/>
  <c r="AO231" i="16"/>
  <c r="AO204" i="16"/>
  <c r="AO123" i="16"/>
  <c r="AO96" i="16"/>
  <c r="AO69" i="16"/>
  <c r="AO177" i="16"/>
  <c r="AO150" i="16"/>
  <c r="AO42" i="16"/>
  <c r="AO15" i="16"/>
  <c r="AN393" i="16"/>
  <c r="AN339" i="16"/>
  <c r="AN312" i="16"/>
  <c r="AN366" i="16"/>
  <c r="AN258" i="16"/>
  <c r="AN231" i="16"/>
  <c r="AN204" i="16"/>
  <c r="AN285" i="16"/>
  <c r="AN177" i="16"/>
  <c r="AN150" i="16"/>
  <c r="AN15" i="16"/>
  <c r="AN96" i="16"/>
  <c r="AN42" i="16"/>
  <c r="AN123" i="16"/>
  <c r="AN69" i="16"/>
  <c r="AM390" i="16"/>
  <c r="AM363" i="16"/>
  <c r="AM336" i="16"/>
  <c r="AM309" i="16"/>
  <c r="AM282" i="16"/>
  <c r="AM255" i="16"/>
  <c r="AM228" i="16"/>
  <c r="AM201" i="16"/>
  <c r="AM174" i="16"/>
  <c r="AM147" i="16"/>
  <c r="AM120" i="16"/>
  <c r="AM93" i="16"/>
  <c r="AM66" i="16"/>
  <c r="AM39" i="16"/>
  <c r="AM12" i="16"/>
  <c r="E8" i="17"/>
  <c r="AG124" i="16"/>
  <c r="AG121" i="16"/>
  <c r="AG118" i="16"/>
  <c r="AG115" i="16"/>
  <c r="AG112" i="16"/>
  <c r="AD366" i="16"/>
  <c r="AD339" i="16"/>
  <c r="AD285" i="16"/>
  <c r="AD393" i="16"/>
  <c r="AD312" i="16"/>
  <c r="AD123" i="16"/>
  <c r="AD96" i="16"/>
  <c r="AD69" i="16"/>
  <c r="AD258" i="16"/>
  <c r="AD231" i="16"/>
  <c r="AD204" i="16"/>
  <c r="AD42" i="16"/>
  <c r="AD150" i="16"/>
  <c r="AD15" i="16"/>
  <c r="AD177" i="16"/>
  <c r="AM393" i="16"/>
  <c r="AM366" i="16"/>
  <c r="AM339" i="16"/>
  <c r="AM285" i="16"/>
  <c r="AM258" i="16"/>
  <c r="AM231" i="16"/>
  <c r="AM204" i="16"/>
  <c r="AM312" i="16"/>
  <c r="AM177" i="16"/>
  <c r="AM150" i="16"/>
  <c r="AM123" i="16"/>
  <c r="AM96" i="16"/>
  <c r="AM69" i="16"/>
  <c r="AM42" i="16"/>
  <c r="AM15" i="16"/>
  <c r="G22" i="17"/>
  <c r="AI393" i="16"/>
  <c r="AI366" i="16"/>
  <c r="AI339" i="16"/>
  <c r="AI312" i="16"/>
  <c r="AI285" i="16"/>
  <c r="AI258" i="16"/>
  <c r="AI231" i="16"/>
  <c r="AI204" i="16"/>
  <c r="AI177" i="16"/>
  <c r="AI150" i="16"/>
  <c r="AI123" i="16"/>
  <c r="AI96" i="16"/>
  <c r="AI69" i="16"/>
  <c r="AI42" i="16"/>
  <c r="AI15" i="16"/>
  <c r="AL124" i="16"/>
  <c r="AL121" i="16"/>
  <c r="AL118" i="16"/>
  <c r="AL115" i="16"/>
  <c r="AL112" i="16"/>
  <c r="AM124" i="16"/>
  <c r="AM121" i="16"/>
  <c r="AM118" i="16"/>
  <c r="AM115" i="16"/>
  <c r="AM112" i="16"/>
  <c r="F8" i="17"/>
  <c r="AH124" i="16"/>
  <c r="AH121" i="16"/>
  <c r="AH118" i="16"/>
  <c r="AH115" i="16"/>
  <c r="AH112" i="16"/>
  <c r="D8" i="17"/>
  <c r="AF121" i="16"/>
  <c r="AF115" i="16"/>
  <c r="AF124" i="16"/>
  <c r="AF118" i="16"/>
  <c r="AF112" i="16"/>
  <c r="AK124" i="16"/>
  <c r="AK121" i="16"/>
  <c r="AK118" i="16"/>
  <c r="AK115" i="16"/>
  <c r="AK112" i="16"/>
  <c r="AN124" i="16"/>
  <c r="AN118" i="16"/>
  <c r="AN112" i="16"/>
  <c r="AN121" i="16"/>
  <c r="AN115" i="16"/>
  <c r="F22" i="17"/>
  <c r="AH366" i="16"/>
  <c r="AH339" i="16"/>
  <c r="AH393" i="16"/>
  <c r="AH285" i="16"/>
  <c r="AH312" i="16"/>
  <c r="AH123" i="16"/>
  <c r="AH96" i="16"/>
  <c r="AH69" i="16"/>
  <c r="AH177" i="16"/>
  <c r="AH150" i="16"/>
  <c r="AH42" i="16"/>
  <c r="AH15" i="16"/>
  <c r="AH258" i="16"/>
  <c r="AH231" i="16"/>
  <c r="AH204" i="16"/>
  <c r="AE393" i="16"/>
  <c r="AE366" i="16"/>
  <c r="AE339" i="16"/>
  <c r="AE312" i="16"/>
  <c r="AE285" i="16"/>
  <c r="AE258" i="16"/>
  <c r="AE231" i="16"/>
  <c r="AE204" i="16"/>
  <c r="AE177" i="16"/>
  <c r="AE150" i="16"/>
  <c r="AE123" i="16"/>
  <c r="AE96" i="16"/>
  <c r="AE69" i="16"/>
  <c r="AE42" i="16"/>
  <c r="AE15" i="16"/>
  <c r="B21" i="17"/>
  <c r="X336" i="16"/>
  <c r="X390" i="16"/>
  <c r="X363" i="16"/>
  <c r="X228" i="16"/>
  <c r="X309" i="16"/>
  <c r="X201" i="16"/>
  <c r="X282" i="16"/>
  <c r="X174" i="16"/>
  <c r="X255" i="16"/>
  <c r="X147" i="16"/>
  <c r="AD363" i="16"/>
  <c r="AD336" i="16"/>
  <c r="AD309" i="16"/>
  <c r="AD282" i="16"/>
  <c r="AD390" i="16"/>
  <c r="AD120" i="16"/>
  <c r="AD93" i="16"/>
  <c r="AD255" i="16"/>
  <c r="AD228" i="16"/>
  <c r="AD201" i="16"/>
  <c r="AD174" i="16"/>
  <c r="AD66" i="16"/>
  <c r="AD39" i="16"/>
  <c r="AD12" i="16"/>
  <c r="AD147" i="16"/>
  <c r="E21" i="17"/>
  <c r="AG363" i="16"/>
  <c r="AG390" i="16"/>
  <c r="AG336" i="16"/>
  <c r="AG309" i="16"/>
  <c r="AG282" i="16"/>
  <c r="AG255" i="16"/>
  <c r="AG228" i="16"/>
  <c r="AG201" i="16"/>
  <c r="AG120" i="16"/>
  <c r="AG93" i="16"/>
  <c r="AG174" i="16"/>
  <c r="AG147" i="16"/>
  <c r="AG66" i="16"/>
  <c r="AG39" i="16"/>
  <c r="AG12" i="16"/>
  <c r="G21" i="17"/>
  <c r="AI390" i="16"/>
  <c r="AI363" i="16"/>
  <c r="AI336" i="16"/>
  <c r="AI309" i="16"/>
  <c r="AI282" i="16"/>
  <c r="AI255" i="16"/>
  <c r="AI228" i="16"/>
  <c r="AI201" i="16"/>
  <c r="AI174" i="16"/>
  <c r="AI147" i="16"/>
  <c r="AI120" i="16"/>
  <c r="AI93" i="16"/>
  <c r="AI66" i="16"/>
  <c r="AI39" i="16"/>
  <c r="AI12" i="16"/>
  <c r="E22" i="17"/>
  <c r="AG366" i="16"/>
  <c r="AG339" i="16"/>
  <c r="AG393" i="16"/>
  <c r="AG285" i="16"/>
  <c r="AG312" i="16"/>
  <c r="AG258" i="16"/>
  <c r="AG231" i="16"/>
  <c r="AG204" i="16"/>
  <c r="AG123" i="16"/>
  <c r="AG96" i="16"/>
  <c r="AG69" i="16"/>
  <c r="AG177" i="16"/>
  <c r="AG150" i="16"/>
  <c r="AG42" i="16"/>
  <c r="AG15" i="16"/>
  <c r="AO363" i="16"/>
  <c r="AO390" i="16"/>
  <c r="AO336" i="16"/>
  <c r="AO309" i="16"/>
  <c r="AO282" i="16"/>
  <c r="AO255" i="16"/>
  <c r="AO228" i="16"/>
  <c r="AO201" i="16"/>
  <c r="AO120" i="16"/>
  <c r="AO93" i="16"/>
  <c r="AO174" i="16"/>
  <c r="AO147" i="16"/>
  <c r="AO66" i="16"/>
  <c r="AO39" i="16"/>
  <c r="AO12" i="16"/>
  <c r="F21" i="17"/>
  <c r="AH363" i="16"/>
  <c r="AH390" i="16"/>
  <c r="AH336" i="16"/>
  <c r="AH309" i="16"/>
  <c r="AH282" i="16"/>
  <c r="AH120" i="16"/>
  <c r="AH93" i="16"/>
  <c r="AH174" i="16"/>
  <c r="AH147" i="16"/>
  <c r="AH201" i="16"/>
  <c r="AH66" i="16"/>
  <c r="AH39" i="16"/>
  <c r="AH12" i="16"/>
  <c r="AH255" i="16"/>
  <c r="AH228" i="16"/>
  <c r="AN390" i="16"/>
  <c r="AN363" i="16"/>
  <c r="AN336" i="16"/>
  <c r="AN255" i="16"/>
  <c r="AN228" i="16"/>
  <c r="AN201" i="16"/>
  <c r="AN309" i="16"/>
  <c r="AN282" i="16"/>
  <c r="AN174" i="16"/>
  <c r="AN147" i="16"/>
  <c r="AN12" i="16"/>
  <c r="AN120" i="16"/>
  <c r="AN39" i="16"/>
  <c r="AN93" i="16"/>
  <c r="AN66" i="16"/>
  <c r="AE390" i="16"/>
  <c r="AE363" i="16"/>
  <c r="AE336" i="16"/>
  <c r="AE309" i="16"/>
  <c r="AE282" i="16"/>
  <c r="AE255" i="16"/>
  <c r="AE228" i="16"/>
  <c r="AE201" i="16"/>
  <c r="AE174" i="16"/>
  <c r="AE147" i="16"/>
  <c r="AE120" i="16"/>
  <c r="AE93" i="16"/>
  <c r="AE66" i="16"/>
  <c r="AE39" i="16"/>
  <c r="AE12" i="16"/>
  <c r="Y390" i="16"/>
  <c r="Y363" i="16"/>
  <c r="Y282" i="16"/>
  <c r="X284" i="16" s="1"/>
  <c r="Z284" i="16" s="1"/>
  <c r="Y255" i="16"/>
  <c r="Y228" i="16"/>
  <c r="Y201" i="16"/>
  <c r="Y336" i="16"/>
  <c r="Y309" i="16"/>
  <c r="X311" i="16" s="1"/>
  <c r="Y174" i="16"/>
  <c r="Y147" i="16"/>
  <c r="AO124" i="16"/>
  <c r="AO121" i="16"/>
  <c r="AO118" i="16"/>
  <c r="AO115" i="16"/>
  <c r="AO112" i="16"/>
  <c r="AJ121" i="16"/>
  <c r="AJ115" i="16"/>
  <c r="AJ124" i="16"/>
  <c r="AJ125" i="16" s="1"/>
  <c r="AL125" i="16" s="1"/>
  <c r="AJ118" i="16"/>
  <c r="AJ112" i="16"/>
  <c r="B8" i="17"/>
  <c r="AD124" i="16"/>
  <c r="AD121" i="16"/>
  <c r="AD118" i="16"/>
  <c r="AD115" i="16"/>
  <c r="AD112" i="16"/>
  <c r="C8" i="17"/>
  <c r="AE124" i="16"/>
  <c r="AE121" i="16"/>
  <c r="AE118" i="16"/>
  <c r="AE115" i="16"/>
  <c r="AE112" i="16"/>
  <c r="G8" i="17"/>
  <c r="AI124" i="16"/>
  <c r="AI121" i="16"/>
  <c r="AI118" i="16"/>
  <c r="AI115" i="16"/>
  <c r="AI112" i="16"/>
  <c r="I11" i="16"/>
  <c r="I19" i="16" s="1"/>
  <c r="G11" i="16"/>
  <c r="I17" i="16" s="1"/>
  <c r="H11" i="16"/>
  <c r="I18" i="16" s="1"/>
  <c r="C21" i="17"/>
  <c r="I22" i="17"/>
  <c r="H22" i="17"/>
  <c r="AJ44" i="16"/>
  <c r="AJ98" i="16"/>
  <c r="AD113" i="16"/>
  <c r="AF113" i="16" s="1"/>
  <c r="AJ95" i="16"/>
  <c r="AL95" i="16" s="1"/>
  <c r="AD122" i="16"/>
  <c r="X176" i="16"/>
  <c r="AJ113" i="16"/>
  <c r="AL113" i="16" s="1"/>
  <c r="AK86" i="16"/>
  <c r="U30" i="16" s="1"/>
  <c r="AM151" i="16"/>
  <c r="AM148" i="16"/>
  <c r="AM145" i="16"/>
  <c r="AM142" i="16"/>
  <c r="AM139" i="16"/>
  <c r="AO151" i="16"/>
  <c r="AO148" i="16"/>
  <c r="AO145" i="16"/>
  <c r="AO142" i="16"/>
  <c r="AO139" i="16"/>
  <c r="E9" i="17"/>
  <c r="G159" i="15" s="1"/>
  <c r="AG151" i="16"/>
  <c r="AG148" i="16"/>
  <c r="AG145" i="16"/>
  <c r="AG142" i="16"/>
  <c r="AG139" i="16"/>
  <c r="B22" i="17"/>
  <c r="X366" i="16"/>
  <c r="X339" i="16"/>
  <c r="X150" i="16"/>
  <c r="X258" i="16"/>
  <c r="X177" i="16"/>
  <c r="X285" i="16"/>
  <c r="X393" i="16"/>
  <c r="X204" i="16"/>
  <c r="X312" i="16"/>
  <c r="X231" i="16"/>
  <c r="G9" i="17"/>
  <c r="I12" i="16" s="1"/>
  <c r="I24" i="16" s="1"/>
  <c r="AI151" i="16"/>
  <c r="AI148" i="16"/>
  <c r="AI145" i="16"/>
  <c r="AI142" i="16"/>
  <c r="AI139" i="16"/>
  <c r="D9" i="17"/>
  <c r="F12" i="16" s="1"/>
  <c r="F24" i="16" s="1"/>
  <c r="AF151" i="16"/>
  <c r="AF148" i="16"/>
  <c r="AF145" i="16"/>
  <c r="AF142" i="16"/>
  <c r="AF139" i="16"/>
  <c r="F9" i="17"/>
  <c r="H12" i="16" s="1"/>
  <c r="AH151" i="16"/>
  <c r="AH148" i="16"/>
  <c r="AH145" i="16"/>
  <c r="AH142" i="16"/>
  <c r="AH139" i="16"/>
  <c r="AL151" i="16"/>
  <c r="AL148" i="16"/>
  <c r="AL145" i="16"/>
  <c r="AL142" i="16"/>
  <c r="AL139" i="16"/>
  <c r="C22" i="17"/>
  <c r="Y393" i="16"/>
  <c r="Y366" i="16"/>
  <c r="Y339" i="16"/>
  <c r="Y312" i="16"/>
  <c r="Y258" i="16"/>
  <c r="X260" i="16" s="1"/>
  <c r="Y231" i="16"/>
  <c r="Y204" i="16"/>
  <c r="Y285" i="16"/>
  <c r="Y150" i="16"/>
  <c r="Y177" i="16"/>
  <c r="C9" i="17"/>
  <c r="E159" i="15" s="1"/>
  <c r="AE151" i="16"/>
  <c r="AE148" i="16"/>
  <c r="AE145" i="16"/>
  <c r="AE142" i="16"/>
  <c r="AE139" i="16"/>
  <c r="B9" i="17"/>
  <c r="D159" i="15" s="1"/>
  <c r="F169" i="15" s="1"/>
  <c r="AD151" i="16"/>
  <c r="AD148" i="16"/>
  <c r="AD145" i="16"/>
  <c r="AD142" i="16"/>
  <c r="AD139" i="16"/>
  <c r="AJ151" i="16"/>
  <c r="AJ148" i="16"/>
  <c r="AJ145" i="16"/>
  <c r="AJ142" i="16"/>
  <c r="AJ139" i="16"/>
  <c r="AN151" i="16"/>
  <c r="AN148" i="16"/>
  <c r="AN145" i="16"/>
  <c r="AN142" i="16"/>
  <c r="AN139" i="16"/>
  <c r="AK151" i="16"/>
  <c r="AK148" i="16"/>
  <c r="AK145" i="16"/>
  <c r="AK142" i="16"/>
  <c r="AK139" i="16"/>
  <c r="H23" i="17"/>
  <c r="I23" i="17"/>
  <c r="H159" i="15"/>
  <c r="I170" i="15" s="1"/>
  <c r="AJ149" i="16"/>
  <c r="AK149" i="16" s="1"/>
  <c r="U51" i="16" s="1"/>
  <c r="AJ140" i="16"/>
  <c r="AK140" i="16" s="1"/>
  <c r="U48" i="16" s="1"/>
  <c r="AD140" i="16"/>
  <c r="AF140" i="16" s="1"/>
  <c r="X206" i="16"/>
  <c r="Y206" i="16" s="1"/>
  <c r="O70" i="16" s="1"/>
  <c r="E10" i="17"/>
  <c r="AG178" i="16"/>
  <c r="AG175" i="16"/>
  <c r="AG172" i="16"/>
  <c r="AG169" i="16"/>
  <c r="AG166" i="16"/>
  <c r="AK178" i="16"/>
  <c r="AK175" i="16"/>
  <c r="AK172" i="16"/>
  <c r="AK169" i="16"/>
  <c r="AK166" i="16"/>
  <c r="G10" i="17"/>
  <c r="AI178" i="16"/>
  <c r="AI175" i="16"/>
  <c r="AI172" i="16"/>
  <c r="AI169" i="16"/>
  <c r="AI166" i="16"/>
  <c r="AO178" i="16"/>
  <c r="AO175" i="16"/>
  <c r="AO172" i="16"/>
  <c r="AO169" i="16"/>
  <c r="AO166" i="16"/>
  <c r="B10" i="17"/>
  <c r="AD178" i="16"/>
  <c r="AD175" i="16"/>
  <c r="AD172" i="16"/>
  <c r="AD169" i="16"/>
  <c r="AD166" i="16"/>
  <c r="F10" i="17"/>
  <c r="AH178" i="16"/>
  <c r="AH175" i="16"/>
  <c r="AH172" i="16"/>
  <c r="AH169" i="16"/>
  <c r="AH166" i="16"/>
  <c r="B23" i="17"/>
  <c r="X342" i="16"/>
  <c r="X396" i="16"/>
  <c r="X369" i="16"/>
  <c r="X315" i="16"/>
  <c r="X234" i="16"/>
  <c r="X288" i="16"/>
  <c r="X207" i="16"/>
  <c r="X180" i="16"/>
  <c r="X261" i="16"/>
  <c r="X153" i="16"/>
  <c r="C10" i="17"/>
  <c r="AE178" i="16"/>
  <c r="AE175" i="16"/>
  <c r="AE172" i="16"/>
  <c r="AE169" i="16"/>
  <c r="AE166" i="16"/>
  <c r="C23" i="17"/>
  <c r="Y396" i="16"/>
  <c r="Y369" i="16"/>
  <c r="Y342" i="16"/>
  <c r="X344" i="16" s="1"/>
  <c r="Y288" i="16"/>
  <c r="Y261" i="16"/>
  <c r="Y234" i="16"/>
  <c r="Y207" i="16"/>
  <c r="Y180" i="16"/>
  <c r="Y153" i="16"/>
  <c r="Y315" i="16"/>
  <c r="AN178" i="16"/>
  <c r="AN175" i="16"/>
  <c r="AN172" i="16"/>
  <c r="AN169" i="16"/>
  <c r="AN166" i="16"/>
  <c r="AJ178" i="16"/>
  <c r="AJ175" i="16"/>
  <c r="AJ172" i="16"/>
  <c r="AJ169" i="16"/>
  <c r="AJ166" i="16"/>
  <c r="AL178" i="16"/>
  <c r="AL175" i="16"/>
  <c r="AL172" i="16"/>
  <c r="AL169" i="16"/>
  <c r="AL166" i="16"/>
  <c r="D10" i="17"/>
  <c r="AF178" i="16"/>
  <c r="AF175" i="16"/>
  <c r="AF172" i="16"/>
  <c r="AF169" i="16"/>
  <c r="AF166" i="16"/>
  <c r="AM178" i="16"/>
  <c r="AM175" i="16"/>
  <c r="AM172" i="16"/>
  <c r="AM169" i="16"/>
  <c r="AM166" i="16"/>
  <c r="I24" i="17"/>
  <c r="H24" i="17"/>
  <c r="AJ167" i="16"/>
  <c r="AL167" i="16" s="1"/>
  <c r="AJ179" i="16"/>
  <c r="AL179" i="16" s="1"/>
  <c r="X290" i="16"/>
  <c r="X371" i="16"/>
  <c r="AD167" i="16"/>
  <c r="AE167" i="16" s="1"/>
  <c r="R57" i="16" s="1"/>
  <c r="AD170" i="16"/>
  <c r="AF170" i="16" s="1"/>
  <c r="B11" i="17"/>
  <c r="AD205" i="16"/>
  <c r="AD202" i="16"/>
  <c r="AD199" i="16"/>
  <c r="AD196" i="16"/>
  <c r="AD193" i="16"/>
  <c r="AK205" i="16"/>
  <c r="AK202" i="16"/>
  <c r="AK199" i="16"/>
  <c r="AK196" i="16"/>
  <c r="AK193" i="16"/>
  <c r="D11" i="17"/>
  <c r="AF205" i="16"/>
  <c r="AF202" i="16"/>
  <c r="AF199" i="16"/>
  <c r="AF196" i="16"/>
  <c r="AF193" i="16"/>
  <c r="AO205" i="16"/>
  <c r="AO202" i="16"/>
  <c r="AO199" i="16"/>
  <c r="AO196" i="16"/>
  <c r="AO193" i="16"/>
  <c r="B24" i="17"/>
  <c r="X345" i="16"/>
  <c r="X399" i="16"/>
  <c r="X372" i="16"/>
  <c r="X237" i="16"/>
  <c r="X156" i="16"/>
  <c r="X264" i="16"/>
  <c r="X183" i="16"/>
  <c r="X291" i="16"/>
  <c r="X210" i="16"/>
  <c r="X318" i="16"/>
  <c r="C11" i="17"/>
  <c r="AE205" i="16"/>
  <c r="AE202" i="16"/>
  <c r="AE199" i="16"/>
  <c r="AE196" i="16"/>
  <c r="AE193" i="16"/>
  <c r="AM205" i="16"/>
  <c r="AM202" i="16"/>
  <c r="AM199" i="16"/>
  <c r="AM196" i="16"/>
  <c r="AM193" i="16"/>
  <c r="AN205" i="16"/>
  <c r="AN202" i="16"/>
  <c r="AN199" i="16"/>
  <c r="AN196" i="16"/>
  <c r="AN193" i="16"/>
  <c r="F11" i="17"/>
  <c r="AH205" i="16"/>
  <c r="AH202" i="16"/>
  <c r="AH199" i="16"/>
  <c r="AH196" i="16"/>
  <c r="AH193" i="16"/>
  <c r="G11" i="17"/>
  <c r="AI205" i="16"/>
  <c r="AI202" i="16"/>
  <c r="AI199" i="16"/>
  <c r="AI196" i="16"/>
  <c r="AI193" i="16"/>
  <c r="C24" i="17"/>
  <c r="Y399" i="16"/>
  <c r="Y372" i="16"/>
  <c r="Y345" i="16"/>
  <c r="Y318" i="16"/>
  <c r="Y291" i="16"/>
  <c r="Y264" i="16"/>
  <c r="Y237" i="16"/>
  <c r="X239" i="16" s="1"/>
  <c r="Z239" i="16" s="1"/>
  <c r="Y210" i="16"/>
  <c r="Y183" i="16"/>
  <c r="Y156" i="16"/>
  <c r="AL205" i="16"/>
  <c r="AL202" i="16"/>
  <c r="AL199" i="16"/>
  <c r="AL196" i="16"/>
  <c r="AL193" i="16"/>
  <c r="AJ205" i="16"/>
  <c r="AJ202" i="16"/>
  <c r="AJ199" i="16"/>
  <c r="AJ196" i="16"/>
  <c r="AJ193" i="16"/>
  <c r="E11" i="17"/>
  <c r="AG205" i="16"/>
  <c r="AG202" i="16"/>
  <c r="AG199" i="16"/>
  <c r="AG196" i="16"/>
  <c r="AG193" i="16"/>
  <c r="H26" i="17"/>
  <c r="H25" i="17"/>
  <c r="I26" i="17"/>
  <c r="I25" i="17"/>
  <c r="AJ194" i="16"/>
  <c r="AL194" i="16" s="1"/>
  <c r="AJ206" i="16"/>
  <c r="AL206" i="16" s="1"/>
  <c r="AD194" i="16"/>
  <c r="AF194" i="16" s="1"/>
  <c r="AD200" i="16"/>
  <c r="AF200" i="16" s="1"/>
  <c r="AF167" i="16"/>
  <c r="G12" i="17"/>
  <c r="AI232" i="16"/>
  <c r="AI229" i="16"/>
  <c r="AI226" i="16"/>
  <c r="AI223" i="16"/>
  <c r="AI220" i="16"/>
  <c r="D12" i="17"/>
  <c r="AF232" i="16"/>
  <c r="AF229" i="16"/>
  <c r="AF226" i="16"/>
  <c r="AF223" i="16"/>
  <c r="AF220" i="16"/>
  <c r="AJ232" i="16"/>
  <c r="AJ229" i="16"/>
  <c r="AJ226" i="16"/>
  <c r="AJ223" i="16"/>
  <c r="AJ220" i="16"/>
  <c r="C26" i="17"/>
  <c r="Y405" i="16"/>
  <c r="Y378" i="16"/>
  <c r="Y351" i="16"/>
  <c r="Y270" i="16"/>
  <c r="Y243" i="16"/>
  <c r="Y216" i="16"/>
  <c r="Y189" i="16"/>
  <c r="Y324" i="16"/>
  <c r="Y297" i="16"/>
  <c r="Y162" i="16"/>
  <c r="E12" i="17"/>
  <c r="AG232" i="16"/>
  <c r="AG229" i="16"/>
  <c r="AG226" i="16"/>
  <c r="AG223" i="16"/>
  <c r="AG220" i="16"/>
  <c r="C12" i="17"/>
  <c r="AE232" i="16"/>
  <c r="AE229" i="16"/>
  <c r="AE226" i="16"/>
  <c r="AE223" i="16"/>
  <c r="AE220" i="16"/>
  <c r="B25" i="17"/>
  <c r="X348" i="16"/>
  <c r="X375" i="16"/>
  <c r="X267" i="16"/>
  <c r="X159" i="16"/>
  <c r="X402" i="16"/>
  <c r="X240" i="16"/>
  <c r="X321" i="16"/>
  <c r="X213" i="16"/>
  <c r="X186" i="16"/>
  <c r="X294" i="16"/>
  <c r="AK232" i="16"/>
  <c r="AK229" i="16"/>
  <c r="AK226" i="16"/>
  <c r="AK223" i="16"/>
  <c r="AK220" i="16"/>
  <c r="B12" i="17"/>
  <c r="AD232" i="16"/>
  <c r="AD229" i="16"/>
  <c r="AD226" i="16"/>
  <c r="AD223" i="16"/>
  <c r="AD220" i="16"/>
  <c r="C25" i="17"/>
  <c r="Y402" i="16"/>
  <c r="Y348" i="16"/>
  <c r="Y321" i="16"/>
  <c r="Y267" i="16"/>
  <c r="Y240" i="16"/>
  <c r="Y213" i="16"/>
  <c r="Y186" i="16"/>
  <c r="Y375" i="16"/>
  <c r="Y294" i="16"/>
  <c r="X296" i="16" s="1"/>
  <c r="Y159" i="16"/>
  <c r="B26" i="17"/>
  <c r="X378" i="16"/>
  <c r="X405" i="16"/>
  <c r="X243" i="16"/>
  <c r="X351" i="16"/>
  <c r="X353" i="16" s="1"/>
  <c r="X162" i="16"/>
  <c r="X270" i="16"/>
  <c r="X272" i="16" s="1"/>
  <c r="X189" i="16"/>
  <c r="X297" i="16"/>
  <c r="X216" i="16"/>
  <c r="X324" i="16"/>
  <c r="AL232" i="16"/>
  <c r="AL229" i="16"/>
  <c r="AL226" i="16"/>
  <c r="AL223" i="16"/>
  <c r="AL220" i="16"/>
  <c r="F12" i="17"/>
  <c r="AH232" i="16"/>
  <c r="AH229" i="16"/>
  <c r="AH226" i="16"/>
  <c r="AH223" i="16"/>
  <c r="AH220" i="16"/>
  <c r="AN232" i="16"/>
  <c r="AN229" i="16"/>
  <c r="AN226" i="16"/>
  <c r="AN223" i="16"/>
  <c r="AN220" i="16"/>
  <c r="AM232" i="16"/>
  <c r="AM229" i="16"/>
  <c r="AM226" i="16"/>
  <c r="AM223" i="16"/>
  <c r="AM220" i="16"/>
  <c r="AO232" i="16"/>
  <c r="AO229" i="16"/>
  <c r="AO226" i="16"/>
  <c r="AO223" i="16"/>
  <c r="AO220" i="16"/>
  <c r="D11" i="16"/>
  <c r="E11" i="16"/>
  <c r="F18" i="16" s="1"/>
  <c r="X380" i="16"/>
  <c r="Y380" i="16" s="1"/>
  <c r="O128" i="16" s="1"/>
  <c r="X407" i="16"/>
  <c r="Z407" i="16" s="1"/>
  <c r="X164" i="16"/>
  <c r="Z164" i="16" s="1"/>
  <c r="X215" i="16"/>
  <c r="Y215" i="16" s="1"/>
  <c r="O73" i="16" s="1"/>
  <c r="X323" i="16"/>
  <c r="Z323" i="16" s="1"/>
  <c r="AJ221" i="16"/>
  <c r="AL221" i="16" s="1"/>
  <c r="AD221" i="16"/>
  <c r="AF221" i="16" s="1"/>
  <c r="AJ227" i="16"/>
  <c r="AL227" i="16" s="1"/>
  <c r="AJ233" i="16"/>
  <c r="AK233" i="16" s="1"/>
  <c r="U79" i="16" s="1"/>
  <c r="X191" i="16"/>
  <c r="Y191" i="16" s="1"/>
  <c r="O65" i="16" s="1"/>
  <c r="AD224" i="16"/>
  <c r="AE224" i="16" s="1"/>
  <c r="R76" i="16" s="1"/>
  <c r="AJ230" i="16"/>
  <c r="AL230" i="16" s="1"/>
  <c r="AK206" i="16"/>
  <c r="U70" i="16" s="1"/>
  <c r="C13" i="17"/>
  <c r="AE259" i="16"/>
  <c r="AE256" i="16"/>
  <c r="AE253" i="16"/>
  <c r="AE250" i="16"/>
  <c r="AE247" i="16"/>
  <c r="D13" i="17"/>
  <c r="AF259" i="16"/>
  <c r="AF256" i="16"/>
  <c r="AF253" i="16"/>
  <c r="AF250" i="16"/>
  <c r="AF247" i="16"/>
  <c r="G13" i="17"/>
  <c r="AI259" i="16"/>
  <c r="AI256" i="16"/>
  <c r="AI253" i="16"/>
  <c r="AI250" i="16"/>
  <c r="AI247" i="16"/>
  <c r="AK259" i="16"/>
  <c r="AK256" i="16"/>
  <c r="AK253" i="16"/>
  <c r="AK250" i="16"/>
  <c r="AK247" i="16"/>
  <c r="B13" i="17"/>
  <c r="AD259" i="16"/>
  <c r="AD256" i="16"/>
  <c r="AD253" i="16"/>
  <c r="AD250" i="16"/>
  <c r="AD247" i="16"/>
  <c r="E13" i="17"/>
  <c r="AG259" i="16"/>
  <c r="AG256" i="16"/>
  <c r="AG253" i="16"/>
  <c r="AG250" i="16"/>
  <c r="AG247" i="16"/>
  <c r="AO259" i="16"/>
  <c r="AO256" i="16"/>
  <c r="AO253" i="16"/>
  <c r="AO250" i="16"/>
  <c r="AO247" i="16"/>
  <c r="AM259" i="16"/>
  <c r="AM256" i="16"/>
  <c r="AM253" i="16"/>
  <c r="AM250" i="16"/>
  <c r="AM247" i="16"/>
  <c r="F13" i="17"/>
  <c r="AH259" i="16"/>
  <c r="AH256" i="16"/>
  <c r="AH253" i="16"/>
  <c r="AH250" i="16"/>
  <c r="AH247" i="16"/>
  <c r="AN259" i="16"/>
  <c r="AN256" i="16"/>
  <c r="AN253" i="16"/>
  <c r="AN250" i="16"/>
  <c r="AN247" i="16"/>
  <c r="AL259" i="16"/>
  <c r="AL256" i="16"/>
  <c r="AL253" i="16"/>
  <c r="AL250" i="16"/>
  <c r="AL247" i="16"/>
  <c r="AJ259" i="16"/>
  <c r="AJ256" i="16"/>
  <c r="AJ253" i="16"/>
  <c r="AJ250" i="16"/>
  <c r="AJ247" i="16"/>
  <c r="H79" i="15"/>
  <c r="H78" i="15"/>
  <c r="H116" i="15"/>
  <c r="H112" i="15"/>
  <c r="H113" i="15"/>
  <c r="H114" i="15"/>
  <c r="H115" i="15"/>
  <c r="H41" i="15"/>
  <c r="H43" i="15"/>
  <c r="H42" i="15"/>
  <c r="E270" i="15" s="1"/>
  <c r="F281" i="15" s="1"/>
  <c r="AJ248" i="16"/>
  <c r="AL248" i="16" s="1"/>
  <c r="AD248" i="16"/>
  <c r="AE248" i="16" s="1"/>
  <c r="R84" i="16" s="1"/>
  <c r="AN286" i="16"/>
  <c r="AN283" i="16"/>
  <c r="AN280" i="16"/>
  <c r="AN277" i="16"/>
  <c r="AN274" i="16"/>
  <c r="F14" i="17"/>
  <c r="AH280" i="16"/>
  <c r="AH277" i="16"/>
  <c r="AH274" i="16"/>
  <c r="AH286" i="16"/>
  <c r="AH283" i="16"/>
  <c r="AO286" i="16"/>
  <c r="AO283" i="16"/>
  <c r="AO280" i="16"/>
  <c r="AO277" i="16"/>
  <c r="AO274" i="16"/>
  <c r="E14" i="17"/>
  <c r="AG286" i="16"/>
  <c r="AG283" i="16"/>
  <c r="AG280" i="16"/>
  <c r="AG277" i="16"/>
  <c r="AG274" i="16"/>
  <c r="B14" i="17"/>
  <c r="AD286" i="16"/>
  <c r="AD280" i="16"/>
  <c r="AD277" i="16"/>
  <c r="AD274" i="16"/>
  <c r="AD283" i="16"/>
  <c r="D14" i="17"/>
  <c r="AF286" i="16"/>
  <c r="AF283" i="16"/>
  <c r="AF280" i="16"/>
  <c r="AF277" i="16"/>
  <c r="AF274" i="16"/>
  <c r="AJ286" i="16"/>
  <c r="AJ283" i="16"/>
  <c r="AJ280" i="16"/>
  <c r="AJ277" i="16"/>
  <c r="AJ274" i="16"/>
  <c r="AL283" i="16"/>
  <c r="AL280" i="16"/>
  <c r="AL277" i="16"/>
  <c r="AL274" i="16"/>
  <c r="AL286" i="16"/>
  <c r="AM286" i="16"/>
  <c r="AM283" i="16"/>
  <c r="AM280" i="16"/>
  <c r="AM277" i="16"/>
  <c r="AM274" i="16"/>
  <c r="AK286" i="16"/>
  <c r="AK283" i="16"/>
  <c r="AK280" i="16"/>
  <c r="AK277" i="16"/>
  <c r="AK274" i="16"/>
  <c r="G14" i="17"/>
  <c r="AI286" i="16"/>
  <c r="AI283" i="16"/>
  <c r="AI280" i="16"/>
  <c r="AI277" i="16"/>
  <c r="AI274" i="16"/>
  <c r="C14" i="17"/>
  <c r="AE286" i="16"/>
  <c r="AE283" i="16"/>
  <c r="AE280" i="16"/>
  <c r="AE277" i="16"/>
  <c r="AE274" i="16"/>
  <c r="H75" i="15"/>
  <c r="H76" i="15"/>
  <c r="H77" i="15"/>
  <c r="H40" i="15"/>
  <c r="H39" i="15"/>
  <c r="E25" i="15"/>
  <c r="E24" i="15"/>
  <c r="E23" i="15"/>
  <c r="E22" i="15"/>
  <c r="AD275" i="16"/>
  <c r="AF275" i="16" s="1"/>
  <c r="AD278" i="16"/>
  <c r="AF278" i="16" s="1"/>
  <c r="AJ275" i="16"/>
  <c r="AL275" i="16" s="1"/>
  <c r="D15" i="17"/>
  <c r="AF313" i="16"/>
  <c r="AF310" i="16"/>
  <c r="AF307" i="16"/>
  <c r="AF304" i="16"/>
  <c r="AF301" i="16"/>
  <c r="AK313" i="16"/>
  <c r="AK310" i="16"/>
  <c r="AK307" i="16"/>
  <c r="AK304" i="16"/>
  <c r="AK301" i="16"/>
  <c r="AL313" i="16"/>
  <c r="AL307" i="16"/>
  <c r="AL304" i="16"/>
  <c r="AL301" i="16"/>
  <c r="AL310" i="16"/>
  <c r="AO313" i="16"/>
  <c r="AO310" i="16"/>
  <c r="AO307" i="16"/>
  <c r="AO304" i="16"/>
  <c r="AO301" i="16"/>
  <c r="AN310" i="16"/>
  <c r="AN307" i="16"/>
  <c r="AN304" i="16"/>
  <c r="AN301" i="16"/>
  <c r="AN313" i="16"/>
  <c r="C15" i="17"/>
  <c r="AE310" i="16"/>
  <c r="AE307" i="16"/>
  <c r="AE304" i="16"/>
  <c r="AE301" i="16"/>
  <c r="AE313" i="16"/>
  <c r="B15" i="17"/>
  <c r="AD313" i="16"/>
  <c r="AD301" i="16"/>
  <c r="AD310" i="16"/>
  <c r="AD307" i="16"/>
  <c r="AD304" i="16"/>
  <c r="G15" i="17"/>
  <c r="AI310" i="16"/>
  <c r="AI307" i="16"/>
  <c r="AI304" i="16"/>
  <c r="AI301" i="16"/>
  <c r="AI313" i="16"/>
  <c r="AM310" i="16"/>
  <c r="AM307" i="16"/>
  <c r="AM304" i="16"/>
  <c r="AM301" i="16"/>
  <c r="AM313" i="16"/>
  <c r="AJ313" i="16"/>
  <c r="AJ310" i="16"/>
  <c r="AJ307" i="16"/>
  <c r="AJ308" i="16" s="1"/>
  <c r="AJ304" i="16"/>
  <c r="AJ301" i="16"/>
  <c r="E15" i="17"/>
  <c r="AG313" i="16"/>
  <c r="AG310" i="16"/>
  <c r="AG307" i="16"/>
  <c r="AG304" i="16"/>
  <c r="AG301" i="16"/>
  <c r="F15" i="17"/>
  <c r="AH313" i="16"/>
  <c r="AH304" i="16"/>
  <c r="AH301" i="16"/>
  <c r="AH310" i="16"/>
  <c r="AH307" i="16"/>
  <c r="H134" i="15"/>
  <c r="E134" i="15"/>
  <c r="H133" i="15"/>
  <c r="E133" i="15"/>
  <c r="H132" i="15"/>
  <c r="E132" i="15"/>
  <c r="H97" i="15"/>
  <c r="E97" i="15"/>
  <c r="H96" i="15"/>
  <c r="E96" i="15"/>
  <c r="H95" i="15"/>
  <c r="E95" i="15"/>
  <c r="H129" i="15"/>
  <c r="E129" i="15"/>
  <c r="H128" i="15"/>
  <c r="E128" i="15"/>
  <c r="H127" i="15"/>
  <c r="E127" i="15"/>
  <c r="H92" i="15"/>
  <c r="E92" i="15"/>
  <c r="H91" i="15"/>
  <c r="E91" i="15"/>
  <c r="H90" i="15"/>
  <c r="E90" i="15"/>
  <c r="H61" i="15"/>
  <c r="E61" i="15"/>
  <c r="H60" i="15"/>
  <c r="E60" i="15"/>
  <c r="H59" i="15"/>
  <c r="E59" i="15"/>
  <c r="H56" i="15"/>
  <c r="E56" i="15"/>
  <c r="H55" i="15"/>
  <c r="E55" i="15"/>
  <c r="H54" i="15"/>
  <c r="E54" i="15"/>
  <c r="K139" i="15"/>
  <c r="K138" i="15"/>
  <c r="K102" i="15"/>
  <c r="K66" i="15"/>
  <c r="K65" i="15"/>
  <c r="AD311" i="16"/>
  <c r="AF311" i="16" s="1"/>
  <c r="AJ302" i="16"/>
  <c r="AK302" i="16" s="1"/>
  <c r="U102" i="16" s="1"/>
  <c r="AJ305" i="16"/>
  <c r="AL305" i="16" s="1"/>
  <c r="AD302" i="16"/>
  <c r="AF302" i="16" s="1"/>
  <c r="AD305" i="16"/>
  <c r="AF305" i="16" s="1"/>
  <c r="AK337" i="16"/>
  <c r="AK334" i="16"/>
  <c r="AK331" i="16"/>
  <c r="AK328" i="16"/>
  <c r="AK340" i="16"/>
  <c r="E16" i="17"/>
  <c r="AG340" i="16"/>
  <c r="AG337" i="16"/>
  <c r="AG334" i="16"/>
  <c r="AG331" i="16"/>
  <c r="AG328" i="16"/>
  <c r="AO340" i="16"/>
  <c r="AO337" i="16"/>
  <c r="AO334" i="16"/>
  <c r="AO331" i="16"/>
  <c r="AO328" i="16"/>
  <c r="D16" i="17"/>
  <c r="AF340" i="16"/>
  <c r="AF337" i="16"/>
  <c r="AF334" i="16"/>
  <c r="AF331" i="16"/>
  <c r="AF328" i="16"/>
  <c r="C16" i="17"/>
  <c r="AE340" i="16"/>
  <c r="AE337" i="16"/>
  <c r="AE334" i="16"/>
  <c r="AE331" i="16"/>
  <c r="AE328" i="16"/>
  <c r="AL340" i="16"/>
  <c r="AL331" i="16"/>
  <c r="AL328" i="16"/>
  <c r="AL337" i="16"/>
  <c r="AL334" i="16"/>
  <c r="AJ337" i="16"/>
  <c r="AJ334" i="16"/>
  <c r="AJ331" i="16"/>
  <c r="AJ328" i="16"/>
  <c r="AJ340" i="16"/>
  <c r="F16" i="17"/>
  <c r="AH340" i="16"/>
  <c r="AH328" i="16"/>
  <c r="AH337" i="16"/>
  <c r="AH334" i="16"/>
  <c r="AH331" i="16"/>
  <c r="AM340" i="16"/>
  <c r="AM337" i="16"/>
  <c r="AM334" i="16"/>
  <c r="AM331" i="16"/>
  <c r="AM328" i="16"/>
  <c r="G16" i="17"/>
  <c r="AI340" i="16"/>
  <c r="AI337" i="16"/>
  <c r="AI334" i="16"/>
  <c r="AI331" i="16"/>
  <c r="AI328" i="16"/>
  <c r="B16" i="17"/>
  <c r="AD340" i="16"/>
  <c r="AD337" i="16"/>
  <c r="AD334" i="16"/>
  <c r="AD335" i="16" s="1"/>
  <c r="AD331" i="16"/>
  <c r="AD328" i="16"/>
  <c r="AN340" i="16"/>
  <c r="AN337" i="16"/>
  <c r="AN334" i="16"/>
  <c r="AN331" i="16"/>
  <c r="AN328" i="16"/>
  <c r="AJ335" i="16"/>
  <c r="AK335" i="16" s="1"/>
  <c r="U113" i="16" s="1"/>
  <c r="AD329" i="16"/>
  <c r="AE329" i="16" s="1"/>
  <c r="R111" i="16" s="1"/>
  <c r="AD341" i="16"/>
  <c r="AF341" i="16" s="1"/>
  <c r="AJ329" i="16"/>
  <c r="AL329" i="16" s="1"/>
  <c r="AN367" i="16"/>
  <c r="AN364" i="16"/>
  <c r="AN361" i="16"/>
  <c r="AN358" i="16"/>
  <c r="AN355" i="16"/>
  <c r="G17" i="17"/>
  <c r="AI367" i="16"/>
  <c r="AI364" i="16"/>
  <c r="AI361" i="16"/>
  <c r="AI358" i="16"/>
  <c r="AI355" i="16"/>
  <c r="AJ367" i="16"/>
  <c r="AJ364" i="16"/>
  <c r="AJ361" i="16"/>
  <c r="AJ358" i="16"/>
  <c r="AJ355" i="16"/>
  <c r="C17" i="17"/>
  <c r="AE367" i="16"/>
  <c r="AE364" i="16"/>
  <c r="AE361" i="16"/>
  <c r="AE358" i="16"/>
  <c r="AE355" i="16"/>
  <c r="D17" i="17"/>
  <c r="AF367" i="16"/>
  <c r="AF364" i="16"/>
  <c r="AF361" i="16"/>
  <c r="AF358" i="16"/>
  <c r="AF355" i="16"/>
  <c r="B17" i="17"/>
  <c r="AD361" i="16"/>
  <c r="AD358" i="16"/>
  <c r="AD367" i="16"/>
  <c r="AD355" i="16"/>
  <c r="AD364" i="16"/>
  <c r="AM367" i="16"/>
  <c r="AM364" i="16"/>
  <c r="AM361" i="16"/>
  <c r="AM358" i="16"/>
  <c r="AM355" i="16"/>
  <c r="F17" i="17"/>
  <c r="AH364" i="16"/>
  <c r="AH361" i="16"/>
  <c r="AH358" i="16"/>
  <c r="AH367" i="16"/>
  <c r="AH355" i="16"/>
  <c r="AL367" i="16"/>
  <c r="AL355" i="16"/>
  <c r="AL364" i="16"/>
  <c r="AL361" i="16"/>
  <c r="AL358" i="16"/>
  <c r="AO367" i="16"/>
  <c r="AO364" i="16"/>
  <c r="AO361" i="16"/>
  <c r="AO358" i="16"/>
  <c r="AO355" i="16"/>
  <c r="E17" i="17"/>
  <c r="AG367" i="16"/>
  <c r="AG364" i="16"/>
  <c r="AG361" i="16"/>
  <c r="AG358" i="16"/>
  <c r="AG355" i="16"/>
  <c r="AK367" i="16"/>
  <c r="AK364" i="16"/>
  <c r="AJ365" i="16" s="1"/>
  <c r="AK361" i="16"/>
  <c r="AK358" i="16"/>
  <c r="AK355" i="16"/>
  <c r="AD368" i="16"/>
  <c r="AE368" i="16" s="1"/>
  <c r="R124" i="16" s="1"/>
  <c r="AJ356" i="16"/>
  <c r="AL356" i="16" s="1"/>
  <c r="AJ362" i="16"/>
  <c r="AK362" i="16" s="1"/>
  <c r="U122" i="16" s="1"/>
  <c r="AJ368" i="16"/>
  <c r="AL368" i="16" s="1"/>
  <c r="AD356" i="16"/>
  <c r="AE356" i="16" s="1"/>
  <c r="R120" i="16" s="1"/>
  <c r="AH382" i="16"/>
  <c r="AH385" i="16"/>
  <c r="AH388" i="16"/>
  <c r="AH391" i="16"/>
  <c r="AH394" i="16"/>
  <c r="AG382" i="16"/>
  <c r="AG385" i="16"/>
  <c r="AG388" i="16"/>
  <c r="AG391" i="16"/>
  <c r="AG394" i="16"/>
  <c r="AL382" i="16"/>
  <c r="AL385" i="16"/>
  <c r="AL388" i="16"/>
  <c r="AL391" i="16"/>
  <c r="AL394" i="16"/>
  <c r="AD382" i="16"/>
  <c r="AD385" i="16"/>
  <c r="AD388" i="16"/>
  <c r="AD391" i="16"/>
  <c r="AD394" i="16"/>
  <c r="AE382" i="16"/>
  <c r="AE385" i="16"/>
  <c r="AE388" i="16"/>
  <c r="AE391" i="16"/>
  <c r="AE394" i="16"/>
  <c r="AJ382" i="16"/>
  <c r="AJ385" i="16"/>
  <c r="AJ388" i="16"/>
  <c r="AJ391" i="16"/>
  <c r="AJ394" i="16"/>
  <c r="AN382" i="16"/>
  <c r="AN385" i="16"/>
  <c r="AN388" i="16"/>
  <c r="AN391" i="16"/>
  <c r="AN394" i="16"/>
  <c r="AM382" i="16"/>
  <c r="AM385" i="16"/>
  <c r="AM388" i="16"/>
  <c r="AM391" i="16"/>
  <c r="AM394" i="16"/>
  <c r="AK382" i="16"/>
  <c r="AK385" i="16"/>
  <c r="AK388" i="16"/>
  <c r="AK391" i="16"/>
  <c r="AK394" i="16"/>
  <c r="AO382" i="16"/>
  <c r="AO385" i="16"/>
  <c r="AO388" i="16"/>
  <c r="AO391" i="16"/>
  <c r="AO394" i="16"/>
  <c r="AF382" i="16"/>
  <c r="AF385" i="16"/>
  <c r="AF388" i="16"/>
  <c r="AF391" i="16"/>
  <c r="AF394" i="16"/>
  <c r="AI382" i="16"/>
  <c r="AI385" i="16"/>
  <c r="AI388" i="16"/>
  <c r="AI391" i="16"/>
  <c r="AI394" i="16"/>
  <c r="AJ386" i="16"/>
  <c r="AL386" i="16" s="1"/>
  <c r="AD383" i="16"/>
  <c r="AF383" i="16" s="1"/>
  <c r="AJ383" i="16"/>
  <c r="AK383" i="16" s="1"/>
  <c r="U129" i="16" s="1"/>
  <c r="J40" i="6" l="1"/>
  <c r="K40" i="6" s="1"/>
  <c r="J31" i="6"/>
  <c r="K31" i="6" s="1"/>
  <c r="J24" i="6"/>
  <c r="K24" i="6" s="1"/>
  <c r="J21" i="6"/>
  <c r="K21" i="6" s="1"/>
  <c r="O57" i="22"/>
  <c r="N65" i="22"/>
  <c r="J17" i="6" s="1"/>
  <c r="K17" i="6" s="1"/>
  <c r="O51" i="22"/>
  <c r="O49" i="22"/>
  <c r="Z215" i="16"/>
  <c r="F17" i="16"/>
  <c r="AK125" i="16"/>
  <c r="U43" i="16" s="1"/>
  <c r="N153" i="22"/>
  <c r="AL59" i="16"/>
  <c r="O45" i="22"/>
  <c r="O55" i="22"/>
  <c r="AL140" i="16"/>
  <c r="M9" i="25"/>
  <c r="O73" i="22"/>
  <c r="Y407" i="16"/>
  <c r="O137" i="16" s="1"/>
  <c r="AF356" i="16"/>
  <c r="AE5" i="16"/>
  <c r="R3" i="16" s="1"/>
  <c r="N83" i="22"/>
  <c r="Z191" i="16"/>
  <c r="AK356" i="16"/>
  <c r="U120" i="16" s="1"/>
  <c r="AF329" i="16"/>
  <c r="AE278" i="16"/>
  <c r="R94" i="16" s="1"/>
  <c r="AF224" i="16"/>
  <c r="AK305" i="16"/>
  <c r="U103" i="16" s="1"/>
  <c r="AE305" i="16"/>
  <c r="R103" i="16" s="1"/>
  <c r="Y239" i="16"/>
  <c r="O81" i="16" s="1"/>
  <c r="AE140" i="16"/>
  <c r="R48" i="16" s="1"/>
  <c r="AE59" i="16"/>
  <c r="R21" i="16" s="1"/>
  <c r="AE86" i="16"/>
  <c r="R30" i="16" s="1"/>
  <c r="O47" i="22"/>
  <c r="AL302" i="16"/>
  <c r="AK221" i="16"/>
  <c r="U75" i="16" s="1"/>
  <c r="AK167" i="16"/>
  <c r="U57" i="16" s="1"/>
  <c r="AE113" i="16"/>
  <c r="R39" i="16" s="1"/>
  <c r="Z254" i="16"/>
  <c r="AK95" i="16"/>
  <c r="U33" i="16" s="1"/>
  <c r="AE200" i="16"/>
  <c r="R68" i="16" s="1"/>
  <c r="Z206" i="16"/>
  <c r="AL383" i="16"/>
  <c r="F165" i="15"/>
  <c r="I164" i="15"/>
  <c r="AK275" i="16"/>
  <c r="U93" i="16" s="1"/>
  <c r="AL233" i="16"/>
  <c r="Y164" i="16"/>
  <c r="O56" i="16" s="1"/>
  <c r="AL149" i="16"/>
  <c r="Z146" i="16"/>
  <c r="Y386" i="16"/>
  <c r="O130" i="16" s="1"/>
  <c r="AK5" i="16"/>
  <c r="U3" i="16" s="1"/>
  <c r="O171" i="22"/>
  <c r="Q16" i="6"/>
  <c r="O155" i="22"/>
  <c r="O81" i="22"/>
  <c r="O71" i="22"/>
  <c r="O67" i="22"/>
  <c r="N63" i="22"/>
  <c r="J28" i="6" s="1"/>
  <c r="K28" i="6" s="1"/>
  <c r="N61" i="22"/>
  <c r="J27" i="6" s="1"/>
  <c r="K27" i="6" s="1"/>
  <c r="N137" i="22"/>
  <c r="M44" i="6" s="1"/>
  <c r="O149" i="22"/>
  <c r="O179" i="22"/>
  <c r="O177" i="22"/>
  <c r="AD389" i="16"/>
  <c r="AF389" i="16" s="1"/>
  <c r="AJ389" i="16"/>
  <c r="AJ395" i="16"/>
  <c r="AK395" i="16" s="1"/>
  <c r="U133" i="16" s="1"/>
  <c r="AJ392" i="16"/>
  <c r="AL392" i="16" s="1"/>
  <c r="AD395" i="16"/>
  <c r="AD392" i="16"/>
  <c r="AF392" i="16" s="1"/>
  <c r="AD386" i="16"/>
  <c r="AF386" i="16" s="1"/>
  <c r="AD359" i="16"/>
  <c r="AE359" i="16" s="1"/>
  <c r="R121" i="16" s="1"/>
  <c r="AD365" i="16"/>
  <c r="AJ359" i="16"/>
  <c r="AJ341" i="16"/>
  <c r="AK341" i="16" s="1"/>
  <c r="U115" i="16" s="1"/>
  <c r="AJ278" i="16"/>
  <c r="AK278" i="16" s="1"/>
  <c r="U94" i="16" s="1"/>
  <c r="AJ281" i="16"/>
  <c r="AL281" i="16" s="1"/>
  <c r="AD281" i="16"/>
  <c r="AF281" i="16" s="1"/>
  <c r="AJ257" i="16"/>
  <c r="AL257" i="16" s="1"/>
  <c r="AJ260" i="16"/>
  <c r="AL260" i="16" s="1"/>
  <c r="X326" i="16"/>
  <c r="X218" i="16"/>
  <c r="AJ200" i="16"/>
  <c r="AK200" i="16" s="1"/>
  <c r="U68" i="16" s="1"/>
  <c r="AD206" i="16"/>
  <c r="AF206" i="16" s="1"/>
  <c r="X212" i="16"/>
  <c r="Z212" i="16" s="1"/>
  <c r="X185" i="16"/>
  <c r="Y185" i="16" s="1"/>
  <c r="O63" i="16" s="1"/>
  <c r="X158" i="16"/>
  <c r="Z158" i="16" s="1"/>
  <c r="X347" i="16"/>
  <c r="Y347" i="16" s="1"/>
  <c r="O117" i="16" s="1"/>
  <c r="X398" i="16"/>
  <c r="AJ146" i="16"/>
  <c r="AL146" i="16" s="1"/>
  <c r="X395" i="16"/>
  <c r="Y395" i="16" s="1"/>
  <c r="O133" i="16" s="1"/>
  <c r="X152" i="16"/>
  <c r="Y152" i="16" s="1"/>
  <c r="O52" i="16" s="1"/>
  <c r="AD125" i="16"/>
  <c r="AD230" i="16"/>
  <c r="AF230" i="16" s="1"/>
  <c r="AD68" i="16"/>
  <c r="AF68" i="16" s="1"/>
  <c r="AD284" i="16"/>
  <c r="AE284" i="16" s="1"/>
  <c r="R96" i="16" s="1"/>
  <c r="X203" i="16"/>
  <c r="Z203" i="16" s="1"/>
  <c r="X230" i="16"/>
  <c r="AD44" i="16"/>
  <c r="AE44" i="16" s="1"/>
  <c r="R16" i="16" s="1"/>
  <c r="AD260" i="16"/>
  <c r="AE260" i="16" s="1"/>
  <c r="R88" i="16" s="1"/>
  <c r="AD152" i="16"/>
  <c r="AF152" i="16" s="1"/>
  <c r="AD314" i="16"/>
  <c r="AF314" i="16" s="1"/>
  <c r="AD146" i="16"/>
  <c r="AE146" i="16" s="1"/>
  <c r="R50" i="16" s="1"/>
  <c r="AD173" i="16"/>
  <c r="AD362" i="16"/>
  <c r="AF362" i="16" s="1"/>
  <c r="AJ287" i="16"/>
  <c r="AJ176" i="16"/>
  <c r="AK176" i="16" s="1"/>
  <c r="U60" i="16" s="1"/>
  <c r="AJ338" i="16"/>
  <c r="AL338" i="16" s="1"/>
  <c r="AJ314" i="16"/>
  <c r="AK314" i="16" s="1"/>
  <c r="U106" i="16" s="1"/>
  <c r="AD254" i="16"/>
  <c r="AE254" i="16" s="1"/>
  <c r="R86" i="16" s="1"/>
  <c r="AJ38" i="16"/>
  <c r="AL38" i="16" s="1"/>
  <c r="AJ68" i="16"/>
  <c r="AL68" i="16" s="1"/>
  <c r="AJ284" i="16"/>
  <c r="AK284" i="16" s="1"/>
  <c r="U96" i="16" s="1"/>
  <c r="X173" i="16"/>
  <c r="Z173" i="16" s="1"/>
  <c r="AJ41" i="16"/>
  <c r="AK41" i="16" s="1"/>
  <c r="U15" i="16" s="1"/>
  <c r="AJ14" i="16"/>
  <c r="AK14" i="16" s="1"/>
  <c r="U6" i="16" s="1"/>
  <c r="AJ311" i="16"/>
  <c r="AL311" i="16" s="1"/>
  <c r="AD287" i="16"/>
  <c r="AF287" i="16" s="1"/>
  <c r="AD119" i="16"/>
  <c r="AF119" i="16" s="1"/>
  <c r="X143" i="16"/>
  <c r="Y143" i="16" s="1"/>
  <c r="O49" i="16" s="1"/>
  <c r="X251" i="16"/>
  <c r="X197" i="16"/>
  <c r="Z197" i="16" s="1"/>
  <c r="AD251" i="16"/>
  <c r="AF251" i="16" s="1"/>
  <c r="AJ332" i="16"/>
  <c r="AK332" i="16" s="1"/>
  <c r="U112" i="16" s="1"/>
  <c r="AJ116" i="16"/>
  <c r="AD62" i="16"/>
  <c r="AF62" i="16" s="1"/>
  <c r="AD116" i="16"/>
  <c r="AE116" i="16" s="1"/>
  <c r="R40" i="16" s="1"/>
  <c r="AJ35" i="16"/>
  <c r="AK35" i="16" s="1"/>
  <c r="U13" i="16" s="1"/>
  <c r="AJ251" i="16"/>
  <c r="AL251" i="16" s="1"/>
  <c r="X368" i="16"/>
  <c r="Y368" i="16" s="1"/>
  <c r="O124" i="16" s="1"/>
  <c r="X236" i="16"/>
  <c r="Z236" i="16" s="1"/>
  <c r="X374" i="16"/>
  <c r="Z374" i="16" s="1"/>
  <c r="X242" i="16"/>
  <c r="Z242" i="16" s="1"/>
  <c r="X299" i="16"/>
  <c r="Y299" i="16" s="1"/>
  <c r="O101" i="16" s="1"/>
  <c r="X248" i="16"/>
  <c r="Z248" i="16" s="1"/>
  <c r="X329" i="16"/>
  <c r="Y329" i="16" s="1"/>
  <c r="O111" i="16" s="1"/>
  <c r="X356" i="16"/>
  <c r="X167" i="16"/>
  <c r="X266" i="16"/>
  <c r="Y266" i="16" s="1"/>
  <c r="O90" i="16" s="1"/>
  <c r="X320" i="16"/>
  <c r="Y320" i="16" s="1"/>
  <c r="O108" i="16" s="1"/>
  <c r="X365" i="16"/>
  <c r="Y365" i="16" s="1"/>
  <c r="O123" i="16" s="1"/>
  <c r="X377" i="16"/>
  <c r="Y377" i="16" s="1"/>
  <c r="O127" i="16" s="1"/>
  <c r="X392" i="16"/>
  <c r="AJ11" i="16"/>
  <c r="AK11" i="16" s="1"/>
  <c r="U5" i="16" s="1"/>
  <c r="X149" i="16"/>
  <c r="Y149" i="16" s="1"/>
  <c r="O51" i="16" s="1"/>
  <c r="X161" i="16"/>
  <c r="X227" i="16"/>
  <c r="Z227" i="16" s="1"/>
  <c r="X245" i="16"/>
  <c r="Z245" i="16" s="1"/>
  <c r="X257" i="16"/>
  <c r="Y257" i="16" s="1"/>
  <c r="O87" i="16" s="1"/>
  <c r="K3" i="25"/>
  <c r="M3" i="25" s="1"/>
  <c r="K81" i="25"/>
  <c r="L81" i="25" s="1"/>
  <c r="K79" i="25"/>
  <c r="L79" i="25" s="1"/>
  <c r="K73" i="25"/>
  <c r="M73" i="25" s="1"/>
  <c r="K51" i="25"/>
  <c r="K45" i="25"/>
  <c r="K43" i="25"/>
  <c r="M43" i="25" s="1"/>
  <c r="K35" i="25"/>
  <c r="L35" i="25" s="1"/>
  <c r="K31" i="25"/>
  <c r="L31" i="25" s="1"/>
  <c r="K27" i="25"/>
  <c r="L27" i="25" s="1"/>
  <c r="K25" i="25"/>
  <c r="L25" i="25" s="1"/>
  <c r="K17" i="25"/>
  <c r="M17" i="25" s="1"/>
  <c r="K11" i="25"/>
  <c r="M11" i="25" s="1"/>
  <c r="M105" i="22"/>
  <c r="N105" i="22" s="1"/>
  <c r="M33" i="22"/>
  <c r="M89" i="22"/>
  <c r="N89" i="22" s="1"/>
  <c r="M19" i="22"/>
  <c r="N19" i="22" s="1"/>
  <c r="M161" i="22"/>
  <c r="N161" i="22" s="1"/>
  <c r="J42" i="6" s="1"/>
  <c r="K42" i="6" s="1"/>
  <c r="M15" i="22"/>
  <c r="N15" i="22" s="1"/>
  <c r="Z272" i="16"/>
  <c r="Y272" i="16"/>
  <c r="O92" i="16" s="1"/>
  <c r="AK365" i="16"/>
  <c r="U123" i="16" s="1"/>
  <c r="AL365" i="16"/>
  <c r="AK359" i="16"/>
  <c r="U121" i="16" s="1"/>
  <c r="AL359" i="16"/>
  <c r="AL395" i="16"/>
  <c r="Z344" i="16"/>
  <c r="Y344" i="16"/>
  <c r="O116" i="16" s="1"/>
  <c r="AE152" i="16"/>
  <c r="R52" i="16" s="1"/>
  <c r="Y161" i="16"/>
  <c r="O55" i="16" s="1"/>
  <c r="Z161" i="16"/>
  <c r="Y245" i="16"/>
  <c r="O83" i="16" s="1"/>
  <c r="Z218" i="16"/>
  <c r="Y218" i="16"/>
  <c r="O74" i="16" s="1"/>
  <c r="Z260" i="16"/>
  <c r="Y260" i="16"/>
  <c r="O88" i="16" s="1"/>
  <c r="Y230" i="16"/>
  <c r="O78" i="16" s="1"/>
  <c r="Z230" i="16"/>
  <c r="AF335" i="16"/>
  <c r="AE335" i="16"/>
  <c r="R113" i="16" s="1"/>
  <c r="Z185" i="16"/>
  <c r="AE389" i="16"/>
  <c r="R131" i="16" s="1"/>
  <c r="AF365" i="16"/>
  <c r="AE365" i="16"/>
  <c r="R123" i="16" s="1"/>
  <c r="AK287" i="16"/>
  <c r="U97" i="16" s="1"/>
  <c r="AL287" i="16"/>
  <c r="AL314" i="16"/>
  <c r="AK311" i="16"/>
  <c r="U105" i="16" s="1"/>
  <c r="Y242" i="16"/>
  <c r="O82" i="16" s="1"/>
  <c r="AK392" i="16"/>
  <c r="U132" i="16" s="1"/>
  <c r="AL389" i="16"/>
  <c r="AK389" i="16"/>
  <c r="U131" i="16" s="1"/>
  <c r="AE395" i="16"/>
  <c r="R133" i="16" s="1"/>
  <c r="AF395" i="16"/>
  <c r="AK308" i="16"/>
  <c r="U104" i="16" s="1"/>
  <c r="AL308" i="16"/>
  <c r="Y296" i="16"/>
  <c r="O100" i="16" s="1"/>
  <c r="Z296" i="16"/>
  <c r="Y308" i="16"/>
  <c r="O104" i="16" s="1"/>
  <c r="Z308" i="16"/>
  <c r="AL335" i="16"/>
  <c r="I23" i="16"/>
  <c r="AK65" i="16"/>
  <c r="U23" i="16" s="1"/>
  <c r="AL65" i="16"/>
  <c r="Y332" i="16"/>
  <c r="O112" i="16" s="1"/>
  <c r="Z332" i="16"/>
  <c r="X281" i="16"/>
  <c r="Z167" i="16"/>
  <c r="Y167" i="16"/>
  <c r="O57" i="16" s="1"/>
  <c r="I166" i="15"/>
  <c r="AK386" i="16"/>
  <c r="U130" i="16" s="1"/>
  <c r="AK368" i="16"/>
  <c r="U124" i="16" s="1"/>
  <c r="Y353" i="16"/>
  <c r="O119" i="16" s="1"/>
  <c r="Z353" i="16"/>
  <c r="X404" i="16"/>
  <c r="Y371" i="16"/>
  <c r="O125" i="16" s="1"/>
  <c r="Z371" i="16"/>
  <c r="X317" i="16"/>
  <c r="AD149" i="16"/>
  <c r="AJ17" i="16"/>
  <c r="N159" i="22"/>
  <c r="J41" i="6" s="1"/>
  <c r="K41" i="6" s="1"/>
  <c r="Q21" i="6" s="1"/>
  <c r="O159" i="22"/>
  <c r="N75" i="22"/>
  <c r="J22" i="6" s="1"/>
  <c r="K22" i="6" s="1"/>
  <c r="O75" i="22"/>
  <c r="AE341" i="16"/>
  <c r="R115" i="16" s="1"/>
  <c r="AE302" i="16"/>
  <c r="R102" i="16" s="1"/>
  <c r="AE311" i="16"/>
  <c r="R105" i="16" s="1"/>
  <c r="AE275" i="16"/>
  <c r="R93" i="16" s="1"/>
  <c r="AF248" i="16"/>
  <c r="AK230" i="16"/>
  <c r="U78" i="16" s="1"/>
  <c r="AE194" i="16"/>
  <c r="R66" i="16" s="1"/>
  <c r="Z380" i="16"/>
  <c r="AK194" i="16"/>
  <c r="U66" i="16" s="1"/>
  <c r="Y290" i="16"/>
  <c r="O98" i="16" s="1"/>
  <c r="Z290" i="16"/>
  <c r="Y284" i="16"/>
  <c r="O96" i="16" s="1"/>
  <c r="AD14" i="16"/>
  <c r="AD179" i="16"/>
  <c r="AD98" i="16"/>
  <c r="X200" i="16"/>
  <c r="AD95" i="16"/>
  <c r="AK32" i="16"/>
  <c r="U12" i="16" s="1"/>
  <c r="AL62" i="16"/>
  <c r="AK329" i="16"/>
  <c r="U111" i="16" s="1"/>
  <c r="X269" i="16"/>
  <c r="AK179" i="16"/>
  <c r="U61" i="16" s="1"/>
  <c r="Y173" i="16"/>
  <c r="O59" i="16" s="1"/>
  <c r="Y176" i="16"/>
  <c r="O60" i="16" s="1"/>
  <c r="Z176" i="16"/>
  <c r="AD35" i="16"/>
  <c r="AD89" i="16"/>
  <c r="X221" i="16"/>
  <c r="AK146" i="16"/>
  <c r="U50" i="16" s="1"/>
  <c r="AJ170" i="16"/>
  <c r="Z257" i="16"/>
  <c r="K75" i="25"/>
  <c r="K71" i="25"/>
  <c r="K67" i="25"/>
  <c r="K63" i="25"/>
  <c r="K57" i="25"/>
  <c r="K53" i="25"/>
  <c r="M51" i="25"/>
  <c r="L51" i="25"/>
  <c r="K49" i="25"/>
  <c r="AD257" i="16"/>
  <c r="Y323" i="16"/>
  <c r="O109" i="16" s="1"/>
  <c r="X293" i="16"/>
  <c r="X209" i="16"/>
  <c r="X182" i="16"/>
  <c r="Y203" i="16"/>
  <c r="O69" i="16" s="1"/>
  <c r="AK98" i="16"/>
  <c r="U34" i="16" s="1"/>
  <c r="AL98" i="16"/>
  <c r="Z311" i="16"/>
  <c r="Y311" i="16"/>
  <c r="O105" i="16" s="1"/>
  <c r="AF44" i="16"/>
  <c r="AJ152" i="16"/>
  <c r="Z170" i="16"/>
  <c r="Y170" i="16"/>
  <c r="O58" i="16" s="1"/>
  <c r="AJ173" i="16"/>
  <c r="Z194" i="16"/>
  <c r="Y194" i="16"/>
  <c r="O66" i="16" s="1"/>
  <c r="X188" i="16"/>
  <c r="X350" i="16"/>
  <c r="AE383" i="16"/>
  <c r="R129" i="16" s="1"/>
  <c r="AF368" i="16"/>
  <c r="AK227" i="16"/>
  <c r="U77" i="16" s="1"/>
  <c r="AE221" i="16"/>
  <c r="R75" i="16" s="1"/>
  <c r="AJ254" i="16"/>
  <c r="AK113" i="16"/>
  <c r="U39" i="16" s="1"/>
  <c r="AD203" i="16"/>
  <c r="AD338" i="16"/>
  <c r="AF122" i="16"/>
  <c r="AE122" i="16"/>
  <c r="R42" i="16" s="1"/>
  <c r="AF146" i="16"/>
  <c r="AL362" i="16"/>
  <c r="AD332" i="16"/>
  <c r="AD308" i="16"/>
  <c r="AK248" i="16"/>
  <c r="U84" i="16" s="1"/>
  <c r="AJ224" i="16"/>
  <c r="AE170" i="16"/>
  <c r="R58" i="16" s="1"/>
  <c r="AL44" i="16"/>
  <c r="AK44" i="16"/>
  <c r="U16" i="16" s="1"/>
  <c r="AD65" i="16"/>
  <c r="K77" i="25"/>
  <c r="K69" i="25"/>
  <c r="X155" i="16"/>
  <c r="X341" i="16"/>
  <c r="AJ71" i="16"/>
  <c r="AJ122" i="16"/>
  <c r="AD233" i="16"/>
  <c r="X224" i="16"/>
  <c r="AJ119" i="16"/>
  <c r="AD8" i="16"/>
  <c r="AJ143" i="16"/>
  <c r="AJ8" i="16"/>
  <c r="K59" i="25"/>
  <c r="M15" i="25"/>
  <c r="L15" i="25"/>
  <c r="L33" i="25"/>
  <c r="M33" i="25"/>
  <c r="AD227" i="16"/>
  <c r="X314" i="16"/>
  <c r="X389" i="16"/>
  <c r="AD11" i="16"/>
  <c r="AD92" i="16"/>
  <c r="AD17" i="16"/>
  <c r="AJ197" i="16"/>
  <c r="L11" i="25"/>
  <c r="L41" i="25"/>
  <c r="M41" i="25"/>
  <c r="K61" i="25"/>
  <c r="X401" i="16"/>
  <c r="X275" i="16"/>
  <c r="X302" i="16"/>
  <c r="F164" i="15"/>
  <c r="X233" i="16"/>
  <c r="X338" i="16"/>
  <c r="AD71" i="16"/>
  <c r="AD38" i="16"/>
  <c r="X335" i="16"/>
  <c r="AJ203" i="16"/>
  <c r="X359" i="16"/>
  <c r="AD197" i="16"/>
  <c r="AJ89" i="16"/>
  <c r="AD143" i="16"/>
  <c r="M19" i="25"/>
  <c r="K39" i="25"/>
  <c r="K23" i="25"/>
  <c r="K7" i="25"/>
  <c r="X305" i="16"/>
  <c r="X263" i="16"/>
  <c r="X179" i="16"/>
  <c r="AD41" i="16"/>
  <c r="AD176" i="16"/>
  <c r="X362" i="16"/>
  <c r="AJ92" i="16"/>
  <c r="AE32" i="16"/>
  <c r="R12" i="16" s="1"/>
  <c r="X278" i="16"/>
  <c r="Z140" i="16"/>
  <c r="Y140" i="16"/>
  <c r="O48" i="16" s="1"/>
  <c r="X383" i="16"/>
  <c r="X287" i="16"/>
  <c r="F201" i="15"/>
  <c r="K65" i="25"/>
  <c r="K55" i="25"/>
  <c r="K47" i="25"/>
  <c r="K37" i="25"/>
  <c r="K29" i="25"/>
  <c r="K21" i="25"/>
  <c r="K13" i="25"/>
  <c r="K5" i="25"/>
  <c r="I169" i="15"/>
  <c r="O69" i="22"/>
  <c r="O175" i="22"/>
  <c r="N39" i="22"/>
  <c r="N145" i="22"/>
  <c r="I165" i="15"/>
  <c r="E83" i="24"/>
  <c r="F90" i="24" s="1"/>
  <c r="A86" i="24"/>
  <c r="N43" i="22"/>
  <c r="J18" i="6" s="1"/>
  <c r="K18" i="6" s="1"/>
  <c r="N169" i="22"/>
  <c r="J52" i="6" s="1"/>
  <c r="K52" i="6" s="1"/>
  <c r="O53" i="22"/>
  <c r="F170" i="15"/>
  <c r="O141" i="22"/>
  <c r="M45" i="6"/>
  <c r="J46" i="6"/>
  <c r="K46" i="6" s="1"/>
  <c r="O151" i="22"/>
  <c r="O37" i="22"/>
  <c r="N21" i="22"/>
  <c r="M13" i="22"/>
  <c r="N13" i="22" s="1"/>
  <c r="M11" i="22"/>
  <c r="O11" i="22" s="1"/>
  <c r="M9" i="22"/>
  <c r="O9" i="22" s="1"/>
  <c r="O7" i="22"/>
  <c r="N129" i="22"/>
  <c r="N133" i="22"/>
  <c r="J39" i="6" s="1"/>
  <c r="K39" i="6" s="1"/>
  <c r="O127" i="22"/>
  <c r="N123" i="22"/>
  <c r="N119" i="22"/>
  <c r="J35" i="6" s="1"/>
  <c r="K35" i="6" s="1"/>
  <c r="O95" i="22"/>
  <c r="N113" i="22"/>
  <c r="N115" i="22"/>
  <c r="O111" i="22"/>
  <c r="O109" i="22"/>
  <c r="O107" i="22"/>
  <c r="O101" i="22"/>
  <c r="N97" i="22"/>
  <c r="J36" i="6" s="1"/>
  <c r="K36" i="6" s="1"/>
  <c r="N91" i="22"/>
  <c r="J30" i="6" s="1"/>
  <c r="K30" i="6" s="1"/>
  <c r="E12" i="16"/>
  <c r="F23" i="16" s="1"/>
  <c r="F48" i="15"/>
  <c r="F56" i="15" s="1"/>
  <c r="E195" i="15"/>
  <c r="F202" i="15" s="1"/>
  <c r="D196" i="15"/>
  <c r="F206" i="15" s="1"/>
  <c r="I196" i="15"/>
  <c r="I208" i="15" s="1"/>
  <c r="J195" i="15"/>
  <c r="H196" i="15"/>
  <c r="I207" i="15" s="1"/>
  <c r="I195" i="15"/>
  <c r="I203" i="15" s="1"/>
  <c r="G196" i="15"/>
  <c r="I206" i="15" s="1"/>
  <c r="H195" i="15"/>
  <c r="I202" i="15" s="1"/>
  <c r="F196" i="15"/>
  <c r="F208" i="15" s="1"/>
  <c r="G195" i="15"/>
  <c r="I201" i="15" s="1"/>
  <c r="E196" i="15"/>
  <c r="F207" i="15" s="1"/>
  <c r="F195" i="15"/>
  <c r="F203" i="15" s="1"/>
  <c r="N35" i="22"/>
  <c r="O93" i="22"/>
  <c r="O165" i="22"/>
  <c r="N99" i="22"/>
  <c r="J37" i="6" s="1"/>
  <c r="K37" i="6" s="1"/>
  <c r="O139" i="22"/>
  <c r="N147" i="22"/>
  <c r="J45" i="6" s="1"/>
  <c r="K45" i="6" s="1"/>
  <c r="O163" i="22"/>
  <c r="M27" i="22"/>
  <c r="O27" i="22" s="1"/>
  <c r="O41" i="22"/>
  <c r="O135" i="22"/>
  <c r="M5" i="22"/>
  <c r="N5" i="22" s="1"/>
  <c r="M17" i="22"/>
  <c r="N17" i="22" s="1"/>
  <c r="M23" i="22"/>
  <c r="N23" i="22" s="1"/>
  <c r="M25" i="22"/>
  <c r="N25" i="22" s="1"/>
  <c r="J13" i="6" s="1"/>
  <c r="K13" i="6" s="1"/>
  <c r="Q15" i="6" s="1"/>
  <c r="M29" i="22"/>
  <c r="N29" i="22" s="1"/>
  <c r="M31" i="22"/>
  <c r="O31" i="22" s="1"/>
  <c r="O157" i="22"/>
  <c r="O77" i="22"/>
  <c r="O117" i="22"/>
  <c r="O103" i="22"/>
  <c r="N3" i="22"/>
  <c r="J12" i="6" s="1"/>
  <c r="K12" i="6" s="1"/>
  <c r="N59" i="22"/>
  <c r="J26" i="6" s="1"/>
  <c r="K26" i="6" s="1"/>
  <c r="O79" i="22"/>
  <c r="O121" i="22"/>
  <c r="O167" i="22"/>
  <c r="O125" i="22"/>
  <c r="O143" i="22"/>
  <c r="N131" i="22"/>
  <c r="J38" i="6" s="1"/>
  <c r="K38" i="6" s="1"/>
  <c r="F121" i="15"/>
  <c r="F129" i="15" s="1"/>
  <c r="D233" i="15"/>
  <c r="F243" i="15" s="1"/>
  <c r="F233" i="15"/>
  <c r="F245" i="15" s="1"/>
  <c r="E121" i="15"/>
  <c r="F128" i="15" s="1"/>
  <c r="I48" i="15"/>
  <c r="I56" i="15" s="1"/>
  <c r="E233" i="15"/>
  <c r="F244" i="15" s="1"/>
  <c r="E232" i="15"/>
  <c r="F239" i="15" s="1"/>
  <c r="F122" i="15"/>
  <c r="F134" i="15" s="1"/>
  <c r="F85" i="15"/>
  <c r="F97" i="15" s="1"/>
  <c r="G49" i="15"/>
  <c r="I59" i="15" s="1"/>
  <c r="H84" i="15"/>
  <c r="I91" i="15" s="1"/>
  <c r="D48" i="15"/>
  <c r="F54" i="15" s="1"/>
  <c r="F49" i="15"/>
  <c r="F61" i="15" s="1"/>
  <c r="I232" i="15"/>
  <c r="I240" i="15" s="1"/>
  <c r="E122" i="15"/>
  <c r="F133" i="15" s="1"/>
  <c r="E85" i="15"/>
  <c r="F96" i="15" s="1"/>
  <c r="E48" i="15"/>
  <c r="F55" i="15" s="1"/>
  <c r="G48" i="15"/>
  <c r="I54" i="15" s="1"/>
  <c r="H232" i="15"/>
  <c r="I239" i="15" s="1"/>
  <c r="H122" i="15"/>
  <c r="I133" i="15" s="1"/>
  <c r="H85" i="15"/>
  <c r="I96" i="15" s="1"/>
  <c r="E84" i="15"/>
  <c r="F91" i="15" s="1"/>
  <c r="I49" i="15"/>
  <c r="I61" i="15" s="1"/>
  <c r="E49" i="15"/>
  <c r="F60" i="15" s="1"/>
  <c r="G232" i="15"/>
  <c r="I238" i="15" s="1"/>
  <c r="G122" i="15"/>
  <c r="I132" i="15" s="1"/>
  <c r="D84" i="15"/>
  <c r="F90" i="15" s="1"/>
  <c r="I85" i="15"/>
  <c r="I97" i="15" s="1"/>
  <c r="D232" i="15"/>
  <c r="F238" i="15" s="1"/>
  <c r="I84" i="15"/>
  <c r="I92" i="15" s="1"/>
  <c r="I122" i="15"/>
  <c r="I134" i="15" s="1"/>
  <c r="H48" i="15"/>
  <c r="I55" i="15" s="1"/>
  <c r="D49" i="15"/>
  <c r="F59" i="15" s="1"/>
  <c r="I233" i="15"/>
  <c r="I245" i="15" s="1"/>
  <c r="G121" i="15"/>
  <c r="I127" i="15" s="1"/>
  <c r="I121" i="15"/>
  <c r="I129" i="15" s="1"/>
  <c r="D85" i="15"/>
  <c r="F95" i="15" s="1"/>
  <c r="I307" i="15"/>
  <c r="I319" i="15" s="1"/>
  <c r="D122" i="15"/>
  <c r="F132" i="15" s="1"/>
  <c r="G233" i="15"/>
  <c r="I243" i="15" s="1"/>
  <c r="H49" i="15"/>
  <c r="I60" i="15" s="1"/>
  <c r="H233" i="15"/>
  <c r="I244" i="15" s="1"/>
  <c r="F232" i="15"/>
  <c r="F240" i="15" s="1"/>
  <c r="D121" i="15"/>
  <c r="F127" i="15" s="1"/>
  <c r="H121" i="15"/>
  <c r="I128" i="15" s="1"/>
  <c r="G85" i="15"/>
  <c r="I95" i="15" s="1"/>
  <c r="G270" i="15"/>
  <c r="I280" i="15" s="1"/>
  <c r="A197" i="15"/>
  <c r="G84" i="15"/>
  <c r="I90" i="15" s="1"/>
  <c r="F159" i="15"/>
  <c r="F171" i="15" s="1"/>
  <c r="F84" i="15"/>
  <c r="F92" i="15" s="1"/>
  <c r="Q20" i="6"/>
  <c r="G306" i="15"/>
  <c r="I312" i="15" s="1"/>
  <c r="G307" i="15"/>
  <c r="I317" i="15" s="1"/>
  <c r="D12" i="16"/>
  <c r="F22" i="16" s="1"/>
  <c r="H270" i="15"/>
  <c r="I281" i="15" s="1"/>
  <c r="E84" i="24"/>
  <c r="F95" i="24" s="1"/>
  <c r="G269" i="15"/>
  <c r="I275" i="15" s="1"/>
  <c r="F48" i="24"/>
  <c r="F56" i="24" s="1"/>
  <c r="I159" i="15"/>
  <c r="I171" i="15" s="1"/>
  <c r="E306" i="15"/>
  <c r="F313" i="15" s="1"/>
  <c r="F269" i="15"/>
  <c r="F277" i="15" s="1"/>
  <c r="E269" i="15"/>
  <c r="F276" i="15" s="1"/>
  <c r="D48" i="24"/>
  <c r="F54" i="24" s="1"/>
  <c r="H49" i="24"/>
  <c r="I60" i="24" s="1"/>
  <c r="D83" i="24"/>
  <c r="F89" i="24" s="1"/>
  <c r="H84" i="24"/>
  <c r="I95" i="24" s="1"/>
  <c r="G12" i="16"/>
  <c r="I22" i="16" s="1"/>
  <c r="G84" i="24"/>
  <c r="I94" i="24" s="1"/>
  <c r="H83" i="24"/>
  <c r="I90" i="24" s="1"/>
  <c r="D307" i="15"/>
  <c r="F317" i="15" s="1"/>
  <c r="D306" i="15"/>
  <c r="F312" i="15" s="1"/>
  <c r="I270" i="15"/>
  <c r="I282" i="15" s="1"/>
  <c r="I84" i="24"/>
  <c r="I96" i="24" s="1"/>
  <c r="H269" i="15"/>
  <c r="I276" i="15" s="1"/>
  <c r="G49" i="24"/>
  <c r="I59" i="24" s="1"/>
  <c r="F307" i="15"/>
  <c r="F319" i="15" s="1"/>
  <c r="F306" i="15"/>
  <c r="F314" i="15" s="1"/>
  <c r="F270" i="15"/>
  <c r="F282" i="15" s="1"/>
  <c r="E49" i="24"/>
  <c r="F60" i="24" s="1"/>
  <c r="G83" i="24"/>
  <c r="I89" i="24" s="1"/>
  <c r="K16" i="16"/>
  <c r="F49" i="24"/>
  <c r="F61" i="24" s="1"/>
  <c r="D49" i="24"/>
  <c r="F59" i="24" s="1"/>
  <c r="I48" i="24"/>
  <c r="I56" i="24" s="1"/>
  <c r="F83" i="24"/>
  <c r="F91" i="24" s="1"/>
  <c r="H48" i="24"/>
  <c r="I55" i="24" s="1"/>
  <c r="E48" i="24"/>
  <c r="F55" i="24" s="1"/>
  <c r="I306" i="15"/>
  <c r="I314" i="15" s="1"/>
  <c r="H307" i="15"/>
  <c r="I318" i="15" s="1"/>
  <c r="D270" i="15"/>
  <c r="F280" i="15" s="1"/>
  <c r="D269" i="15"/>
  <c r="F275" i="15" s="1"/>
  <c r="I269" i="15"/>
  <c r="I277" i="15" s="1"/>
  <c r="D13" i="16"/>
  <c r="F84" i="24"/>
  <c r="F96" i="24" s="1"/>
  <c r="D84" i="24"/>
  <c r="F94" i="24" s="1"/>
  <c r="I83" i="24"/>
  <c r="I91" i="24" s="1"/>
  <c r="I49" i="24"/>
  <c r="I61" i="24" s="1"/>
  <c r="G48" i="24"/>
  <c r="I54" i="24" s="1"/>
  <c r="H306" i="15"/>
  <c r="I313" i="15" s="1"/>
  <c r="E307" i="15"/>
  <c r="F318" i="15" s="1"/>
  <c r="J15" i="6" l="1"/>
  <c r="K15" i="6" s="1"/>
  <c r="J29" i="6"/>
  <c r="K29" i="6" s="1"/>
  <c r="J34" i="6"/>
  <c r="K34" i="6" s="1"/>
  <c r="Y197" i="16"/>
  <c r="O67" i="16" s="1"/>
  <c r="AE281" i="16"/>
  <c r="R95" i="16" s="1"/>
  <c r="Z368" i="16"/>
  <c r="Z395" i="16"/>
  <c r="Z266" i="16"/>
  <c r="Y158" i="16"/>
  <c r="O54" i="16" s="1"/>
  <c r="AK257" i="16"/>
  <c r="U87" i="16" s="1"/>
  <c r="AE392" i="16"/>
  <c r="R132" i="16" s="1"/>
  <c r="AE314" i="16"/>
  <c r="R106" i="16" s="1"/>
  <c r="AE119" i="16"/>
  <c r="R41" i="16" s="1"/>
  <c r="M27" i="25"/>
  <c r="AK38" i="16"/>
  <c r="U14" i="16" s="1"/>
  <c r="AE68" i="16"/>
  <c r="R24" i="16" s="1"/>
  <c r="AE386" i="16"/>
  <c r="R130" i="16" s="1"/>
  <c r="AF116" i="16"/>
  <c r="M35" i="25"/>
  <c r="AE287" i="16"/>
  <c r="R97" i="16" s="1"/>
  <c r="AF359" i="16"/>
  <c r="AE62" i="16"/>
  <c r="R22" i="16" s="1"/>
  <c r="AK281" i="16"/>
  <c r="U95" i="16" s="1"/>
  <c r="O161" i="22"/>
  <c r="AL35" i="16"/>
  <c r="AK68" i="16"/>
  <c r="U24" i="16" s="1"/>
  <c r="M25" i="25"/>
  <c r="AF284" i="16"/>
  <c r="AL284" i="16"/>
  <c r="Z347" i="16"/>
  <c r="Z149" i="16"/>
  <c r="AK260" i="16"/>
  <c r="U88" i="16" s="1"/>
  <c r="M79" i="25"/>
  <c r="Z143" i="16"/>
  <c r="Z329" i="16"/>
  <c r="AE362" i="16"/>
  <c r="R122" i="16" s="1"/>
  <c r="AK251" i="16"/>
  <c r="U85" i="16" s="1"/>
  <c r="L73" i="25"/>
  <c r="AL341" i="16"/>
  <c r="Y248" i="16"/>
  <c r="O84" i="16" s="1"/>
  <c r="AL14" i="16"/>
  <c r="Y374" i="16"/>
  <c r="O126" i="16" s="1"/>
  <c r="M81" i="25"/>
  <c r="AL278" i="16"/>
  <c r="AE206" i="16"/>
  <c r="R70" i="16" s="1"/>
  <c r="L17" i="25"/>
  <c r="Z152" i="16"/>
  <c r="AK338" i="16"/>
  <c r="U114" i="16" s="1"/>
  <c r="AL332" i="16"/>
  <c r="AF260" i="16"/>
  <c r="AL41" i="16"/>
  <c r="AL200" i="16"/>
  <c r="AL176" i="16"/>
  <c r="Z365" i="16"/>
  <c r="Y212" i="16"/>
  <c r="O72" i="16" s="1"/>
  <c r="Z320" i="16"/>
  <c r="L43" i="25"/>
  <c r="Y227" i="16"/>
  <c r="O77" i="16" s="1"/>
  <c r="AE251" i="16"/>
  <c r="R85" i="16" s="1"/>
  <c r="L3" i="25"/>
  <c r="AF254" i="16"/>
  <c r="Y236" i="16"/>
  <c r="O80" i="16" s="1"/>
  <c r="AE230" i="16"/>
  <c r="R78" i="16" s="1"/>
  <c r="Z377" i="16"/>
  <c r="M31" i="25"/>
  <c r="AL11" i="16"/>
  <c r="Z299" i="16"/>
  <c r="J44" i="6"/>
  <c r="K44" i="6" s="1"/>
  <c r="O19" i="22"/>
  <c r="O15" i="22"/>
  <c r="O105" i="22"/>
  <c r="O89" i="22"/>
  <c r="K163" i="15"/>
  <c r="K181" i="15" s="1"/>
  <c r="P18" i="6" s="1"/>
  <c r="Q18" i="6" s="1"/>
  <c r="N33" i="22"/>
  <c r="O33" i="22"/>
  <c r="M45" i="25"/>
  <c r="L45" i="25"/>
  <c r="Z392" i="16"/>
  <c r="Y392" i="16"/>
  <c r="O132" i="16" s="1"/>
  <c r="Z356" i="16"/>
  <c r="Y356" i="16"/>
  <c r="O120" i="16" s="1"/>
  <c r="AK116" i="16"/>
  <c r="U40" i="16" s="1"/>
  <c r="AL116" i="16"/>
  <c r="Z251" i="16"/>
  <c r="Y251" i="16"/>
  <c r="O85" i="16" s="1"/>
  <c r="AF173" i="16"/>
  <c r="AE173" i="16"/>
  <c r="R59" i="16" s="1"/>
  <c r="AF125" i="16"/>
  <c r="AE125" i="16"/>
  <c r="R43" i="16" s="1"/>
  <c r="Z398" i="16"/>
  <c r="Y398" i="16"/>
  <c r="O134" i="16" s="1"/>
  <c r="Y326" i="16"/>
  <c r="O110" i="16" s="1"/>
  <c r="Z326" i="16"/>
  <c r="M29" i="25"/>
  <c r="L29" i="25"/>
  <c r="Y179" i="16"/>
  <c r="O61" i="16" s="1"/>
  <c r="Z179" i="16"/>
  <c r="AL89" i="16"/>
  <c r="AK89" i="16"/>
  <c r="U31" i="16" s="1"/>
  <c r="Z233" i="16"/>
  <c r="Y233" i="16"/>
  <c r="O79" i="16" s="1"/>
  <c r="AK119" i="16"/>
  <c r="U41" i="16" s="1"/>
  <c r="AL119" i="16"/>
  <c r="L77" i="25"/>
  <c r="M77" i="25"/>
  <c r="AK173" i="16"/>
  <c r="U59" i="16" s="1"/>
  <c r="AL173" i="16"/>
  <c r="Z209" i="16"/>
  <c r="Y209" i="16"/>
  <c r="O71" i="16" s="1"/>
  <c r="M67" i="25"/>
  <c r="L67" i="25"/>
  <c r="AF89" i="16"/>
  <c r="AE89" i="16"/>
  <c r="R31" i="16" s="1"/>
  <c r="AE14" i="16"/>
  <c r="R6" i="16" s="1"/>
  <c r="AF14" i="16"/>
  <c r="Y317" i="16"/>
  <c r="O107" i="16" s="1"/>
  <c r="Z317" i="16"/>
  <c r="Y224" i="16"/>
  <c r="O76" i="16" s="1"/>
  <c r="Z224" i="16"/>
  <c r="AE308" i="16"/>
  <c r="R104" i="16" s="1"/>
  <c r="AF308" i="16"/>
  <c r="AF338" i="16"/>
  <c r="AE338" i="16"/>
  <c r="R114" i="16" s="1"/>
  <c r="Z293" i="16"/>
  <c r="Y293" i="16"/>
  <c r="O99" i="16" s="1"/>
  <c r="L71" i="25"/>
  <c r="M71" i="25"/>
  <c r="AE35" i="16"/>
  <c r="R13" i="16" s="1"/>
  <c r="AF35" i="16"/>
  <c r="L47" i="25"/>
  <c r="M47" i="25"/>
  <c r="Z278" i="16"/>
  <c r="Y278" i="16"/>
  <c r="O94" i="16" s="1"/>
  <c r="Z305" i="16"/>
  <c r="Y305" i="16"/>
  <c r="O103" i="16" s="1"/>
  <c r="Y359" i="16"/>
  <c r="O121" i="16" s="1"/>
  <c r="Z359" i="16"/>
  <c r="Z302" i="16"/>
  <c r="Y302" i="16"/>
  <c r="O102" i="16" s="1"/>
  <c r="AF17" i="16"/>
  <c r="AE17" i="16"/>
  <c r="R7" i="16" s="1"/>
  <c r="AE233" i="16"/>
  <c r="R79" i="16" s="1"/>
  <c r="AF233" i="16"/>
  <c r="AF332" i="16"/>
  <c r="AE332" i="16"/>
  <c r="R112" i="16" s="1"/>
  <c r="AF203" i="16"/>
  <c r="AE203" i="16"/>
  <c r="R69" i="16" s="1"/>
  <c r="Z350" i="16"/>
  <c r="Y350" i="16"/>
  <c r="O118" i="16" s="1"/>
  <c r="L49" i="25"/>
  <c r="M49" i="25"/>
  <c r="L75" i="25"/>
  <c r="M75" i="25"/>
  <c r="M55" i="25"/>
  <c r="L55" i="25"/>
  <c r="L7" i="25"/>
  <c r="M7" i="25"/>
  <c r="AK203" i="16"/>
  <c r="U69" i="16" s="1"/>
  <c r="AL203" i="16"/>
  <c r="Y275" i="16"/>
  <c r="O93" i="16" s="1"/>
  <c r="Z275" i="16"/>
  <c r="AF92" i="16"/>
  <c r="AE92" i="16"/>
  <c r="R32" i="16" s="1"/>
  <c r="AK122" i="16"/>
  <c r="U42" i="16" s="1"/>
  <c r="AL122" i="16"/>
  <c r="AF65" i="16"/>
  <c r="AE65" i="16"/>
  <c r="R23" i="16" s="1"/>
  <c r="Y188" i="16"/>
  <c r="O64" i="16" s="1"/>
  <c r="Z188" i="16"/>
  <c r="Z404" i="16"/>
  <c r="Y404" i="16"/>
  <c r="O136" i="16" s="1"/>
  <c r="Z263" i="16"/>
  <c r="Y263" i="16"/>
  <c r="O89" i="16" s="1"/>
  <c r="L65" i="25"/>
  <c r="M65" i="25"/>
  <c r="AK92" i="16"/>
  <c r="U32" i="16" s="1"/>
  <c r="AL92" i="16"/>
  <c r="L23" i="25"/>
  <c r="M23" i="25"/>
  <c r="Z335" i="16"/>
  <c r="Y335" i="16"/>
  <c r="O113" i="16" s="1"/>
  <c r="Z401" i="16"/>
  <c r="Y401" i="16"/>
  <c r="O135" i="16" s="1"/>
  <c r="AF11" i="16"/>
  <c r="AE11" i="16"/>
  <c r="R5" i="16" s="1"/>
  <c r="L59" i="25"/>
  <c r="M59" i="25"/>
  <c r="AK71" i="16"/>
  <c r="U25" i="16" s="1"/>
  <c r="AL71" i="16"/>
  <c r="AE95" i="16"/>
  <c r="R33" i="16" s="1"/>
  <c r="AF95" i="16"/>
  <c r="AK17" i="16"/>
  <c r="U7" i="16" s="1"/>
  <c r="AL17" i="16"/>
  <c r="L37" i="25"/>
  <c r="M37" i="25"/>
  <c r="L5" i="25"/>
  <c r="M5" i="25"/>
  <c r="M39" i="25"/>
  <c r="L39" i="25"/>
  <c r="AF38" i="16"/>
  <c r="AE38" i="16"/>
  <c r="R14" i="16" s="1"/>
  <c r="M61" i="25"/>
  <c r="L61" i="25"/>
  <c r="Y389" i="16"/>
  <c r="O131" i="16" s="1"/>
  <c r="Z389" i="16"/>
  <c r="AL8" i="16"/>
  <c r="AK8" i="16"/>
  <c r="U4" i="16" s="1"/>
  <c r="Y341" i="16"/>
  <c r="O115" i="16" s="1"/>
  <c r="Z341" i="16"/>
  <c r="AL254" i="16"/>
  <c r="AK254" i="16"/>
  <c r="U86" i="16" s="1"/>
  <c r="AK152" i="16"/>
  <c r="U52" i="16" s="1"/>
  <c r="AL152" i="16"/>
  <c r="AF257" i="16"/>
  <c r="AE257" i="16"/>
  <c r="R87" i="16" s="1"/>
  <c r="L53" i="25"/>
  <c r="M53" i="25"/>
  <c r="AL170" i="16"/>
  <c r="AK170" i="16"/>
  <c r="U58" i="16" s="1"/>
  <c r="Y200" i="16"/>
  <c r="O68" i="16" s="1"/>
  <c r="Z200" i="16"/>
  <c r="AE149" i="16"/>
  <c r="R51" i="16" s="1"/>
  <c r="AF149" i="16"/>
  <c r="AL197" i="16"/>
  <c r="AK197" i="16"/>
  <c r="U67" i="16" s="1"/>
  <c r="Z362" i="16"/>
  <c r="Y362" i="16"/>
  <c r="O122" i="16" s="1"/>
  <c r="L13" i="25"/>
  <c r="M13" i="25"/>
  <c r="Y287" i="16"/>
  <c r="O97" i="16" s="1"/>
  <c r="Z287" i="16"/>
  <c r="AF176" i="16"/>
  <c r="AE176" i="16"/>
  <c r="R60" i="16" s="1"/>
  <c r="AF71" i="16"/>
  <c r="AE71" i="16"/>
  <c r="R25" i="16" s="1"/>
  <c r="Z314" i="16"/>
  <c r="Y314" i="16"/>
  <c r="O106" i="16" s="1"/>
  <c r="AK143" i="16"/>
  <c r="U49" i="16" s="1"/>
  <c r="AL143" i="16"/>
  <c r="Y155" i="16"/>
  <c r="O53" i="16" s="1"/>
  <c r="Z155" i="16"/>
  <c r="L57" i="25"/>
  <c r="M57" i="25"/>
  <c r="Z269" i="16"/>
  <c r="Y269" i="16"/>
  <c r="O91" i="16" s="1"/>
  <c r="AE98" i="16"/>
  <c r="R34" i="16" s="1"/>
  <c r="AF98" i="16"/>
  <c r="AF197" i="16"/>
  <c r="AE197" i="16"/>
  <c r="R67" i="16" s="1"/>
  <c r="O13" i="22"/>
  <c r="L21" i="25"/>
  <c r="M21" i="25"/>
  <c r="Z383" i="16"/>
  <c r="Y383" i="16"/>
  <c r="O129" i="16" s="1"/>
  <c r="AE41" i="16"/>
  <c r="R15" i="16" s="1"/>
  <c r="AF41" i="16"/>
  <c r="AE143" i="16"/>
  <c r="R49" i="16" s="1"/>
  <c r="AF143" i="16"/>
  <c r="Y338" i="16"/>
  <c r="O114" i="16" s="1"/>
  <c r="Z338" i="16"/>
  <c r="AE227" i="16"/>
  <c r="R77" i="16" s="1"/>
  <c r="AF227" i="16"/>
  <c r="AE8" i="16"/>
  <c r="R4" i="16" s="1"/>
  <c r="AF8" i="16"/>
  <c r="L69" i="25"/>
  <c r="M69" i="25"/>
  <c r="AL224" i="16"/>
  <c r="AK224" i="16"/>
  <c r="U76" i="16" s="1"/>
  <c r="Z182" i="16"/>
  <c r="Y182" i="16"/>
  <c r="O62" i="16" s="1"/>
  <c r="L63" i="25"/>
  <c r="M63" i="25"/>
  <c r="Y221" i="16"/>
  <c r="O75" i="16" s="1"/>
  <c r="Z221" i="16"/>
  <c r="AF179" i="16"/>
  <c r="AE179" i="16"/>
  <c r="R61" i="16" s="1"/>
  <c r="Y281" i="16"/>
  <c r="O95" i="16" s="1"/>
  <c r="Z281" i="16"/>
  <c r="N31" i="22"/>
  <c r="J16" i="6" s="1"/>
  <c r="K16" i="6" s="1"/>
  <c r="O29" i="22"/>
  <c r="N27" i="22"/>
  <c r="N11" i="22"/>
  <c r="J14" i="6" s="1"/>
  <c r="K14" i="6" s="1"/>
  <c r="O25" i="22"/>
  <c r="N9" i="22"/>
  <c r="K242" i="15"/>
  <c r="K126" i="15"/>
  <c r="O5" i="22"/>
  <c r="O23" i="22"/>
  <c r="O17" i="22"/>
  <c r="K53" i="15"/>
  <c r="K89" i="15"/>
  <c r="K131" i="15"/>
  <c r="K58" i="15"/>
  <c r="K237" i="15"/>
  <c r="K94" i="15"/>
  <c r="K316" i="15"/>
  <c r="K205" i="15"/>
  <c r="K200" i="15"/>
  <c r="K279" i="15"/>
  <c r="K168" i="15"/>
  <c r="K21" i="16"/>
  <c r="H27" i="16" s="1"/>
  <c r="K27" i="16" s="1"/>
  <c r="H30" i="16" s="1"/>
  <c r="K30" i="16" s="1"/>
  <c r="K31" i="16" s="1"/>
  <c r="J33" i="16" s="1"/>
  <c r="K58" i="24"/>
  <c r="K311" i="15"/>
  <c r="K53" i="24"/>
  <c r="K88" i="24"/>
  <c r="E13" i="16"/>
  <c r="F13" i="16"/>
  <c r="K274" i="15"/>
  <c r="K33" i="16"/>
  <c r="K93" i="24"/>
  <c r="H175" i="15" l="1"/>
  <c r="K175" i="15" s="1"/>
  <c r="H178" i="15" s="1"/>
  <c r="K178" i="15" s="1"/>
  <c r="O138" i="16"/>
  <c r="O139" i="16" s="1"/>
  <c r="O140" i="16"/>
  <c r="R138" i="16"/>
  <c r="R139" i="16" s="1"/>
  <c r="R140" i="16"/>
  <c r="U140" i="16"/>
  <c r="U138" i="16"/>
  <c r="U139" i="16" s="1"/>
  <c r="H248" i="15"/>
  <c r="K248" i="15" s="1"/>
  <c r="H251" i="15" s="1"/>
  <c r="K251" i="15" s="1"/>
  <c r="K252" i="15" s="1"/>
  <c r="J254" i="15" s="1"/>
  <c r="H100" i="15"/>
  <c r="K100" i="15" s="1"/>
  <c r="H103" i="15" s="1"/>
  <c r="K103" i="15" s="1"/>
  <c r="K104" i="15" s="1"/>
  <c r="K106" i="15" s="1"/>
  <c r="P16" i="6" s="1"/>
  <c r="H64" i="15"/>
  <c r="K64" i="15" s="1"/>
  <c r="H67" i="15" s="1"/>
  <c r="K67" i="15" s="1"/>
  <c r="K68" i="15" s="1"/>
  <c r="K70" i="15" s="1"/>
  <c r="P15" i="6" s="1"/>
  <c r="H137" i="15"/>
  <c r="K137" i="15" s="1"/>
  <c r="H140" i="15" s="1"/>
  <c r="K140" i="15" s="1"/>
  <c r="K141" i="15" s="1"/>
  <c r="H322" i="15"/>
  <c r="K322" i="15" s="1"/>
  <c r="H325" i="15" s="1"/>
  <c r="K325" i="15" s="1"/>
  <c r="H211" i="15"/>
  <c r="K211" i="15" s="1"/>
  <c r="H214" i="15" s="1"/>
  <c r="K214" i="15" s="1"/>
  <c r="K215" i="15" s="1"/>
  <c r="J217" i="15" s="1"/>
  <c r="H285" i="15"/>
  <c r="K285" i="15" s="1"/>
  <c r="H288" i="15" s="1"/>
  <c r="K288" i="15" s="1"/>
  <c r="K289" i="15" s="1"/>
  <c r="J291" i="15" s="1"/>
  <c r="H99" i="24"/>
  <c r="K99" i="24" s="1"/>
  <c r="H64" i="24"/>
  <c r="K64" i="24" s="1"/>
  <c r="H67" i="24" s="1"/>
  <c r="K67" i="24" s="1"/>
  <c r="K179" i="15"/>
  <c r="J181" i="15" s="1"/>
  <c r="J50" i="6" l="1"/>
  <c r="J49" i="6"/>
  <c r="J48" i="6"/>
  <c r="J70" i="15"/>
  <c r="K254" i="15"/>
  <c r="P21" i="6" s="1"/>
  <c r="K143" i="15"/>
  <c r="P17" i="6" s="1"/>
  <c r="Q17" i="6" s="1"/>
  <c r="J143" i="15"/>
  <c r="K68" i="24"/>
  <c r="K326" i="15"/>
  <c r="J328" i="15" s="1"/>
  <c r="K217" i="15"/>
  <c r="P20" i="6" s="1"/>
  <c r="J106" i="15"/>
  <c r="H102" i="24"/>
  <c r="K102" i="24" s="1"/>
  <c r="K104" i="24" s="1"/>
  <c r="K291" i="15"/>
  <c r="P22" i="6" s="1"/>
  <c r="K106" i="24"/>
  <c r="J106" i="24"/>
  <c r="J70" i="24" l="1"/>
  <c r="K70" i="24"/>
  <c r="K328" i="15"/>
  <c r="P23" i="6" s="1"/>
  <c r="Q23" i="6" s="1"/>
</calcChain>
</file>

<file path=xl/sharedStrings.xml><?xml version="1.0" encoding="utf-8"?>
<sst xmlns="http://schemas.openxmlformats.org/spreadsheetml/2006/main" count="3136" uniqueCount="222">
  <si>
    <t>PLANTILLA ESTUDIOS LUZ</t>
  </si>
  <si>
    <t>INTRODUCIR DATOS</t>
  </si>
  <si>
    <t>NOMBRE</t>
  </si>
  <si>
    <t>GEMA GARCIA ESCUDERO</t>
  </si>
  <si>
    <t>DIRECCIÓN</t>
  </si>
  <si>
    <t>C/LOS HUERTOS</t>
  </si>
  <si>
    <t>RESULTADOS PRECIO FIJO</t>
  </si>
  <si>
    <t>IMPRIMIR OFERTA PRECIO INDEXADO</t>
  </si>
  <si>
    <t>LOCALIDAD</t>
  </si>
  <si>
    <t>ENCINILLAS</t>
  </si>
  <si>
    <t>TARIFA</t>
  </si>
  <si>
    <t>AHORRO</t>
  </si>
  <si>
    <t>COMISION</t>
  </si>
  <si>
    <t>COMPAÑÍA</t>
  </si>
  <si>
    <t>TARIFA C.</t>
  </si>
  <si>
    <t>CUPS</t>
  </si>
  <si>
    <t>ES0022000005229900QD</t>
  </si>
  <si>
    <t>AUDAX</t>
  </si>
  <si>
    <t>T0</t>
  </si>
  <si>
    <t>DÍAS FACTURA</t>
  </si>
  <si>
    <t>T1</t>
  </si>
  <si>
    <t>PLENITUDE</t>
  </si>
  <si>
    <t>ONLINE+</t>
  </si>
  <si>
    <t>TOTAL FACTURA</t>
  </si>
  <si>
    <t>T2</t>
  </si>
  <si>
    <t>IMPRIMIR OFERTA PRECIO FIJO</t>
  </si>
  <si>
    <t>MECANISMO DE AJUSTE REAL DECRETO</t>
  </si>
  <si>
    <t>T3</t>
  </si>
  <si>
    <t>ALQUILER DE EQUIPOS</t>
  </si>
  <si>
    <t>T4</t>
  </si>
  <si>
    <t>MILAN</t>
  </si>
  <si>
    <t>IMPUESTO ELECTRICO</t>
  </si>
  <si>
    <t>TOTAL</t>
  </si>
  <si>
    <t>TE1 UNICA</t>
  </si>
  <si>
    <t>2.0TD</t>
  </si>
  <si>
    <t>VENECIA</t>
  </si>
  <si>
    <t>CYE</t>
  </si>
  <si>
    <t>E7</t>
  </si>
  <si>
    <t>MODALIDAD</t>
  </si>
  <si>
    <t>PRECIO FIJO</t>
  </si>
  <si>
    <t>ROMA</t>
  </si>
  <si>
    <t>P0</t>
  </si>
  <si>
    <t>MES INDEXADO</t>
  </si>
  <si>
    <t>NAPOLES</t>
  </si>
  <si>
    <t>ENDESA</t>
  </si>
  <si>
    <t>TEMPO OPEN</t>
  </si>
  <si>
    <t>IVA</t>
  </si>
  <si>
    <t>FACIL MILAN</t>
  </si>
  <si>
    <t>IBERDROLA</t>
  </si>
  <si>
    <t>ESTABLE</t>
  </si>
  <si>
    <t>C/A MW</t>
  </si>
  <si>
    <t>FACIL VENECIA</t>
  </si>
  <si>
    <t>HOLALUZ</t>
  </si>
  <si>
    <t>UN PRECIO CLÁSICO</t>
  </si>
  <si>
    <t>FACIL ROMA</t>
  </si>
  <si>
    <t>NATURGY</t>
  </si>
  <si>
    <t>USO LUZ</t>
  </si>
  <si>
    <t>POTENCIA CONTRATADA</t>
  </si>
  <si>
    <t>FACIL NAPOLES</t>
  </si>
  <si>
    <t>BASSIC</t>
  </si>
  <si>
    <t>P3</t>
  </si>
  <si>
    <t>RESULTADO INDEXADO</t>
  </si>
  <si>
    <t>P4</t>
  </si>
  <si>
    <t>P5</t>
  </si>
  <si>
    <t>TE1</t>
  </si>
  <si>
    <t>P6</t>
  </si>
  <si>
    <t>TE2</t>
  </si>
  <si>
    <t>ENERGIA CONSUMIDA</t>
  </si>
  <si>
    <t>TE3</t>
  </si>
  <si>
    <t>BE1</t>
  </si>
  <si>
    <t>BE2</t>
  </si>
  <si>
    <t>E3</t>
  </si>
  <si>
    <t>BE3</t>
  </si>
  <si>
    <t>EXCELLENT+</t>
  </si>
  <si>
    <t xml:space="preserve">E4 </t>
  </si>
  <si>
    <t>EXCELLENT</t>
  </si>
  <si>
    <t>E5</t>
  </si>
  <si>
    <t>TE2 UNICA</t>
  </si>
  <si>
    <t>PREMIUM+</t>
  </si>
  <si>
    <t>E6</t>
  </si>
  <si>
    <t>TE3 UNICA</t>
  </si>
  <si>
    <t>PREMIUM</t>
  </si>
  <si>
    <t>BE1 UNICA</t>
  </si>
  <si>
    <t>BE2 UNICA</t>
  </si>
  <si>
    <t>ONLINE</t>
  </si>
  <si>
    <t>BE3 UNICA</t>
  </si>
  <si>
    <t>PLAN NEGOCIOS</t>
  </si>
  <si>
    <t>TEMPO HAPPY</t>
  </si>
  <si>
    <t>TEMPO 3 PERIODOS</t>
  </si>
  <si>
    <t>TEMPO 24H (LIBRE)</t>
  </si>
  <si>
    <t>MAX</t>
  </si>
  <si>
    <t>PROM</t>
  </si>
  <si>
    <t>MIN</t>
  </si>
  <si>
    <t>TRES PRECIOS CLÁSICO</t>
  </si>
  <si>
    <t>NOCHE LUZ</t>
  </si>
  <si>
    <t>ALDRO:</t>
  </si>
  <si>
    <t>*Incluye 2% de descuento sobre TE por facturación electronica 12M</t>
  </si>
  <si>
    <t>IBERDROLA:</t>
  </si>
  <si>
    <t>*Incluye 15% de descuento sobre TE durante 12 meses.</t>
  </si>
  <si>
    <t>ENDESA:</t>
  </si>
  <si>
    <t>*Tarifa Tempo Happy: Energia a 0€ durante horas elegidas por el cliente: 2h consecutivas repetidas todos los días ; un día completo repetido todas las semanas; 50h mayor consumo al mes. Incluye 2% descuento sobre TE por facturación electronica. Promoción un mes gratis para siempre.</t>
  </si>
  <si>
    <t>*Tarifa Tempo Open: Incluye 7% descuento sobre TE. Descuento sobre energia a elegir: Plana: 15% todo el día, Día: 20% (8a24), Laboral: 25% (8a24 lunes a viernes), Fin de semana: 45% (sab, dom, festivos), Noche: 55% (0a8)</t>
  </si>
  <si>
    <t xml:space="preserve">*Tarifa Tempo 3 periodos: incluye 5% sobre TE +  2% por facturación electronica. </t>
  </si>
  <si>
    <t>*Tarifa Tempo 24h: incluye 5% descuento sobre TE +  2% por facturación electronica.</t>
  </si>
  <si>
    <t xml:space="preserve">PROMOCIÓN UN MES GRATIS (4EVER) TARIFA HAPPY: CONTRATANTO LUZ UN MES GRATIS ; LUZ + SVA UN MES Y MEDIO GRATIS ; LUZ + GAS +SVA DOS MESES GRATIS </t>
  </si>
  <si>
    <t>OFERTA DE SUMINISTRO</t>
  </si>
  <si>
    <t>COLABORADOR AUTORIZADO:</t>
  </si>
  <si>
    <t>MAS AHORRO</t>
  </si>
  <si>
    <t>www.masahorroentusfacturas.es</t>
  </si>
  <si>
    <t>RAZON SOCIAL:</t>
  </si>
  <si>
    <t xml:space="preserve">DOMICILIO: </t>
  </si>
  <si>
    <t xml:space="preserve">LOCALIDAD: </t>
  </si>
  <si>
    <t>TARIFA:</t>
  </si>
  <si>
    <t>DÍAS FACTURA:</t>
  </si>
  <si>
    <t xml:space="preserve">ELECTRICIDAD: </t>
  </si>
  <si>
    <t>P1</t>
  </si>
  <si>
    <t>P2</t>
  </si>
  <si>
    <t>Potencia (€ kW/día):</t>
  </si>
  <si>
    <t>Energia (€/kWh):</t>
  </si>
  <si>
    <t>COMPARATIVA ELECTRICIDAD</t>
  </si>
  <si>
    <t>TÉRMINO DE POTENCIA</t>
  </si>
  <si>
    <t/>
  </si>
  <si>
    <t>TÉRMINO DE ENERGÍA</t>
  </si>
  <si>
    <t>SUP. TERRITORIAL</t>
  </si>
  <si>
    <t>SIN SERVICIO</t>
  </si>
  <si>
    <t>IMPUESTO ELÉCTRICO</t>
  </si>
  <si>
    <t xml:space="preserve">IVA GENERAL </t>
  </si>
  <si>
    <t xml:space="preserve">TOTAL FACTURA </t>
  </si>
  <si>
    <t>PAGA ACTUALMENTE</t>
  </si>
  <si>
    <t>AHORRO EN FACTURA</t>
  </si>
  <si>
    <t>OTROS CONCEPTOS</t>
  </si>
  <si>
    <t>DESCUENTOS</t>
  </si>
  <si>
    <t>EMPRESA</t>
  </si>
  <si>
    <t>ENTRE POTENCIA</t>
  </si>
  <si>
    <t>POTENCIA</t>
  </si>
  <si>
    <t>&lt;=10</t>
  </si>
  <si>
    <t>ENERGIA</t>
  </si>
  <si>
    <t>&gt;10</t>
  </si>
  <si>
    <t>&lt;=15</t>
  </si>
  <si>
    <t>3.0TD</t>
  </si>
  <si>
    <t>6.1TD</t>
  </si>
  <si>
    <t>&gt;15kW (de 1 a 30kV)</t>
  </si>
  <si>
    <t>ALDRO</t>
  </si>
  <si>
    <t>FACIL EXCELLENT+</t>
  </si>
  <si>
    <t>FACIL EXCELLENT</t>
  </si>
  <si>
    <t>FACIL PREMIUM+</t>
  </si>
  <si>
    <t>FACIL PREMIUM</t>
  </si>
  <si>
    <t>CUSTOM 80</t>
  </si>
  <si>
    <t>CUSTOM 90</t>
  </si>
  <si>
    <t>CUSTOM 100</t>
  </si>
  <si>
    <t>A1</t>
  </si>
  <si>
    <t>A2</t>
  </si>
  <si>
    <t>A3</t>
  </si>
  <si>
    <t>B1</t>
  </si>
  <si>
    <t>&lt;15</t>
  </si>
  <si>
    <t>PREMIUM 24H</t>
  </si>
  <si>
    <t>OPEN 6.1TD</t>
  </si>
  <si>
    <t>&lt;30kW</t>
  </si>
  <si>
    <t>&lt;10kwh</t>
  </si>
  <si>
    <t>IBERDROLA ESTABLE</t>
  </si>
  <si>
    <t>3 PERIODOS</t>
  </si>
  <si>
    <t>IBERDROLA 3 PERIODOS</t>
  </si>
  <si>
    <t xml:space="preserve">LA TARIFA JUSTA </t>
  </si>
  <si>
    <t>ENERO</t>
  </si>
  <si>
    <t>FEBRERO</t>
  </si>
  <si>
    <t>MARZO</t>
  </si>
  <si>
    <t>ABRIL</t>
  </si>
  <si>
    <t>MAYO</t>
  </si>
  <si>
    <t>JUNIO</t>
  </si>
  <si>
    <t>JULIO</t>
  </si>
  <si>
    <t>AGOSTO</t>
  </si>
  <si>
    <t>SEPTIEMBRE</t>
  </si>
  <si>
    <t>OCTUBRE</t>
  </si>
  <si>
    <t>NOVIEMBRE</t>
  </si>
  <si>
    <t>DICIEMBRE</t>
  </si>
  <si>
    <t>CONSUMO ANUAL MWh/año</t>
  </si>
  <si>
    <t>TARIFAS FIJAS</t>
  </si>
  <si>
    <t>TARIFAS INDEXADAS</t>
  </si>
  <si>
    <t>2,0TD &gt;10KW</t>
  </si>
  <si>
    <t>&lt;</t>
  </si>
  <si>
    <t>3,0TD</t>
  </si>
  <si>
    <t>6,1TD</t>
  </si>
  <si>
    <t>&gt;</t>
  </si>
  <si>
    <t xml:space="preserve">CUSTOM 90 </t>
  </si>
  <si>
    <t>EXCELLENT + INDEX</t>
  </si>
  <si>
    <t>EXCELLENT INDEX</t>
  </si>
  <si>
    <t>PREMIUM + INDEX</t>
  </si>
  <si>
    <t>PREMIUM INDEX</t>
  </si>
  <si>
    <t>2,0TD</t>
  </si>
  <si>
    <t>UN PRECIO SIN SORPRESAS</t>
  </si>
  <si>
    <t>TRES PRECIOS SIN SORPRESAS</t>
  </si>
  <si>
    <t>MESES</t>
  </si>
  <si>
    <t>SOBRE PRECIO ENERGIA</t>
  </si>
  <si>
    <t>DESCUENTO</t>
  </si>
  <si>
    <t>RESULTADO</t>
  </si>
  <si>
    <t>COSTE ENERGIA</t>
  </si>
  <si>
    <t>INDEXADO</t>
  </si>
  <si>
    <t>SI</t>
  </si>
  <si>
    <t>E1</t>
  </si>
  <si>
    <t>P7</t>
  </si>
  <si>
    <t>P8</t>
  </si>
  <si>
    <t>E2</t>
  </si>
  <si>
    <t>(4,864%*1,05113 s/)</t>
  </si>
  <si>
    <t>IVA GENERAL 21%</t>
  </si>
  <si>
    <t>(21% s/)</t>
  </si>
  <si>
    <t>E4</t>
  </si>
  <si>
    <t>GEC ASESORAMIENTO GESTIÓN Y SERVICIOS S.L.</t>
  </si>
  <si>
    <t>C/ Real, nº3  --- 42149 Navaleno (Soria) ---- B42223503 --- 633954523</t>
  </si>
  <si>
    <t>E8</t>
  </si>
  <si>
    <t>E9</t>
  </si>
  <si>
    <t>E10</t>
  </si>
  <si>
    <t>E11</t>
  </si>
  <si>
    <t>E12</t>
  </si>
  <si>
    <t>E13</t>
  </si>
  <si>
    <t>E14</t>
  </si>
  <si>
    <t>E15</t>
  </si>
  <si>
    <t>maximo</t>
  </si>
  <si>
    <t>promedio</t>
  </si>
  <si>
    <t>minimo</t>
  </si>
  <si>
    <t>TABLA</t>
  </si>
  <si>
    <t>2.OTD</t>
  </si>
  <si>
    <t>3.OTD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</si>
</sst>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0\ &quot;€&quot;;[Red]\-#,##0\ &quot;€&quot;"/>
    <numFmt numFmtId="8" formatCode="#,##0.00\ &quot;€&quot;;[Red]\-#,##0.00\ &quot;€&quot;"/>
    <numFmt numFmtId="44" formatCode="_-* #,##0.00\ &quot;€&quot;_-;\-* #,##0.00\ &quot;€&quot;_-;_-* &quot;-&quot;??\ &quot;€&quot;_-;_-@_-"/>
    <numFmt numFmtId="164" formatCode="0.000000"/>
    <numFmt numFmtId="165" formatCode="#,##0.000000"/>
    <numFmt numFmtId="166" formatCode="#,##0.0"/>
    <numFmt numFmtId="167" formatCode="#,##0.00&quot; €&quot;"/>
    <numFmt numFmtId="168" formatCode="#,##0.00\ &quot;€&quot;"/>
    <numFmt numFmtId="169" formatCode="00000"/>
    <numFmt numFmtId="170" formatCode="#,##0.000000\ &quot;€&quot;"/>
    <numFmt numFmtId="171" formatCode="#,##0.0000\ &quot;€&quot;"/>
    <numFmt numFmtId="172" formatCode=";;;"/>
    <numFmt numFmtId="173" formatCode="0.00000000"/>
  </numFmts>
  <fonts count="45">
    <font>
      <sz val="11"/>
      <color theme="1"/>
      <name val="Calibri"/>
      <family val="2"/>
      <scheme val="minor"/>
    </font>
    <font>
      <sz val="10"/>
      <color theme="1" tint="4.9989318521683403E-2"/>
      <name val="Century Gothic"/>
      <family val="2"/>
    </font>
    <font>
      <sz val="11"/>
      <color rgb="FF000000"/>
      <name val="Calibri"/>
      <family val="2"/>
      <charset val="1"/>
    </font>
    <font>
      <b/>
      <sz val="11"/>
      <color rgb="FF3F3F3F"/>
      <name val="Calibri"/>
      <family val="2"/>
      <scheme val="minor"/>
    </font>
    <font>
      <b/>
      <sz val="11"/>
      <color theme="1"/>
      <name val="Calibri"/>
      <family val="2"/>
      <scheme val="minor"/>
    </font>
    <font>
      <sz val="10"/>
      <color theme="1"/>
      <name val="Calibri"/>
      <family val="2"/>
      <scheme val="minor"/>
    </font>
    <font>
      <sz val="12"/>
      <name val="Calibri"/>
      <family val="2"/>
      <scheme val="minor"/>
    </font>
    <font>
      <b/>
      <sz val="20"/>
      <color theme="0"/>
      <name val="Calibri"/>
      <family val="2"/>
      <scheme val="minor"/>
    </font>
    <font>
      <sz val="10"/>
      <color theme="4" tint="0.79998168889431442"/>
      <name val="Calibri"/>
      <family val="2"/>
    </font>
    <font>
      <b/>
      <sz val="10"/>
      <color rgb="FF002060"/>
      <name val="Century Gothic"/>
      <family val="2"/>
    </font>
    <font>
      <b/>
      <sz val="10"/>
      <color rgb="FF002060"/>
      <name val="Calibri"/>
      <family val="2"/>
      <scheme val="minor"/>
    </font>
    <font>
      <sz val="10"/>
      <color rgb="FF5D2884"/>
      <name val="Century Gothic"/>
      <family val="2"/>
    </font>
    <font>
      <sz val="10"/>
      <color theme="1"/>
      <name val="Century Gothic"/>
      <family val="2"/>
    </font>
    <font>
      <b/>
      <sz val="10"/>
      <color theme="7" tint="-0.499984740745262"/>
      <name val="Century Gothic"/>
      <family val="2"/>
    </font>
    <font>
      <sz val="10"/>
      <name val="Century Gothic"/>
      <family val="2"/>
    </font>
    <font>
      <b/>
      <sz val="10"/>
      <color theme="8" tint="-0.499984740745262"/>
      <name val="Century Gothic"/>
      <family val="2"/>
    </font>
    <font>
      <b/>
      <sz val="10"/>
      <color theme="1" tint="4.9989318521683403E-2"/>
      <name val="Century Gothic"/>
      <family val="2"/>
    </font>
    <font>
      <sz val="10"/>
      <color theme="1" tint="4.9989318521683403E-2"/>
      <name val="Calibri"/>
      <family val="2"/>
      <scheme val="minor"/>
    </font>
    <font>
      <sz val="10"/>
      <color theme="8" tint="-0.499984740745262"/>
      <name val="Century Gothic"/>
      <family val="2"/>
    </font>
    <font>
      <b/>
      <sz val="10"/>
      <color theme="4" tint="0.79998168889431442"/>
      <name val="Century Gothic"/>
      <family val="2"/>
    </font>
    <font>
      <sz val="10"/>
      <color theme="0"/>
      <name val="Century Gothic"/>
      <family val="2"/>
    </font>
    <font>
      <b/>
      <sz val="10"/>
      <color theme="0"/>
      <name val="Century Gothic"/>
      <family val="2"/>
    </font>
    <font>
      <b/>
      <sz val="10"/>
      <color rgb="FF3F3F3F"/>
      <name val="Calibri"/>
      <family val="2"/>
      <scheme val="minor"/>
    </font>
    <font>
      <b/>
      <sz val="10"/>
      <name val="Century Gothic"/>
      <family val="2"/>
    </font>
    <font>
      <b/>
      <sz val="10"/>
      <name val="Calibri"/>
      <family val="2"/>
      <scheme val="minor"/>
    </font>
    <font>
      <b/>
      <sz val="10"/>
      <color theme="1"/>
      <name val="Century Gothic"/>
      <family val="2"/>
    </font>
    <font>
      <b/>
      <sz val="10"/>
      <color theme="1"/>
      <name val="Calibri"/>
      <family val="2"/>
      <scheme val="minor"/>
    </font>
    <font>
      <b/>
      <sz val="14"/>
      <color theme="1"/>
      <name val="Calibri"/>
      <family val="2"/>
      <scheme val="minor"/>
    </font>
    <font>
      <b/>
      <sz val="11"/>
      <color theme="1"/>
      <name val="Calibri"/>
      <family val="1"/>
      <scheme val="minor"/>
    </font>
    <font>
      <b/>
      <sz val="12"/>
      <color theme="1"/>
      <name val="Calibri"/>
      <family val="2"/>
      <scheme val="minor"/>
    </font>
    <font>
      <sz val="16"/>
      <color theme="1"/>
      <name val="Calibri"/>
      <family val="2"/>
      <scheme val="minor"/>
    </font>
    <font>
      <sz val="16"/>
      <name val="Calibri"/>
      <family val="2"/>
      <scheme val="minor"/>
    </font>
    <font>
      <b/>
      <sz val="28"/>
      <name val="Arial Rounded MT Bold"/>
      <family val="2"/>
    </font>
    <font>
      <sz val="11"/>
      <name val="Calibri"/>
      <family val="2"/>
      <scheme val="minor"/>
    </font>
    <font>
      <b/>
      <sz val="14"/>
      <name val="Calibri"/>
      <family val="2"/>
      <scheme val="minor"/>
    </font>
    <font>
      <u/>
      <sz val="11"/>
      <color theme="10"/>
      <name val="Calibri"/>
      <family val="2"/>
      <scheme val="minor"/>
    </font>
    <font>
      <sz val="8"/>
      <color theme="1"/>
      <name val="Calibri"/>
      <family val="2"/>
      <scheme val="minor"/>
    </font>
    <font>
      <sz val="10"/>
      <color theme="0"/>
      <name val="Calibri"/>
      <family val="2"/>
    </font>
    <font>
      <sz val="14"/>
      <color theme="1"/>
      <name val="Calibri"/>
      <family val="2"/>
      <scheme val="minor"/>
    </font>
    <font>
      <sz val="14"/>
      <name val="Calibri"/>
      <family val="2"/>
      <scheme val="minor"/>
    </font>
    <font>
      <b/>
      <sz val="11"/>
      <name val="Calibri"/>
      <family val="2"/>
      <scheme val="minor"/>
    </font>
    <font>
      <b/>
      <sz val="8"/>
      <color theme="1"/>
      <name val="Calibri"/>
      <family val="2"/>
      <scheme val="minor"/>
    </font>
    <font>
      <sz val="8"/>
      <color theme="1" tint="4.9989318521683403E-2"/>
      <name val="Century Gothic"/>
      <family val="2"/>
    </font>
    <font>
      <sz val="11"/>
      <color theme="1"/>
      <name val="Calibri"/>
      <family val="2"/>
      <scheme val="minor"/>
    </font>
    <font>
      <sz val="8"/>
      <name val="Calibri"/>
      <family val="2"/>
      <scheme val="minor"/>
    </font>
  </fonts>
  <fills count="26">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8" tint="-0.49998474074526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7030A0"/>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rgb="FFFFFFCC"/>
        <bgColor indexed="64"/>
      </patternFill>
    </fill>
    <fill>
      <patternFill patternType="solid">
        <fgColor rgb="FFF5C71F"/>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rgb="FFEEACD8"/>
        <bgColor indexed="64"/>
      </patternFill>
    </fill>
    <fill>
      <patternFill patternType="solid">
        <fgColor theme="7" tint="0.59999389629810485"/>
        <bgColor indexed="64"/>
      </patternFill>
    </fill>
    <fill>
      <patternFill patternType="solid">
        <fgColor rgb="FFCC0099"/>
        <bgColor indexed="64"/>
      </patternFill>
    </fill>
    <fill>
      <patternFill patternType="solid">
        <fgColor theme="7" tint="0.39997558519241921"/>
        <bgColor indexed="64"/>
      </patternFill>
    </fill>
    <fill>
      <patternFill patternType="solid">
        <fgColor rgb="FFE2A7FF"/>
        <bgColor indexed="64"/>
      </patternFill>
    </fill>
    <fill>
      <patternFill patternType="solid">
        <fgColor rgb="FF92D050"/>
        <bgColor indexed="64"/>
      </patternFill>
    </fill>
    <fill>
      <patternFill patternType="solid">
        <fgColor rgb="FFFF9981"/>
        <bgColor indexed="64"/>
      </patternFill>
    </fill>
    <fill>
      <patternFill patternType="solid">
        <fgColor rgb="FFF6C744"/>
        <bgColor indexed="64"/>
      </patternFill>
    </fill>
    <fill>
      <patternFill patternType="solid">
        <fgColor rgb="FFFF990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diagonal/>
    </border>
    <border>
      <left/>
      <right/>
      <top/>
      <bottom style="thin">
        <color indexed="64"/>
      </bottom>
      <diagonal/>
    </border>
    <border>
      <left/>
      <right/>
      <top style="thin">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medium">
        <color indexed="64"/>
      </right>
      <top/>
      <bottom/>
      <diagonal/>
    </border>
  </borders>
  <cellStyleXfs count="5">
    <xf numFmtId="0" fontId="0" fillId="0" borderId="0"/>
    <xf numFmtId="0" fontId="2" fillId="0" borderId="0"/>
    <xf numFmtId="0" fontId="3" fillId="3" borderId="2" applyNumberFormat="0" applyAlignment="0" applyProtection="0"/>
    <xf numFmtId="0" fontId="35" fillId="0" borderId="0" applyNumberFormat="0" applyFill="0" applyBorder="0" applyAlignment="0" applyProtection="0"/>
    <xf numFmtId="9" fontId="43" fillId="0" borderId="0" applyFont="0" applyFill="0" applyBorder="0" applyAlignment="0" applyProtection="0"/>
  </cellStyleXfs>
  <cellXfs count="650">
    <xf numFmtId="0" fontId="0" fillId="0" borderId="0" xfId="0"/>
    <xf numFmtId="44" fontId="9" fillId="0" borderId="0" xfId="0" applyNumberFormat="1" applyFont="1" applyAlignment="1" applyProtection="1">
      <alignment horizontal="center" vertical="center"/>
      <protection hidden="1"/>
    </xf>
    <xf numFmtId="44" fontId="10" fillId="0" borderId="0" xfId="0" applyNumberFormat="1" applyFont="1" applyAlignment="1">
      <alignment horizontal="center" vertical="center"/>
    </xf>
    <xf numFmtId="14" fontId="13" fillId="0" borderId="0" xfId="0" applyNumberFormat="1" applyFont="1" applyAlignment="1" applyProtection="1">
      <alignment horizontal="center"/>
      <protection hidden="1"/>
    </xf>
    <xf numFmtId="0" fontId="14" fillId="0" borderId="0" xfId="0" applyFont="1" applyAlignment="1" applyProtection="1">
      <alignment horizontal="center" vertical="center"/>
      <protection hidden="1"/>
    </xf>
    <xf numFmtId="164" fontId="12" fillId="2" borderId="1" xfId="0" applyNumberFormat="1" applyFont="1" applyFill="1" applyBorder="1" applyAlignment="1" applyProtection="1">
      <alignment horizontal="center" vertical="center"/>
      <protection hidden="1"/>
    </xf>
    <xf numFmtId="165" fontId="12" fillId="0" borderId="0" xfId="0" applyNumberFormat="1" applyFont="1" applyAlignment="1" applyProtection="1">
      <alignment horizontal="center" vertical="center"/>
      <protection hidden="1"/>
    </xf>
    <xf numFmtId="4" fontId="1" fillId="0" borderId="0" xfId="1" applyNumberFormat="1" applyFont="1" applyAlignment="1" applyProtection="1">
      <alignment horizontal="center" vertical="center"/>
      <protection hidden="1"/>
    </xf>
    <xf numFmtId="8" fontId="1" fillId="0" borderId="0" xfId="1" applyNumberFormat="1" applyFont="1" applyAlignment="1" applyProtection="1">
      <alignment horizontal="center" vertical="center"/>
      <protection hidden="1"/>
    </xf>
    <xf numFmtId="2" fontId="1" fillId="0" borderId="0" xfId="1" applyNumberFormat="1" applyFont="1" applyAlignment="1" applyProtection="1">
      <alignment horizontal="center" vertical="center"/>
      <protection hidden="1"/>
    </xf>
    <xf numFmtId="166" fontId="1" fillId="0" borderId="0" xfId="1" applyNumberFormat="1" applyFont="1" applyAlignment="1" applyProtection="1">
      <alignment horizontal="center" vertical="center"/>
      <protection hidden="1"/>
    </xf>
    <xf numFmtId="168" fontId="1" fillId="0" borderId="0" xfId="0" applyNumberFormat="1" applyFont="1" applyAlignment="1" applyProtection="1">
      <alignment horizontal="center" vertical="center" wrapText="1"/>
      <protection hidden="1"/>
    </xf>
    <xf numFmtId="168" fontId="1" fillId="0" borderId="0" xfId="0" applyNumberFormat="1" applyFont="1" applyAlignment="1" applyProtection="1">
      <alignment horizontal="center" vertical="center"/>
      <protection hidden="1"/>
    </xf>
    <xf numFmtId="167" fontId="16" fillId="0" borderId="0" xfId="1" applyNumberFormat="1" applyFont="1" applyAlignment="1" applyProtection="1">
      <alignment horizontal="center" vertical="center"/>
      <protection hidden="1"/>
    </xf>
    <xf numFmtId="164" fontId="12" fillId="2" borderId="0" xfId="0" applyNumberFormat="1" applyFont="1" applyFill="1" applyAlignment="1" applyProtection="1">
      <alignment horizontal="center" vertical="center"/>
      <protection hidden="1"/>
    </xf>
    <xf numFmtId="0" fontId="5" fillId="0" borderId="0" xfId="0" applyFont="1" applyAlignment="1" applyProtection="1">
      <alignment horizontal="center"/>
      <protection hidden="1"/>
    </xf>
    <xf numFmtId="0" fontId="11" fillId="0" borderId="0" xfId="0" applyFont="1" applyAlignment="1" applyProtection="1">
      <alignment horizontal="center" vertical="center"/>
      <protection hidden="1"/>
    </xf>
    <xf numFmtId="0" fontId="16" fillId="0" borderId="0" xfId="1" applyFont="1" applyAlignment="1" applyProtection="1">
      <alignment horizontal="center" vertical="center"/>
      <protection hidden="1"/>
    </xf>
    <xf numFmtId="2" fontId="16" fillId="0" borderId="0" xfId="1" applyNumberFormat="1" applyFont="1" applyAlignment="1" applyProtection="1">
      <alignment horizontal="center" vertical="center"/>
      <protection hidden="1"/>
    </xf>
    <xf numFmtId="0" fontId="0" fillId="0" borderId="0" xfId="0"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16" xfId="0" applyBorder="1" applyAlignment="1">
      <alignment horizontal="center" vertical="center"/>
    </xf>
    <xf numFmtId="0" fontId="0" fillId="0" borderId="15"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41" xfId="0" applyBorder="1" applyAlignment="1">
      <alignment horizontal="center" vertical="center"/>
    </xf>
    <xf numFmtId="0" fontId="1" fillId="0" borderId="0" xfId="0" applyFont="1" applyAlignment="1" applyProtection="1">
      <alignment vertical="center"/>
      <protection hidden="1"/>
    </xf>
    <xf numFmtId="0" fontId="5" fillId="0" borderId="0" xfId="0" applyFont="1"/>
    <xf numFmtId="0" fontId="1" fillId="0" borderId="0" xfId="0" applyFont="1" applyAlignment="1" applyProtection="1">
      <alignment vertical="center" wrapText="1"/>
      <protection hidden="1"/>
    </xf>
    <xf numFmtId="168" fontId="21" fillId="8" borderId="0" xfId="0" applyNumberFormat="1" applyFont="1" applyFill="1" applyAlignment="1" applyProtection="1">
      <alignment horizontal="center" vertical="center" wrapText="1"/>
      <protection hidden="1"/>
    </xf>
    <xf numFmtId="10" fontId="21" fillId="8" borderId="0" xfId="0" applyNumberFormat="1" applyFont="1" applyFill="1" applyAlignment="1" applyProtection="1">
      <alignment horizontal="center" vertical="center" wrapText="1"/>
      <protection hidden="1"/>
    </xf>
    <xf numFmtId="44" fontId="20" fillId="8" borderId="0" xfId="0" applyNumberFormat="1" applyFont="1" applyFill="1" applyAlignment="1" applyProtection="1">
      <alignment horizontal="center" vertical="center" wrapText="1"/>
      <protection hidden="1"/>
    </xf>
    <xf numFmtId="44" fontId="8" fillId="8" borderId="0" xfId="1" applyNumberFormat="1" applyFont="1" applyFill="1" applyAlignment="1" applyProtection="1">
      <alignment horizontal="center" vertical="center"/>
      <protection hidden="1"/>
    </xf>
    <xf numFmtId="44" fontId="19" fillId="8" borderId="0" xfId="0" applyNumberFormat="1" applyFont="1" applyFill="1" applyAlignment="1" applyProtection="1">
      <alignment horizontal="center" vertical="center"/>
      <protection hidden="1"/>
    </xf>
    <xf numFmtId="8" fontId="16" fillId="9" borderId="0" xfId="0" applyNumberFormat="1" applyFont="1" applyFill="1" applyAlignment="1" applyProtection="1">
      <alignment horizontal="center" vertical="center" wrapText="1"/>
      <protection hidden="1"/>
    </xf>
    <xf numFmtId="8" fontId="1" fillId="9" borderId="0" xfId="0" applyNumberFormat="1" applyFont="1" applyFill="1" applyAlignment="1" applyProtection="1">
      <alignment horizontal="center" vertical="center" wrapText="1"/>
      <protection hidden="1"/>
    </xf>
    <xf numFmtId="0" fontId="1" fillId="9" borderId="0" xfId="0" applyFont="1" applyFill="1" applyAlignment="1" applyProtection="1">
      <alignment horizontal="center" vertical="center" wrapText="1"/>
      <protection hidden="1"/>
    </xf>
    <xf numFmtId="0" fontId="16" fillId="9" borderId="0" xfId="0" applyFont="1" applyFill="1" applyAlignment="1" applyProtection="1">
      <alignment horizontal="center" vertical="center"/>
      <protection hidden="1"/>
    </xf>
    <xf numFmtId="0" fontId="15" fillId="9" borderId="0" xfId="0" applyFont="1" applyFill="1" applyAlignment="1" applyProtection="1">
      <alignment horizontal="center" vertical="center"/>
      <protection hidden="1"/>
    </xf>
    <xf numFmtId="0" fontId="0" fillId="0" borderId="1"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0" xfId="0" applyBorder="1" applyAlignment="1">
      <alignment horizontal="center" vertical="center"/>
    </xf>
    <xf numFmtId="0" fontId="4" fillId="0" borderId="0" xfId="0" applyFont="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4" fillId="0" borderId="30" xfId="0" applyFont="1" applyBorder="1" applyAlignment="1">
      <alignment horizontal="center" vertical="center"/>
    </xf>
    <xf numFmtId="0" fontId="4" fillId="0" borderId="35" xfId="0" applyFont="1" applyBorder="1" applyAlignment="1">
      <alignment horizontal="center" vertical="center"/>
    </xf>
    <xf numFmtId="0" fontId="4" fillId="0" borderId="52" xfId="0" applyFont="1" applyBorder="1" applyAlignment="1">
      <alignment horizontal="center" vertical="center"/>
    </xf>
    <xf numFmtId="0" fontId="4" fillId="0" borderId="53" xfId="0" applyFont="1" applyBorder="1" applyAlignment="1">
      <alignment horizontal="center" vertical="center"/>
    </xf>
    <xf numFmtId="0" fontId="4" fillId="0" borderId="54" xfId="0" applyFont="1" applyBorder="1" applyAlignment="1">
      <alignment horizontal="center" vertical="center"/>
    </xf>
    <xf numFmtId="0" fontId="4" fillId="0" borderId="55" xfId="0" applyFont="1" applyBorder="1" applyAlignment="1">
      <alignment horizontal="center" vertical="center"/>
    </xf>
    <xf numFmtId="0" fontId="4" fillId="0" borderId="56" xfId="0" applyFont="1" applyBorder="1" applyAlignment="1">
      <alignment horizontal="center" vertical="center"/>
    </xf>
    <xf numFmtId="164" fontId="0" fillId="0" borderId="15" xfId="0" applyNumberFormat="1" applyBorder="1" applyAlignment="1">
      <alignment horizontal="center" vertical="center"/>
    </xf>
    <xf numFmtId="164" fontId="0" fillId="0" borderId="19" xfId="0" applyNumberFormat="1" applyBorder="1" applyAlignment="1">
      <alignment horizontal="center" vertical="center"/>
    </xf>
    <xf numFmtId="164" fontId="0" fillId="0" borderId="16" xfId="0" applyNumberFormat="1" applyBorder="1" applyAlignment="1">
      <alignment horizontal="center" vertical="center"/>
    </xf>
    <xf numFmtId="164" fontId="0" fillId="0" borderId="21" xfId="0" applyNumberFormat="1" applyBorder="1" applyAlignment="1">
      <alignment horizontal="center" vertical="center"/>
    </xf>
    <xf numFmtId="164" fontId="0" fillId="0" borderId="11" xfId="0" applyNumberFormat="1" applyBorder="1" applyAlignment="1">
      <alignment horizontal="center" vertical="center"/>
    </xf>
    <xf numFmtId="164" fontId="0" fillId="0" borderId="1" xfId="0" applyNumberFormat="1" applyBorder="1" applyAlignment="1">
      <alignment horizontal="center" vertical="center"/>
    </xf>
    <xf numFmtId="164" fontId="0" fillId="0" borderId="12" xfId="0" applyNumberFormat="1" applyBorder="1" applyAlignment="1">
      <alignment horizontal="center" vertical="center"/>
    </xf>
    <xf numFmtId="164" fontId="0" fillId="0" borderId="5"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0" xfId="0" applyNumberFormat="1" applyBorder="1" applyAlignment="1">
      <alignment horizontal="center" vertical="center"/>
    </xf>
    <xf numFmtId="164" fontId="0" fillId="0" borderId="14" xfId="0" applyNumberFormat="1" applyBorder="1" applyAlignment="1">
      <alignment horizontal="center" vertical="center"/>
    </xf>
    <xf numFmtId="164" fontId="0" fillId="0" borderId="27" xfId="0" applyNumberFormat="1" applyBorder="1" applyAlignment="1">
      <alignment horizontal="center" vertical="center"/>
    </xf>
    <xf numFmtId="164" fontId="0" fillId="0" borderId="9" xfId="0" applyNumberFormat="1" applyBorder="1" applyAlignment="1">
      <alignment horizontal="center" vertical="center"/>
    </xf>
    <xf numFmtId="164" fontId="0" fillId="0" borderId="22" xfId="0" applyNumberFormat="1" applyBorder="1" applyAlignment="1">
      <alignment horizontal="center" vertical="center"/>
    </xf>
    <xf numFmtId="164" fontId="0" fillId="0" borderId="10" xfId="0" applyNumberFormat="1" applyBorder="1" applyAlignment="1">
      <alignment horizontal="center" vertical="center"/>
    </xf>
    <xf numFmtId="164" fontId="0" fillId="0" borderId="23" xfId="0" applyNumberFormat="1" applyBorder="1" applyAlignment="1">
      <alignment horizontal="center" vertical="center"/>
    </xf>
    <xf numFmtId="164" fontId="0" fillId="0" borderId="3" xfId="0" applyNumberFormat="1" applyBorder="1" applyAlignment="1">
      <alignment horizontal="center" vertical="center"/>
    </xf>
    <xf numFmtId="164" fontId="0" fillId="0" borderId="24" xfId="0" applyNumberFormat="1" applyBorder="1" applyAlignment="1">
      <alignment horizontal="center" vertical="center"/>
    </xf>
    <xf numFmtId="164" fontId="0" fillId="0" borderId="26" xfId="0" applyNumberFormat="1" applyBorder="1" applyAlignment="1">
      <alignment horizontal="center" vertical="center"/>
    </xf>
    <xf numFmtId="164" fontId="0" fillId="0" borderId="17" xfId="0" applyNumberFormat="1" applyBorder="1" applyAlignment="1">
      <alignment horizontal="center" vertical="center"/>
    </xf>
    <xf numFmtId="164" fontId="0" fillId="0" borderId="29" xfId="0" applyNumberFormat="1" applyBorder="1" applyAlignment="1">
      <alignment horizontal="center" vertical="center"/>
    </xf>
    <xf numFmtId="164" fontId="0" fillId="0" borderId="25" xfId="0" applyNumberFormat="1"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xf>
    <xf numFmtId="0" fontId="0" fillId="0" borderId="21" xfId="0" applyBorder="1" applyAlignment="1">
      <alignment horizontal="center" vertical="center"/>
    </xf>
    <xf numFmtId="0" fontId="0" fillId="0" borderId="5" xfId="0" applyBorder="1" applyAlignment="1">
      <alignment horizontal="center" vertical="center"/>
    </xf>
    <xf numFmtId="0" fontId="0" fillId="0" borderId="27" xfId="0" applyBorder="1" applyAlignment="1">
      <alignment horizontal="center" vertical="center"/>
    </xf>
    <xf numFmtId="164" fontId="0" fillId="0" borderId="32" xfId="0" applyNumberFormat="1" applyBorder="1" applyAlignment="1">
      <alignment horizontal="center" vertical="center"/>
    </xf>
    <xf numFmtId="0" fontId="4" fillId="0" borderId="0" xfId="0" applyFont="1"/>
    <xf numFmtId="44" fontId="25" fillId="0" borderId="0" xfId="0" applyNumberFormat="1" applyFont="1" applyAlignment="1" applyProtection="1">
      <alignment horizontal="center" vertical="center"/>
      <protection hidden="1"/>
    </xf>
    <xf numFmtId="0" fontId="12" fillId="0" borderId="0" xfId="0" applyFont="1" applyAlignment="1" applyProtection="1">
      <alignment horizontal="center"/>
      <protection hidden="1"/>
    </xf>
    <xf numFmtId="0" fontId="12" fillId="0" borderId="0" xfId="0" applyFont="1" applyAlignment="1" applyProtection="1">
      <alignment horizontal="center" vertical="top"/>
      <protection hidden="1"/>
    </xf>
    <xf numFmtId="0" fontId="25" fillId="6" borderId="0" xfId="0" applyFont="1" applyFill="1" applyAlignment="1" applyProtection="1">
      <alignment horizontal="center" vertical="center"/>
      <protection hidden="1"/>
    </xf>
    <xf numFmtId="0" fontId="12" fillId="6" borderId="0" xfId="0" applyFont="1" applyFill="1" applyAlignment="1" applyProtection="1">
      <alignment horizontal="center" vertical="center" wrapText="1"/>
      <protection hidden="1"/>
    </xf>
    <xf numFmtId="8" fontId="12" fillId="6" borderId="0" xfId="0" applyNumberFormat="1" applyFont="1" applyFill="1" applyAlignment="1" applyProtection="1">
      <alignment horizontal="center" vertical="center" wrapText="1"/>
      <protection hidden="1"/>
    </xf>
    <xf numFmtId="0" fontId="1" fillId="0" borderId="0" xfId="1" applyFont="1" applyAlignment="1" applyProtection="1">
      <alignment horizontal="center" vertical="center"/>
      <protection hidden="1"/>
    </xf>
    <xf numFmtId="0" fontId="17" fillId="0" borderId="0" xfId="0" applyFont="1" applyAlignment="1" applyProtection="1">
      <alignment horizontal="center"/>
      <protection hidden="1"/>
    </xf>
    <xf numFmtId="0" fontId="12" fillId="6" borderId="0" xfId="0" applyFont="1" applyFill="1" applyAlignment="1" applyProtection="1">
      <alignment horizontal="center" vertical="center"/>
      <protection hidden="1"/>
    </xf>
    <xf numFmtId="0" fontId="1" fillId="0" borderId="0" xfId="0" applyFont="1" applyAlignment="1" applyProtection="1">
      <alignment horizontal="center" vertical="center"/>
      <protection hidden="1"/>
    </xf>
    <xf numFmtId="44" fontId="23" fillId="0" borderId="0" xfId="0" applyNumberFormat="1" applyFont="1" applyAlignment="1" applyProtection="1">
      <alignment horizontal="left" vertical="center"/>
      <protection hidden="1"/>
    </xf>
    <xf numFmtId="0" fontId="21" fillId="7" borderId="0" xfId="0" applyFont="1" applyFill="1" applyAlignment="1" applyProtection="1">
      <alignment horizontal="center" vertical="center"/>
      <protection hidden="1"/>
    </xf>
    <xf numFmtId="0" fontId="20" fillId="7" borderId="0" xfId="0" applyFont="1" applyFill="1" applyAlignment="1" applyProtection="1">
      <alignment horizontal="center" vertical="center" wrapText="1"/>
      <protection hidden="1"/>
    </xf>
    <xf numFmtId="8" fontId="20" fillId="7" borderId="0" xfId="0" applyNumberFormat="1" applyFont="1" applyFill="1" applyAlignment="1" applyProtection="1">
      <alignment horizontal="center" vertical="center" wrapText="1"/>
      <protection hidden="1"/>
    </xf>
    <xf numFmtId="44" fontId="9" fillId="0" borderId="0" xfId="0" applyNumberFormat="1" applyFont="1" applyAlignment="1" applyProtection="1">
      <alignment horizontal="left" vertical="center"/>
      <protection hidden="1"/>
    </xf>
    <xf numFmtId="0" fontId="15" fillId="5" borderId="0" xfId="0" applyFont="1" applyFill="1" applyAlignment="1" applyProtection="1">
      <alignment horizontal="center" vertical="center"/>
      <protection hidden="1"/>
    </xf>
    <xf numFmtId="0" fontId="1" fillId="5" borderId="0" xfId="0" applyFont="1" applyFill="1" applyAlignment="1" applyProtection="1">
      <alignment horizontal="center" vertical="center" wrapText="1"/>
      <protection hidden="1"/>
    </xf>
    <xf numFmtId="0" fontId="16" fillId="5" borderId="0" xfId="0" applyFont="1" applyFill="1" applyAlignment="1" applyProtection="1">
      <alignment horizontal="center" vertical="center"/>
      <protection hidden="1"/>
    </xf>
    <xf numFmtId="8" fontId="1" fillId="5" borderId="0" xfId="0" applyNumberFormat="1" applyFont="1" applyFill="1" applyAlignment="1" applyProtection="1">
      <alignment horizontal="center" vertical="center" wrapText="1"/>
      <protection hidden="1"/>
    </xf>
    <xf numFmtId="0" fontId="18" fillId="5" borderId="0" xfId="0" applyFont="1" applyFill="1" applyAlignment="1" applyProtection="1">
      <alignment horizontal="center" vertical="center"/>
      <protection hidden="1"/>
    </xf>
    <xf numFmtId="0" fontId="1" fillId="5" borderId="0" xfId="0" applyFont="1" applyFill="1" applyAlignment="1" applyProtection="1">
      <alignment horizontal="center" vertical="center"/>
      <protection hidden="1"/>
    </xf>
    <xf numFmtId="44" fontId="19" fillId="4" borderId="0" xfId="0" applyNumberFormat="1" applyFont="1" applyFill="1" applyAlignment="1" applyProtection="1">
      <alignment horizontal="center" vertical="center"/>
      <protection hidden="1"/>
    </xf>
    <xf numFmtId="44" fontId="8" fillId="4" borderId="0" xfId="1" applyNumberFormat="1" applyFont="1" applyFill="1" applyAlignment="1" applyProtection="1">
      <alignment horizontal="center" vertical="center"/>
      <protection hidden="1"/>
    </xf>
    <xf numFmtId="44" fontId="20" fillId="4" borderId="0" xfId="0" applyNumberFormat="1" applyFont="1" applyFill="1" applyAlignment="1" applyProtection="1">
      <alignment horizontal="center" vertical="center" wrapText="1"/>
      <protection hidden="1"/>
    </xf>
    <xf numFmtId="10" fontId="21" fillId="4" borderId="0" xfId="0" applyNumberFormat="1" applyFont="1" applyFill="1" applyAlignment="1" applyProtection="1">
      <alignment horizontal="center" vertical="center" wrapText="1"/>
      <protection hidden="1"/>
    </xf>
    <xf numFmtId="10" fontId="12" fillId="6" borderId="0" xfId="0" applyNumberFormat="1" applyFont="1" applyFill="1" applyAlignment="1" applyProtection="1">
      <alignment horizontal="center" vertical="center" wrapText="1"/>
      <protection hidden="1"/>
    </xf>
    <xf numFmtId="10" fontId="20" fillId="7" borderId="0" xfId="0" applyNumberFormat="1" applyFont="1" applyFill="1" applyAlignment="1" applyProtection="1">
      <alignment horizontal="center" vertical="center" wrapText="1"/>
      <protection hidden="1"/>
    </xf>
    <xf numFmtId="44" fontId="0" fillId="0" borderId="1" xfId="0" applyNumberFormat="1" applyBorder="1" applyAlignment="1">
      <alignment horizontal="center" vertical="center"/>
    </xf>
    <xf numFmtId="44" fontId="0" fillId="0" borderId="15" xfId="0" applyNumberFormat="1" applyBorder="1" applyAlignment="1">
      <alignment horizontal="center" vertical="center"/>
    </xf>
    <xf numFmtId="44" fontId="0" fillId="0" borderId="19" xfId="0" applyNumberFormat="1" applyBorder="1" applyAlignment="1">
      <alignment horizontal="center" vertical="center"/>
    </xf>
    <xf numFmtId="44" fontId="0" fillId="0" borderId="16" xfId="0" applyNumberFormat="1" applyBorder="1" applyAlignment="1">
      <alignment horizontal="center" vertical="center"/>
    </xf>
    <xf numFmtId="44" fontId="0" fillId="0" borderId="11" xfId="0" applyNumberFormat="1" applyBorder="1" applyAlignment="1">
      <alignment horizontal="center" vertical="center"/>
    </xf>
    <xf numFmtId="44" fontId="0" fillId="0" borderId="12" xfId="0" applyNumberFormat="1" applyBorder="1" applyAlignment="1">
      <alignment horizontal="center" vertical="center"/>
    </xf>
    <xf numFmtId="44" fontId="0" fillId="0" borderId="13" xfId="0" applyNumberFormat="1" applyBorder="1" applyAlignment="1">
      <alignment horizontal="center" vertical="center"/>
    </xf>
    <xf numFmtId="44" fontId="0" fillId="0" borderId="20" xfId="0" applyNumberFormat="1" applyBorder="1" applyAlignment="1">
      <alignment horizontal="center" vertical="center"/>
    </xf>
    <xf numFmtId="44" fontId="0" fillId="0" borderId="14" xfId="0" applyNumberFormat="1" applyBorder="1" applyAlignment="1">
      <alignment horizontal="center" vertical="center"/>
    </xf>
    <xf numFmtId="44" fontId="0" fillId="0" borderId="26" xfId="0" applyNumberFormat="1" applyBorder="1" applyAlignment="1">
      <alignment horizontal="center" vertical="center"/>
    </xf>
    <xf numFmtId="44" fontId="0" fillId="0" borderId="17" xfId="0" applyNumberFormat="1" applyBorder="1" applyAlignment="1">
      <alignment horizontal="center" vertical="center"/>
    </xf>
    <xf numFmtId="44" fontId="0" fillId="0" borderId="29" xfId="0" applyNumberFormat="1" applyBorder="1" applyAlignment="1">
      <alignment horizontal="center" vertical="center"/>
    </xf>
    <xf numFmtId="6" fontId="0" fillId="0" borderId="0" xfId="0" applyNumberFormat="1" applyAlignment="1">
      <alignment horizontal="center" vertical="center"/>
    </xf>
    <xf numFmtId="16" fontId="0" fillId="0" borderId="0" xfId="0" applyNumberFormat="1" applyAlignment="1">
      <alignment horizontal="center" vertical="center"/>
    </xf>
    <xf numFmtId="17" fontId="0" fillId="0" borderId="0" xfId="0" applyNumberFormat="1" applyAlignment="1">
      <alignment horizontal="center" vertical="center"/>
    </xf>
    <xf numFmtId="0" fontId="0" fillId="0" borderId="42" xfId="0" applyBorder="1" applyAlignment="1">
      <alignment vertical="center"/>
    </xf>
    <xf numFmtId="44" fontId="0" fillId="0" borderId="0" xfId="0" applyNumberFormat="1" applyAlignment="1">
      <alignment horizontal="center" vertical="center"/>
    </xf>
    <xf numFmtId="44" fontId="0" fillId="0" borderId="21" xfId="0" applyNumberFormat="1" applyBorder="1" applyAlignment="1">
      <alignment horizontal="center" vertical="center"/>
    </xf>
    <xf numFmtId="44" fontId="0" fillId="0" borderId="5" xfId="0" applyNumberFormat="1" applyBorder="1" applyAlignment="1">
      <alignment horizontal="center" vertical="center"/>
    </xf>
    <xf numFmtId="44" fontId="0" fillId="0" borderId="27" xfId="0" applyNumberFormat="1" applyBorder="1" applyAlignment="1">
      <alignment horizontal="center" vertical="center"/>
    </xf>
    <xf numFmtId="49" fontId="0" fillId="0" borderId="31" xfId="0" applyNumberFormat="1" applyBorder="1" applyAlignment="1">
      <alignment horizontal="center" vertical="center"/>
    </xf>
    <xf numFmtId="0" fontId="0" fillId="0" borderId="61" xfId="0" applyBorder="1" applyAlignment="1">
      <alignment horizontal="center" vertical="center" wrapText="1"/>
    </xf>
    <xf numFmtId="0" fontId="0" fillId="0" borderId="62" xfId="0" applyBorder="1" applyAlignment="1">
      <alignment horizontal="center" vertical="center" wrapText="1"/>
    </xf>
    <xf numFmtId="0" fontId="0" fillId="2" borderId="0" xfId="0" applyFill="1" applyAlignment="1">
      <alignment horizontal="center"/>
    </xf>
    <xf numFmtId="0" fontId="0" fillId="11" borderId="0" xfId="0" applyFill="1"/>
    <xf numFmtId="0" fontId="0" fillId="2" borderId="0" xfId="0" applyFill="1"/>
    <xf numFmtId="0" fontId="30" fillId="2" borderId="0" xfId="0" applyFont="1" applyFill="1" applyAlignment="1">
      <alignment horizontal="center"/>
    </xf>
    <xf numFmtId="0" fontId="6" fillId="2" borderId="0" xfId="0" applyFont="1" applyFill="1"/>
    <xf numFmtId="0" fontId="31" fillId="2" borderId="0" xfId="0" applyFont="1" applyFill="1" applyAlignment="1">
      <alignment horizontal="center"/>
    </xf>
    <xf numFmtId="169" fontId="6" fillId="2" borderId="0" xfId="0" applyNumberFormat="1" applyFont="1" applyFill="1"/>
    <xf numFmtId="0" fontId="0" fillId="2" borderId="0" xfId="0" applyFill="1" applyAlignment="1">
      <alignment horizontal="left"/>
    </xf>
    <xf numFmtId="0" fontId="6" fillId="2" borderId="0" xfId="0" applyFont="1" applyFill="1" applyAlignment="1">
      <alignment horizontal="left"/>
    </xf>
    <xf numFmtId="0" fontId="0" fillId="0" borderId="0" xfId="0" applyAlignment="1">
      <alignment horizontal="center"/>
    </xf>
    <xf numFmtId="0" fontId="5" fillId="0" borderId="0" xfId="0" applyFont="1" applyAlignment="1">
      <alignment horizontal="center"/>
    </xf>
    <xf numFmtId="44" fontId="0" fillId="0" borderId="25" xfId="0" applyNumberFormat="1" applyBorder="1" applyAlignment="1">
      <alignment horizontal="center" vertical="center"/>
    </xf>
    <xf numFmtId="0" fontId="0" fillId="0" borderId="12" xfId="0" applyBorder="1" applyAlignment="1">
      <alignment horizontal="center" vertical="center"/>
    </xf>
    <xf numFmtId="0" fontId="0" fillId="0" borderId="26" xfId="0" applyBorder="1" applyAlignment="1">
      <alignment horizontal="center" vertical="center"/>
    </xf>
    <xf numFmtId="0" fontId="0" fillId="0" borderId="29"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44" fontId="0" fillId="10" borderId="1" xfId="0" applyNumberFormat="1" applyFill="1" applyBorder="1" applyAlignment="1" applyProtection="1">
      <alignment horizontal="center" vertical="center"/>
      <protection locked="0"/>
    </xf>
    <xf numFmtId="44" fontId="0" fillId="10" borderId="20" xfId="0" applyNumberFormat="1" applyFill="1" applyBorder="1" applyAlignment="1" applyProtection="1">
      <alignment horizontal="center" vertical="center"/>
      <protection locked="0"/>
    </xf>
    <xf numFmtId="170" fontId="14" fillId="0" borderId="0" xfId="0" applyNumberFormat="1" applyFont="1" applyAlignment="1" applyProtection="1">
      <alignment horizontal="center" vertical="center"/>
      <protection hidden="1"/>
    </xf>
    <xf numFmtId="170" fontId="12" fillId="0" borderId="0" xfId="0" applyNumberFormat="1" applyFont="1" applyAlignment="1" applyProtection="1">
      <alignment horizontal="center" vertical="center"/>
      <protection hidden="1"/>
    </xf>
    <xf numFmtId="0" fontId="5" fillId="0" borderId="0" xfId="0" applyFont="1" applyAlignment="1">
      <alignment horizontal="center" vertical="center"/>
    </xf>
    <xf numFmtId="0" fontId="5" fillId="0" borderId="0" xfId="0" applyFont="1" applyAlignment="1" applyProtection="1">
      <alignment horizontal="center" vertical="center"/>
      <protection hidden="1"/>
    </xf>
    <xf numFmtId="1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14" fontId="13" fillId="0" borderId="0" xfId="0" applyNumberFormat="1" applyFont="1" applyAlignment="1" applyProtection="1">
      <alignment horizontal="center" vertical="center"/>
      <protection hidden="1"/>
    </xf>
    <xf numFmtId="0" fontId="17" fillId="0" borderId="0" xfId="0" applyFont="1" applyAlignment="1" applyProtection="1">
      <alignment horizontal="center" vertical="center"/>
      <protection hidden="1"/>
    </xf>
    <xf numFmtId="8" fontId="17" fillId="0" borderId="0" xfId="0" applyNumberFormat="1" applyFont="1" applyAlignment="1" applyProtection="1">
      <alignment horizontal="center" vertical="center"/>
      <protection hidden="1"/>
    </xf>
    <xf numFmtId="171" fontId="5" fillId="0" borderId="0" xfId="0" applyNumberFormat="1" applyFont="1" applyAlignment="1">
      <alignment horizontal="center" vertical="center"/>
    </xf>
    <xf numFmtId="0" fontId="26" fillId="0" borderId="0" xfId="0" applyFont="1" applyAlignment="1">
      <alignment horizontal="center" vertical="center"/>
    </xf>
    <xf numFmtId="164" fontId="5" fillId="0" borderId="1" xfId="0" applyNumberFormat="1" applyFont="1" applyBorder="1" applyAlignment="1">
      <alignment horizontal="center" vertical="center"/>
    </xf>
    <xf numFmtId="164" fontId="14" fillId="0" borderId="1" xfId="0" applyNumberFormat="1" applyFont="1" applyBorder="1" applyAlignment="1" applyProtection="1">
      <alignment horizontal="center" vertical="center"/>
      <protection hidden="1"/>
    </xf>
    <xf numFmtId="164" fontId="12" fillId="0" borderId="1" xfId="0" applyNumberFormat="1" applyFont="1" applyBorder="1" applyAlignment="1" applyProtection="1">
      <alignment horizontal="center" vertical="center"/>
      <protection hidden="1"/>
    </xf>
    <xf numFmtId="164" fontId="5" fillId="0" borderId="12" xfId="0" applyNumberFormat="1" applyFont="1" applyBorder="1" applyAlignment="1">
      <alignment horizontal="center" vertical="center"/>
    </xf>
    <xf numFmtId="164" fontId="14" fillId="0" borderId="12" xfId="0" applyNumberFormat="1" applyFont="1" applyBorder="1" applyAlignment="1" applyProtection="1">
      <alignment horizontal="center" vertical="center"/>
      <protection hidden="1"/>
    </xf>
    <xf numFmtId="164" fontId="14" fillId="0" borderId="20" xfId="0" applyNumberFormat="1" applyFont="1" applyBorder="1" applyAlignment="1" applyProtection="1">
      <alignment horizontal="center" vertical="center"/>
      <protection hidden="1"/>
    </xf>
    <xf numFmtId="164" fontId="12" fillId="0" borderId="20" xfId="0" applyNumberFormat="1" applyFont="1" applyBorder="1" applyAlignment="1" applyProtection="1">
      <alignment horizontal="center" vertical="center"/>
      <protection hidden="1"/>
    </xf>
    <xf numFmtId="164" fontId="5" fillId="0" borderId="20" xfId="0" applyNumberFormat="1" applyFont="1" applyBorder="1" applyAlignment="1">
      <alignment horizontal="center" vertical="center"/>
    </xf>
    <xf numFmtId="164" fontId="5" fillId="0" borderId="14" xfId="0" applyNumberFormat="1" applyFont="1" applyBorder="1" applyAlignment="1">
      <alignment horizontal="center" vertical="center"/>
    </xf>
    <xf numFmtId="164" fontId="5" fillId="0" borderId="5" xfId="0" applyNumberFormat="1" applyFont="1" applyBorder="1" applyAlignment="1">
      <alignment horizontal="center" vertical="center"/>
    </xf>
    <xf numFmtId="164" fontId="14" fillId="0" borderId="5" xfId="0" applyNumberFormat="1" applyFont="1" applyBorder="1" applyAlignment="1" applyProtection="1">
      <alignment horizontal="center" vertical="center"/>
      <protection hidden="1"/>
    </xf>
    <xf numFmtId="164" fontId="5" fillId="0" borderId="22" xfId="0" applyNumberFormat="1" applyFont="1" applyBorder="1" applyAlignment="1">
      <alignment horizontal="center" vertical="center"/>
    </xf>
    <xf numFmtId="164" fontId="5" fillId="0" borderId="10" xfId="0" applyNumberFormat="1" applyFont="1" applyBorder="1" applyAlignment="1">
      <alignment horizontal="center" vertical="center"/>
    </xf>
    <xf numFmtId="164" fontId="5" fillId="0" borderId="21" xfId="0" applyNumberFormat="1" applyFont="1" applyBorder="1" applyAlignment="1">
      <alignment horizontal="center" vertical="center"/>
    </xf>
    <xf numFmtId="164" fontId="5" fillId="0" borderId="19" xfId="0" applyNumberFormat="1" applyFont="1" applyBorder="1" applyAlignment="1">
      <alignment horizontal="center" vertical="center"/>
    </xf>
    <xf numFmtId="164" fontId="5" fillId="0" borderId="16" xfId="0" applyNumberFormat="1" applyFont="1" applyBorder="1" applyAlignment="1">
      <alignment horizontal="center" vertical="center"/>
    </xf>
    <xf numFmtId="0" fontId="26" fillId="0" borderId="64" xfId="0" applyFont="1" applyBorder="1" applyAlignment="1">
      <alignment horizontal="center" vertical="center"/>
    </xf>
    <xf numFmtId="0" fontId="26" fillId="0" borderId="23" xfId="0" applyFont="1" applyBorder="1" applyAlignment="1">
      <alignment horizontal="center" vertical="center"/>
    </xf>
    <xf numFmtId="0" fontId="26" fillId="0" borderId="3" xfId="0" applyFont="1" applyBorder="1" applyAlignment="1">
      <alignment horizontal="center" vertical="center"/>
    </xf>
    <xf numFmtId="0" fontId="26" fillId="0" borderId="28" xfId="0" applyFont="1" applyBorder="1" applyAlignment="1">
      <alignment horizontal="center" vertical="center"/>
    </xf>
    <xf numFmtId="171" fontId="26" fillId="0" borderId="8" xfId="0" applyNumberFormat="1" applyFont="1" applyBorder="1" applyAlignment="1">
      <alignment horizontal="center" vertical="center"/>
    </xf>
    <xf numFmtId="0" fontId="26" fillId="0" borderId="46" xfId="0" applyFont="1" applyBorder="1" applyAlignment="1">
      <alignment horizontal="center" vertical="center"/>
    </xf>
    <xf numFmtId="0" fontId="26" fillId="0" borderId="51" xfId="0" applyFont="1" applyBorder="1" applyAlignment="1">
      <alignment horizontal="center" vertical="center"/>
    </xf>
    <xf numFmtId="0" fontId="5" fillId="0" borderId="1" xfId="0" applyFont="1" applyBorder="1" applyAlignment="1">
      <alignment horizontal="center" vertical="center"/>
    </xf>
    <xf numFmtId="171" fontId="5" fillId="0" borderId="15" xfId="0" applyNumberFormat="1" applyFont="1" applyBorder="1" applyAlignment="1">
      <alignment horizontal="center" vertical="center"/>
    </xf>
    <xf numFmtId="171" fontId="5" fillId="0" borderId="11" xfId="0" applyNumberFormat="1" applyFont="1" applyBorder="1" applyAlignment="1">
      <alignment horizontal="center" vertical="center"/>
    </xf>
    <xf numFmtId="0" fontId="5" fillId="0" borderId="12" xfId="0" applyFont="1" applyBorder="1" applyAlignment="1">
      <alignment horizontal="center" vertical="center"/>
    </xf>
    <xf numFmtId="171" fontId="5" fillId="0" borderId="13" xfId="0" applyNumberFormat="1" applyFont="1" applyBorder="1" applyAlignment="1">
      <alignment horizontal="center" vertical="center"/>
    </xf>
    <xf numFmtId="0" fontId="5" fillId="0" borderId="20" xfId="0" applyFont="1" applyBorder="1" applyAlignment="1">
      <alignment horizontal="center" vertical="center"/>
    </xf>
    <xf numFmtId="0" fontId="5" fillId="0" borderId="14" xfId="0" applyFont="1" applyBorder="1" applyAlignment="1">
      <alignment horizontal="center" vertical="center"/>
    </xf>
    <xf numFmtId="0" fontId="26" fillId="0" borderId="32" xfId="0" applyFont="1" applyBorder="1" applyAlignment="1">
      <alignment horizontal="center" vertical="center"/>
    </xf>
    <xf numFmtId="171" fontId="5" fillId="0" borderId="26" xfId="0" applyNumberFormat="1" applyFont="1" applyBorder="1" applyAlignment="1">
      <alignment horizontal="center" vertical="center"/>
    </xf>
    <xf numFmtId="0" fontId="5" fillId="0" borderId="17" xfId="0" applyFont="1" applyBorder="1" applyAlignment="1">
      <alignment horizontal="center" vertical="center"/>
    </xf>
    <xf numFmtId="0" fontId="5" fillId="0" borderId="29" xfId="0" applyFont="1" applyBorder="1" applyAlignment="1">
      <alignment horizontal="center" vertical="center"/>
    </xf>
    <xf numFmtId="0" fontId="26" fillId="0" borderId="18" xfId="0" applyFont="1" applyBorder="1" applyAlignment="1">
      <alignment horizontal="center" vertical="center"/>
    </xf>
    <xf numFmtId="171" fontId="5" fillId="0" borderId="9" xfId="0" applyNumberFormat="1" applyFont="1" applyBorder="1" applyAlignment="1">
      <alignment horizontal="center" vertical="center"/>
    </xf>
    <xf numFmtId="171" fontId="5" fillId="0" borderId="21" xfId="0" applyNumberFormat="1" applyFont="1" applyBorder="1" applyAlignment="1">
      <alignment horizontal="center" vertical="center"/>
    </xf>
    <xf numFmtId="171" fontId="5" fillId="0" borderId="5" xfId="0" applyNumberFormat="1" applyFont="1" applyBorder="1" applyAlignment="1">
      <alignment horizontal="center" vertical="center"/>
    </xf>
    <xf numFmtId="171" fontId="5" fillId="0" borderId="25" xfId="0" applyNumberFormat="1" applyFont="1" applyBorder="1" applyAlignment="1">
      <alignment horizontal="center" vertical="center"/>
    </xf>
    <xf numFmtId="171" fontId="5" fillId="0" borderId="27" xfId="0" applyNumberFormat="1" applyFont="1" applyBorder="1" applyAlignment="1">
      <alignment horizontal="center" vertical="center"/>
    </xf>
    <xf numFmtId="171" fontId="5" fillId="0" borderId="24" xfId="0" applyNumberFormat="1" applyFont="1" applyBorder="1" applyAlignment="1">
      <alignment horizontal="center" vertical="center"/>
    </xf>
    <xf numFmtId="164" fontId="5" fillId="0" borderId="23" xfId="0" applyNumberFormat="1" applyFont="1" applyBorder="1" applyAlignment="1">
      <alignment horizontal="center" vertical="center"/>
    </xf>
    <xf numFmtId="164" fontId="5" fillId="0" borderId="3" xfId="0" applyNumberFormat="1" applyFont="1" applyBorder="1" applyAlignment="1">
      <alignment horizontal="center" vertical="center"/>
    </xf>
    <xf numFmtId="0" fontId="5" fillId="0" borderId="3" xfId="0" applyFont="1" applyBorder="1" applyAlignment="1">
      <alignment horizontal="center" vertical="center"/>
    </xf>
    <xf numFmtId="0" fontId="5" fillId="0" borderId="32" xfId="0" applyFont="1" applyBorder="1" applyAlignment="1">
      <alignment horizontal="center" vertical="center"/>
    </xf>
    <xf numFmtId="0" fontId="5" fillId="0" borderId="28" xfId="0" applyFont="1" applyBorder="1" applyAlignment="1">
      <alignment horizontal="center" vertical="center"/>
    </xf>
    <xf numFmtId="164" fontId="5" fillId="0" borderId="18" xfId="0" applyNumberFormat="1" applyFont="1" applyBorder="1" applyAlignment="1">
      <alignment horizontal="center" vertical="center"/>
    </xf>
    <xf numFmtId="164" fontId="5" fillId="0" borderId="0" xfId="0" applyNumberFormat="1" applyFont="1" applyAlignment="1">
      <alignment horizontal="center" vertical="center"/>
    </xf>
    <xf numFmtId="0" fontId="26" fillId="0" borderId="35" xfId="0" applyFont="1" applyBorder="1" applyAlignment="1">
      <alignment horizontal="center" vertical="center"/>
    </xf>
    <xf numFmtId="0" fontId="26" fillId="0" borderId="34" xfId="0" applyFont="1" applyBorder="1" applyAlignment="1">
      <alignment horizontal="center" vertical="center"/>
    </xf>
    <xf numFmtId="0" fontId="26" fillId="0" borderId="41" xfId="0" applyFont="1" applyBorder="1" applyAlignment="1">
      <alignment horizontal="center" vertical="center"/>
    </xf>
    <xf numFmtId="0" fontId="26" fillId="0" borderId="33" xfId="0" applyFont="1" applyBorder="1" applyAlignment="1">
      <alignment horizontal="center" vertical="center"/>
    </xf>
    <xf numFmtId="0" fontId="26" fillId="0" borderId="30" xfId="0" applyFont="1" applyBorder="1" applyAlignment="1">
      <alignment horizontal="center" vertical="center"/>
    </xf>
    <xf numFmtId="164" fontId="5" fillId="0" borderId="15" xfId="0" applyNumberFormat="1" applyFont="1" applyBorder="1" applyAlignment="1">
      <alignment horizontal="center" vertical="center"/>
    </xf>
    <xf numFmtId="164" fontId="5" fillId="0" borderId="11" xfId="0" applyNumberFormat="1" applyFont="1" applyBorder="1" applyAlignment="1">
      <alignment horizontal="center" vertical="center"/>
    </xf>
    <xf numFmtId="164" fontId="14" fillId="0" borderId="11" xfId="0" applyNumberFormat="1" applyFont="1" applyBorder="1" applyAlignment="1" applyProtection="1">
      <alignment horizontal="center" vertical="center"/>
      <protection hidden="1"/>
    </xf>
    <xf numFmtId="164" fontId="14" fillId="0" borderId="3" xfId="0" applyNumberFormat="1" applyFont="1" applyBorder="1" applyAlignment="1" applyProtection="1">
      <alignment horizontal="center" vertical="center"/>
      <protection hidden="1"/>
    </xf>
    <xf numFmtId="164" fontId="14" fillId="0" borderId="67" xfId="0" applyNumberFormat="1" applyFont="1" applyBorder="1" applyAlignment="1" applyProtection="1">
      <alignment horizontal="center" vertical="center"/>
      <protection hidden="1"/>
    </xf>
    <xf numFmtId="164" fontId="12" fillId="0" borderId="67" xfId="0" applyNumberFormat="1" applyFont="1" applyBorder="1" applyAlignment="1" applyProtection="1">
      <alignment horizontal="center" vertical="center"/>
      <protection hidden="1"/>
    </xf>
    <xf numFmtId="164" fontId="5" fillId="0" borderId="67" xfId="0" applyNumberFormat="1" applyFont="1" applyBorder="1" applyAlignment="1">
      <alignment horizontal="center" vertical="center"/>
    </xf>
    <xf numFmtId="164" fontId="5" fillId="0" borderId="13" xfId="0" applyNumberFormat="1" applyFont="1" applyBorder="1" applyAlignment="1">
      <alignment horizontal="center" vertical="center"/>
    </xf>
    <xf numFmtId="0" fontId="5" fillId="2" borderId="0" xfId="0" applyFont="1" applyFill="1" applyAlignment="1">
      <alignment horizontal="center"/>
    </xf>
    <xf numFmtId="8" fontId="25" fillId="6" borderId="0" xfId="0" applyNumberFormat="1" applyFont="1" applyFill="1" applyAlignment="1" applyProtection="1">
      <alignment horizontal="center" vertical="center" wrapText="1"/>
      <protection hidden="1"/>
    </xf>
    <xf numFmtId="8" fontId="21" fillId="7" borderId="0" xfId="0" applyNumberFormat="1" applyFont="1" applyFill="1" applyAlignment="1" applyProtection="1">
      <alignment horizontal="center" vertical="center" wrapText="1"/>
      <protection hidden="1"/>
    </xf>
    <xf numFmtId="8" fontId="16" fillId="5" borderId="0" xfId="0" applyNumberFormat="1" applyFont="1" applyFill="1" applyAlignment="1" applyProtection="1">
      <alignment horizontal="center" vertical="center" wrapText="1"/>
      <protection hidden="1"/>
    </xf>
    <xf numFmtId="168" fontId="16" fillId="5" borderId="0" xfId="0" applyNumberFormat="1" applyFont="1" applyFill="1" applyAlignment="1" applyProtection="1">
      <alignment horizontal="center" vertical="center" wrapText="1"/>
      <protection hidden="1"/>
    </xf>
    <xf numFmtId="168" fontId="21" fillId="4" borderId="0" xfId="0" applyNumberFormat="1" applyFont="1" applyFill="1" applyAlignment="1" applyProtection="1">
      <alignment horizontal="center" vertical="center" wrapText="1"/>
      <protection hidden="1"/>
    </xf>
    <xf numFmtId="0" fontId="4" fillId="11" borderId="0" xfId="0" applyFont="1" applyFill="1" applyAlignment="1">
      <alignment horizontal="center" vertical="center"/>
    </xf>
    <xf numFmtId="0" fontId="34" fillId="11" borderId="0" xfId="0" applyFont="1" applyFill="1" applyAlignment="1">
      <alignment horizontal="center" vertical="center"/>
    </xf>
    <xf numFmtId="8" fontId="0" fillId="11" borderId="0" xfId="0" applyNumberFormat="1" applyFill="1" applyAlignment="1">
      <alignment horizontal="center" vertical="center"/>
    </xf>
    <xf numFmtId="0" fontId="0" fillId="2" borderId="50" xfId="0" applyFill="1" applyBorder="1" applyAlignment="1">
      <alignment horizontal="center" vertical="center"/>
    </xf>
    <xf numFmtId="8" fontId="0" fillId="2" borderId="50" xfId="0" applyNumberFormat="1" applyFill="1" applyBorder="1" applyAlignment="1">
      <alignment horizontal="center" vertical="center"/>
    </xf>
    <xf numFmtId="0" fontId="33" fillId="10" borderId="11" xfId="0" applyFont="1" applyFill="1" applyBorder="1" applyAlignment="1">
      <alignment horizontal="center" vertical="center"/>
    </xf>
    <xf numFmtId="8" fontId="0" fillId="10" borderId="11" xfId="0" applyNumberFormat="1" applyFill="1" applyBorder="1" applyAlignment="1">
      <alignment horizontal="center" vertical="center"/>
    </xf>
    <xf numFmtId="0" fontId="0" fillId="10" borderId="11" xfId="0" applyFill="1" applyBorder="1" applyAlignment="1">
      <alignment horizontal="center" vertical="center"/>
    </xf>
    <xf numFmtId="0" fontId="33" fillId="10" borderId="13" xfId="0" applyFont="1" applyFill="1" applyBorder="1" applyAlignment="1">
      <alignment horizontal="center" vertical="center"/>
    </xf>
    <xf numFmtId="8" fontId="0" fillId="2" borderId="14" xfId="0" applyNumberFormat="1" applyFill="1" applyBorder="1" applyAlignment="1">
      <alignment horizontal="center" vertical="center"/>
    </xf>
    <xf numFmtId="0" fontId="26" fillId="10" borderId="11" xfId="0" applyFont="1" applyFill="1" applyBorder="1" applyAlignment="1">
      <alignment horizontal="center" vertical="center"/>
    </xf>
    <xf numFmtId="0" fontId="0" fillId="2" borderId="10" xfId="0" applyFill="1" applyBorder="1" applyAlignment="1" applyProtection="1">
      <alignment horizontal="center" vertical="center"/>
      <protection locked="0"/>
    </xf>
    <xf numFmtId="0" fontId="26" fillId="10" borderId="15" xfId="0" applyFont="1" applyFill="1" applyBorder="1" applyAlignment="1">
      <alignment horizontal="center" vertical="center"/>
    </xf>
    <xf numFmtId="0" fontId="26" fillId="10" borderId="26" xfId="0" applyFont="1" applyFill="1" applyBorder="1" applyAlignment="1">
      <alignment horizontal="center" vertical="center"/>
    </xf>
    <xf numFmtId="0" fontId="0" fillId="2" borderId="29" xfId="0" applyFill="1" applyBorder="1" applyAlignment="1" applyProtection="1">
      <alignment horizontal="center" vertical="center"/>
      <protection locked="0"/>
    </xf>
    <xf numFmtId="0" fontId="26" fillId="10" borderId="13" xfId="0" applyFont="1" applyFill="1" applyBorder="1" applyAlignment="1">
      <alignment horizontal="center" vertical="center"/>
    </xf>
    <xf numFmtId="0" fontId="0" fillId="2" borderId="14" xfId="0" applyFill="1" applyBorder="1" applyAlignment="1" applyProtection="1">
      <alignment horizontal="center" vertical="center"/>
      <protection locked="0"/>
    </xf>
    <xf numFmtId="172" fontId="0" fillId="11" borderId="0" xfId="0" applyNumberFormat="1" applyFill="1" applyAlignment="1" applyProtection="1">
      <alignment horizontal="center" vertical="center"/>
      <protection hidden="1"/>
    </xf>
    <xf numFmtId="0" fontId="0" fillId="0" borderId="42" xfId="0" applyBorder="1" applyAlignment="1">
      <alignment horizontal="center" vertical="center"/>
    </xf>
    <xf numFmtId="0" fontId="0" fillId="0" borderId="44" xfId="0" applyBorder="1" applyAlignment="1">
      <alignment horizontal="center" vertical="center"/>
    </xf>
    <xf numFmtId="173" fontId="33" fillId="13" borderId="19" xfId="0" applyNumberFormat="1" applyFont="1" applyFill="1" applyBorder="1" applyAlignment="1">
      <alignment horizontal="center"/>
    </xf>
    <xf numFmtId="173" fontId="33" fillId="13" borderId="19" xfId="0" applyNumberFormat="1" applyFont="1" applyFill="1" applyBorder="1" applyAlignment="1">
      <alignment horizontal="center" vertical="center"/>
    </xf>
    <xf numFmtId="173" fontId="33" fillId="13" borderId="16" xfId="0" applyNumberFormat="1" applyFont="1" applyFill="1" applyBorder="1" applyAlignment="1">
      <alignment horizontal="center" vertical="center"/>
    </xf>
    <xf numFmtId="173" fontId="0" fillId="6" borderId="1" xfId="0" applyNumberFormat="1" applyFill="1" applyBorder="1" applyAlignment="1">
      <alignment horizontal="center"/>
    </xf>
    <xf numFmtId="173" fontId="0" fillId="6" borderId="1" xfId="0" applyNumberFormat="1" applyFill="1" applyBorder="1" applyAlignment="1">
      <alignment horizontal="center" vertical="center"/>
    </xf>
    <xf numFmtId="173" fontId="0" fillId="6" borderId="12" xfId="0" applyNumberFormat="1" applyFill="1" applyBorder="1" applyAlignment="1">
      <alignment horizontal="center" vertical="center"/>
    </xf>
    <xf numFmtId="173" fontId="33" fillId="13" borderId="1" xfId="0" applyNumberFormat="1" applyFont="1" applyFill="1" applyBorder="1" applyAlignment="1">
      <alignment horizontal="center"/>
    </xf>
    <xf numFmtId="173" fontId="33" fillId="13" borderId="1" xfId="0" applyNumberFormat="1" applyFont="1" applyFill="1" applyBorder="1" applyAlignment="1">
      <alignment horizontal="center" vertical="center"/>
    </xf>
    <xf numFmtId="173" fontId="33" fillId="13" borderId="12" xfId="0" applyNumberFormat="1" applyFont="1" applyFill="1" applyBorder="1" applyAlignment="1">
      <alignment horizontal="center" vertical="center"/>
    </xf>
    <xf numFmtId="173" fontId="0" fillId="6" borderId="20" xfId="0" applyNumberFormat="1" applyFill="1" applyBorder="1" applyAlignment="1">
      <alignment horizontal="center"/>
    </xf>
    <xf numFmtId="173" fontId="0" fillId="6" borderId="20" xfId="0" applyNumberFormat="1" applyFill="1" applyBorder="1" applyAlignment="1">
      <alignment horizontal="center" vertical="center"/>
    </xf>
    <xf numFmtId="173" fontId="0" fillId="6" borderId="14" xfId="0" applyNumberFormat="1" applyFill="1" applyBorder="1" applyAlignment="1">
      <alignment horizontal="center" vertical="center"/>
    </xf>
    <xf numFmtId="173" fontId="0" fillId="6" borderId="17" xfId="0" applyNumberFormat="1" applyFill="1" applyBorder="1" applyAlignment="1">
      <alignment horizontal="center"/>
    </xf>
    <xf numFmtId="173" fontId="0" fillId="6" borderId="17" xfId="0" applyNumberFormat="1" applyFill="1" applyBorder="1" applyAlignment="1">
      <alignment horizontal="center" vertical="center"/>
    </xf>
    <xf numFmtId="0" fontId="4" fillId="0" borderId="46" xfId="0" applyFont="1" applyBorder="1" applyAlignment="1">
      <alignment horizontal="center" vertical="center"/>
    </xf>
    <xf numFmtId="173" fontId="33" fillId="13" borderId="15" xfId="0" applyNumberFormat="1" applyFont="1" applyFill="1" applyBorder="1" applyAlignment="1">
      <alignment horizontal="center"/>
    </xf>
    <xf numFmtId="173" fontId="0" fillId="6" borderId="11" xfId="0" applyNumberFormat="1" applyFill="1" applyBorder="1" applyAlignment="1">
      <alignment horizontal="center"/>
    </xf>
    <xf numFmtId="173" fontId="33" fillId="13" borderId="11" xfId="0" applyNumberFormat="1" applyFont="1" applyFill="1" applyBorder="1" applyAlignment="1">
      <alignment horizontal="center"/>
    </xf>
    <xf numFmtId="173" fontId="0" fillId="6" borderId="26" xfId="0" applyNumberFormat="1" applyFill="1" applyBorder="1" applyAlignment="1">
      <alignment horizontal="center"/>
    </xf>
    <xf numFmtId="173" fontId="0" fillId="6" borderId="13" xfId="0" applyNumberFormat="1" applyFill="1" applyBorder="1" applyAlignment="1">
      <alignment horizontal="center"/>
    </xf>
    <xf numFmtId="0" fontId="0" fillId="0" borderId="57" xfId="0" applyBorder="1" applyAlignment="1">
      <alignment horizontal="center" vertical="center"/>
    </xf>
    <xf numFmtId="10" fontId="14" fillId="12" borderId="12" xfId="0" applyNumberFormat="1" applyFont="1" applyFill="1" applyBorder="1" applyAlignment="1" applyProtection="1">
      <alignment horizontal="center" vertical="center"/>
      <protection hidden="1"/>
    </xf>
    <xf numFmtId="0" fontId="0" fillId="10" borderId="20" xfId="0" applyFill="1" applyBorder="1" applyAlignment="1">
      <alignment horizontal="center" vertical="center"/>
    </xf>
    <xf numFmtId="8" fontId="0" fillId="2" borderId="20" xfId="0" applyNumberFormat="1" applyFill="1" applyBorder="1" applyAlignment="1">
      <alignment horizontal="center" vertical="center"/>
    </xf>
    <xf numFmtId="0" fontId="0" fillId="6" borderId="47" xfId="0" applyFill="1" applyBorder="1" applyAlignment="1">
      <alignment horizontal="center" vertical="center"/>
    </xf>
    <xf numFmtId="0" fontId="33" fillId="13" borderId="47" xfId="0" applyFont="1" applyFill="1" applyBorder="1" applyAlignment="1">
      <alignment horizontal="center" vertical="center"/>
    </xf>
    <xf numFmtId="0" fontId="0" fillId="6" borderId="68" xfId="0" applyFill="1" applyBorder="1" applyAlignment="1">
      <alignment horizontal="center" vertical="center"/>
    </xf>
    <xf numFmtId="0" fontId="33" fillId="13" borderId="33" xfId="0" applyFont="1" applyFill="1" applyBorder="1" applyAlignment="1">
      <alignment horizontal="center" vertical="center"/>
    </xf>
    <xf numFmtId="0" fontId="0" fillId="6" borderId="34" xfId="0" applyFill="1" applyBorder="1" applyAlignment="1">
      <alignment horizontal="center" vertical="center"/>
    </xf>
    <xf numFmtId="0" fontId="33" fillId="13" borderId="34" xfId="0" applyFont="1" applyFill="1" applyBorder="1" applyAlignment="1">
      <alignment horizontal="center" vertical="center"/>
    </xf>
    <xf numFmtId="0" fontId="0" fillId="6" borderId="30" xfId="0" applyFill="1" applyBorder="1" applyAlignment="1">
      <alignment horizontal="center" vertical="center"/>
    </xf>
    <xf numFmtId="44" fontId="20" fillId="15" borderId="0" xfId="0" applyNumberFormat="1" applyFont="1" applyFill="1" applyAlignment="1" applyProtection="1">
      <alignment horizontal="center" vertical="center" wrapText="1"/>
      <protection hidden="1"/>
    </xf>
    <xf numFmtId="10" fontId="21" fillId="15" borderId="0" xfId="0" applyNumberFormat="1" applyFont="1" applyFill="1" applyAlignment="1" applyProtection="1">
      <alignment horizontal="center" vertical="center" wrapText="1"/>
      <protection hidden="1"/>
    </xf>
    <xf numFmtId="168" fontId="21" fillId="15" borderId="0" xfId="0" applyNumberFormat="1" applyFont="1" applyFill="1" applyAlignment="1" applyProtection="1">
      <alignment horizontal="center" vertical="center" wrapText="1"/>
      <protection hidden="1"/>
    </xf>
    <xf numFmtId="10" fontId="14" fillId="12" borderId="29" xfId="0" applyNumberFormat="1" applyFont="1" applyFill="1" applyBorder="1" applyAlignment="1" applyProtection="1">
      <alignment horizontal="center" vertical="center"/>
      <protection hidden="1"/>
    </xf>
    <xf numFmtId="10" fontId="14" fillId="12" borderId="14" xfId="0" applyNumberFormat="1" applyFont="1" applyFill="1" applyBorder="1" applyAlignment="1" applyProtection="1">
      <alignment horizontal="center" vertical="center"/>
      <protection hidden="1"/>
    </xf>
    <xf numFmtId="0" fontId="33" fillId="13" borderId="69" xfId="0" applyFont="1" applyFill="1" applyBorder="1" applyAlignment="1">
      <alignment horizontal="center" vertical="center"/>
    </xf>
    <xf numFmtId="173" fontId="33" fillId="13" borderId="9" xfId="0" applyNumberFormat="1" applyFont="1" applyFill="1" applyBorder="1" applyAlignment="1">
      <alignment horizontal="center"/>
    </xf>
    <xf numFmtId="173" fontId="33" fillId="13" borderId="22" xfId="0" applyNumberFormat="1" applyFont="1" applyFill="1" applyBorder="1" applyAlignment="1">
      <alignment horizontal="center"/>
    </xf>
    <xf numFmtId="173" fontId="33" fillId="13" borderId="22" xfId="0" applyNumberFormat="1" applyFont="1" applyFill="1" applyBorder="1" applyAlignment="1">
      <alignment horizontal="center" vertical="center"/>
    </xf>
    <xf numFmtId="168" fontId="14" fillId="12" borderId="26" xfId="0" applyNumberFormat="1" applyFont="1" applyFill="1" applyBorder="1" applyAlignment="1" applyProtection="1">
      <alignment horizontal="center" vertical="center"/>
      <protection hidden="1"/>
    </xf>
    <xf numFmtId="8" fontId="0" fillId="10" borderId="13" xfId="0" applyNumberFormat="1" applyFill="1" applyBorder="1" applyAlignment="1">
      <alignment horizontal="center" vertical="center"/>
    </xf>
    <xf numFmtId="168" fontId="14" fillId="12" borderId="1" xfId="0" applyNumberFormat="1" applyFont="1" applyFill="1" applyBorder="1" applyAlignment="1" applyProtection="1">
      <alignment horizontal="center" vertical="center"/>
      <protection hidden="1"/>
    </xf>
    <xf numFmtId="168" fontId="14" fillId="12" borderId="20" xfId="0" applyNumberFormat="1" applyFont="1" applyFill="1" applyBorder="1" applyAlignment="1" applyProtection="1">
      <alignment horizontal="center" vertical="center"/>
      <protection hidden="1"/>
    </xf>
    <xf numFmtId="173" fontId="33" fillId="13" borderId="23" xfId="0" applyNumberFormat="1" applyFont="1" applyFill="1" applyBorder="1" applyAlignment="1">
      <alignment horizontal="center" vertical="center"/>
    </xf>
    <xf numFmtId="173" fontId="0" fillId="6" borderId="3" xfId="0" applyNumberFormat="1" applyFill="1" applyBorder="1" applyAlignment="1">
      <alignment horizontal="center" vertical="center"/>
    </xf>
    <xf numFmtId="173" fontId="33" fillId="13" borderId="3" xfId="0" applyNumberFormat="1" applyFont="1" applyFill="1" applyBorder="1" applyAlignment="1">
      <alignment horizontal="center" vertical="center"/>
    </xf>
    <xf numFmtId="173" fontId="33" fillId="13" borderId="18" xfId="0" applyNumberFormat="1" applyFont="1" applyFill="1" applyBorder="1" applyAlignment="1">
      <alignment horizontal="center" vertical="center"/>
    </xf>
    <xf numFmtId="173" fontId="0" fillId="6" borderId="32" xfId="0" applyNumberFormat="1" applyFill="1" applyBorder="1" applyAlignment="1">
      <alignment horizontal="center" vertical="center"/>
    </xf>
    <xf numFmtId="168" fontId="14" fillId="12" borderId="17" xfId="0" applyNumberFormat="1" applyFont="1" applyFill="1" applyBorder="1" applyAlignment="1" applyProtection="1">
      <alignment horizontal="center" vertical="center"/>
      <protection hidden="1"/>
    </xf>
    <xf numFmtId="173" fontId="33" fillId="13" borderId="12" xfId="0" applyNumberFormat="1" applyFont="1" applyFill="1" applyBorder="1" applyAlignment="1">
      <alignment horizontal="center"/>
    </xf>
    <xf numFmtId="0" fontId="0" fillId="10" borderId="22" xfId="0" applyFill="1" applyBorder="1" applyAlignment="1">
      <alignment horizontal="center" vertical="center"/>
    </xf>
    <xf numFmtId="44" fontId="0" fillId="10" borderId="22" xfId="0" applyNumberFormat="1" applyFill="1" applyBorder="1" applyAlignment="1" applyProtection="1">
      <alignment horizontal="center" vertical="center"/>
      <protection locked="0"/>
    </xf>
    <xf numFmtId="8" fontId="0" fillId="2" borderId="22" xfId="0" applyNumberFormat="1" applyFill="1" applyBorder="1" applyAlignment="1">
      <alignment horizontal="center" vertical="center"/>
    </xf>
    <xf numFmtId="8" fontId="0" fillId="2" borderId="10" xfId="0" applyNumberFormat="1" applyFill="1" applyBorder="1" applyAlignment="1">
      <alignment horizontal="center" vertical="center"/>
    </xf>
    <xf numFmtId="0" fontId="4" fillId="10" borderId="38" xfId="0" applyFont="1" applyFill="1" applyBorder="1" applyAlignment="1">
      <alignment horizontal="center" vertical="center"/>
    </xf>
    <xf numFmtId="0" fontId="4" fillId="10" borderId="39" xfId="0" applyFont="1" applyFill="1" applyBorder="1" applyAlignment="1">
      <alignment horizontal="center" vertical="center"/>
    </xf>
    <xf numFmtId="0" fontId="4" fillId="10" borderId="40" xfId="0" applyFont="1" applyFill="1" applyBorder="1" applyAlignment="1">
      <alignment horizontal="center" vertical="center"/>
    </xf>
    <xf numFmtId="0" fontId="0" fillId="0" borderId="58" xfId="0" applyBorder="1" applyAlignment="1">
      <alignment horizontal="center" vertical="center"/>
    </xf>
    <xf numFmtId="0" fontId="33" fillId="13" borderId="49" xfId="0" applyFont="1" applyFill="1" applyBorder="1" applyAlignment="1">
      <alignment horizontal="center" vertical="center"/>
    </xf>
    <xf numFmtId="0" fontId="0" fillId="6" borderId="4" xfId="0" applyFill="1" applyBorder="1" applyAlignment="1">
      <alignment horizontal="center" vertical="center"/>
    </xf>
    <xf numFmtId="0" fontId="33" fillId="13" borderId="4" xfId="0" applyFont="1" applyFill="1" applyBorder="1" applyAlignment="1">
      <alignment horizontal="center" vertical="center"/>
    </xf>
    <xf numFmtId="0" fontId="0" fillId="6" borderId="70" xfId="0" applyFill="1" applyBorder="1" applyAlignment="1">
      <alignment horizontal="center" vertical="center"/>
    </xf>
    <xf numFmtId="0" fontId="28" fillId="10" borderId="66" xfId="0" applyFont="1" applyFill="1" applyBorder="1" applyAlignment="1">
      <alignment horizontal="center" vertical="center"/>
    </xf>
    <xf numFmtId="0" fontId="0" fillId="2" borderId="71" xfId="0" applyFill="1" applyBorder="1" applyAlignment="1" applyProtection="1">
      <alignment horizontal="center" vertical="center"/>
      <protection locked="0"/>
    </xf>
    <xf numFmtId="0" fontId="0" fillId="6" borderId="63" xfId="0" applyFill="1" applyBorder="1" applyAlignment="1">
      <alignment horizontal="center" vertical="center"/>
    </xf>
    <xf numFmtId="173" fontId="0" fillId="6" borderId="28" xfId="0" applyNumberFormat="1" applyFill="1" applyBorder="1" applyAlignment="1">
      <alignment horizontal="center" vertical="center"/>
    </xf>
    <xf numFmtId="44" fontId="0" fillId="0" borderId="9" xfId="0" applyNumberFormat="1" applyBorder="1" applyAlignment="1">
      <alignment horizontal="center" vertical="center"/>
    </xf>
    <xf numFmtId="44" fontId="0" fillId="0" borderId="10" xfId="0" applyNumberFormat="1" applyBorder="1" applyAlignment="1">
      <alignment horizontal="center" vertical="center"/>
    </xf>
    <xf numFmtId="0" fontId="33" fillId="13" borderId="61" xfId="0" applyFont="1" applyFill="1" applyBorder="1" applyAlignment="1">
      <alignment horizontal="center" vertical="center"/>
    </xf>
    <xf numFmtId="0" fontId="0" fillId="6" borderId="62" xfId="0" applyFill="1" applyBorder="1" applyAlignment="1">
      <alignment horizontal="center" vertical="center"/>
    </xf>
    <xf numFmtId="0" fontId="0" fillId="11" borderId="0" xfId="0" applyFill="1" applyAlignment="1">
      <alignment horizontal="center" vertical="center"/>
    </xf>
    <xf numFmtId="0" fontId="4" fillId="0" borderId="1" xfId="0" applyFont="1" applyBorder="1" applyAlignment="1">
      <alignment horizontal="center" vertical="center"/>
    </xf>
    <xf numFmtId="8" fontId="0" fillId="0" borderId="0" xfId="0" applyNumberFormat="1" applyAlignment="1">
      <alignment horizontal="center" vertical="center"/>
    </xf>
    <xf numFmtId="10" fontId="0" fillId="0" borderId="0" xfId="0" applyNumberFormat="1" applyAlignment="1">
      <alignment horizontal="center" vertical="center"/>
    </xf>
    <xf numFmtId="173" fontId="33" fillId="13" borderId="11" xfId="0" applyNumberFormat="1" applyFont="1" applyFill="1" applyBorder="1" applyAlignment="1">
      <alignment horizontal="center" vertical="center"/>
    </xf>
    <xf numFmtId="0" fontId="0" fillId="11" borderId="0" xfId="0" applyFill="1" applyAlignment="1">
      <alignment horizontal="left" vertical="center"/>
    </xf>
    <xf numFmtId="8" fontId="0" fillId="2" borderId="19" xfId="0" applyNumberFormat="1" applyFill="1" applyBorder="1" applyAlignment="1">
      <alignment horizontal="center" vertical="center"/>
    </xf>
    <xf numFmtId="8" fontId="0" fillId="2" borderId="16" xfId="0" applyNumberFormat="1" applyFill="1" applyBorder="1" applyAlignment="1">
      <alignment horizontal="center" vertical="center"/>
    </xf>
    <xf numFmtId="0" fontId="0" fillId="10" borderId="19" xfId="0" applyFill="1" applyBorder="1" applyAlignment="1">
      <alignment horizontal="center" vertical="center"/>
    </xf>
    <xf numFmtId="44" fontId="0" fillId="10" borderId="19" xfId="0" applyNumberFormat="1" applyFill="1" applyBorder="1" applyAlignment="1" applyProtection="1">
      <alignment horizontal="center" vertical="center"/>
      <protection locked="0"/>
    </xf>
    <xf numFmtId="0" fontId="0" fillId="11" borderId="57" xfId="0" applyFill="1" applyBorder="1" applyAlignment="1">
      <alignment horizontal="center" vertical="center"/>
    </xf>
    <xf numFmtId="3" fontId="0" fillId="2" borderId="10" xfId="0" applyNumberFormat="1" applyFill="1" applyBorder="1" applyAlignment="1" applyProtection="1">
      <alignment horizontal="center" vertical="center"/>
      <protection locked="0"/>
    </xf>
    <xf numFmtId="3" fontId="0" fillId="2" borderId="12" xfId="0" applyNumberFormat="1"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0" borderId="3" xfId="0" applyBorder="1" applyAlignment="1">
      <alignment horizontal="center" vertical="center"/>
    </xf>
    <xf numFmtId="8" fontId="4" fillId="11" borderId="0" xfId="0" applyNumberFormat="1" applyFont="1" applyFill="1" applyAlignment="1">
      <alignment horizontal="center" vertical="center"/>
    </xf>
    <xf numFmtId="0" fontId="1" fillId="0" borderId="0" xfId="0" applyFont="1" applyAlignment="1" applyProtection="1">
      <alignment horizontal="center" vertical="center" wrapText="1"/>
      <protection hidden="1"/>
    </xf>
    <xf numFmtId="167" fontId="1" fillId="0" borderId="0" xfId="1" applyNumberFormat="1" applyFont="1" applyAlignment="1" applyProtection="1">
      <alignment horizontal="center" vertical="center"/>
      <protection hidden="1"/>
    </xf>
    <xf numFmtId="0" fontId="0" fillId="0" borderId="22" xfId="0" applyBorder="1" applyAlignment="1">
      <alignment horizontal="center" vertical="center"/>
    </xf>
    <xf numFmtId="0" fontId="4" fillId="0" borderId="8" xfId="0" applyFont="1" applyBorder="1" applyAlignment="1">
      <alignment horizontal="center" vertical="center"/>
    </xf>
    <xf numFmtId="0" fontId="4" fillId="0" borderId="50" xfId="0" applyFont="1" applyBorder="1" applyAlignment="1">
      <alignment horizontal="center" vertical="center"/>
    </xf>
    <xf numFmtId="0" fontId="4" fillId="0" borderId="51" xfId="0" applyFont="1" applyBorder="1" applyAlignment="1">
      <alignment horizontal="center" vertical="center"/>
    </xf>
    <xf numFmtId="0" fontId="0" fillId="0" borderId="50" xfId="0" applyBorder="1" applyAlignment="1">
      <alignment horizontal="center" vertical="center" wrapText="1"/>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60" xfId="0" applyBorder="1" applyAlignment="1">
      <alignment horizontal="center" vertical="center"/>
    </xf>
    <xf numFmtId="0" fontId="0" fillId="0" borderId="31" xfId="0" applyBorder="1" applyAlignment="1">
      <alignment horizontal="center" vertical="center"/>
    </xf>
    <xf numFmtId="0" fontId="0" fillId="2" borderId="0" xfId="0" applyFill="1" applyAlignment="1">
      <alignment horizontal="center" vertical="center"/>
    </xf>
    <xf numFmtId="8" fontId="0" fillId="2" borderId="29" xfId="0" applyNumberFormat="1" applyFill="1" applyBorder="1" applyAlignment="1">
      <alignment horizontal="center" vertical="center"/>
    </xf>
    <xf numFmtId="0" fontId="0" fillId="0" borderId="1" xfId="0" applyBorder="1" applyAlignment="1">
      <alignment vertical="center"/>
    </xf>
    <xf numFmtId="0" fontId="0" fillId="0" borderId="19" xfId="0" applyBorder="1" applyAlignment="1">
      <alignment vertical="center"/>
    </xf>
    <xf numFmtId="44" fontId="0" fillId="0" borderId="19" xfId="0" applyNumberFormat="1" applyBorder="1" applyAlignment="1">
      <alignment vertical="center"/>
    </xf>
    <xf numFmtId="44" fontId="0" fillId="0" borderId="22" xfId="0" applyNumberFormat="1" applyBorder="1" applyAlignment="1">
      <alignment horizontal="center" vertical="center"/>
    </xf>
    <xf numFmtId="8" fontId="0" fillId="2" borderId="12" xfId="0" applyNumberFormat="1" applyFill="1" applyBorder="1" applyAlignment="1">
      <alignment horizontal="center" vertical="center"/>
    </xf>
    <xf numFmtId="0" fontId="0" fillId="0" borderId="43" xfId="0" applyBorder="1" applyAlignment="1">
      <alignment horizontal="center" vertical="center"/>
    </xf>
    <xf numFmtId="0" fontId="0" fillId="2" borderId="51" xfId="0" applyFill="1" applyBorder="1" applyAlignment="1">
      <alignment horizontal="center" vertical="center"/>
    </xf>
    <xf numFmtId="0" fontId="0" fillId="2" borderId="57" xfId="0" applyFill="1" applyBorder="1" applyAlignment="1">
      <alignment horizontal="center" vertical="center"/>
    </xf>
    <xf numFmtId="0" fontId="0" fillId="2" borderId="8" xfId="0" applyFill="1" applyBorder="1" applyAlignment="1">
      <alignment horizontal="center" vertical="center"/>
    </xf>
    <xf numFmtId="0" fontId="0" fillId="0" borderId="59" xfId="0" applyBorder="1" applyAlignment="1">
      <alignment horizontal="center" vertical="center"/>
    </xf>
    <xf numFmtId="0" fontId="33" fillId="10" borderId="9" xfId="0" applyFont="1" applyFill="1" applyBorder="1" applyAlignment="1">
      <alignment horizontal="center" vertical="center"/>
    </xf>
    <xf numFmtId="8" fontId="4" fillId="10" borderId="39" xfId="0" applyNumberFormat="1" applyFont="1" applyFill="1" applyBorder="1" applyAlignment="1">
      <alignment horizontal="center" vertical="center"/>
    </xf>
    <xf numFmtId="8" fontId="4" fillId="10" borderId="40" xfId="0" applyNumberFormat="1" applyFont="1" applyFill="1" applyBorder="1" applyAlignment="1">
      <alignment horizontal="center" vertical="center"/>
    </xf>
    <xf numFmtId="8" fontId="0" fillId="2" borderId="21" xfId="0" applyNumberFormat="1" applyFill="1" applyBorder="1" applyAlignment="1">
      <alignment horizontal="center" vertical="center"/>
    </xf>
    <xf numFmtId="8" fontId="0" fillId="2" borderId="5" xfId="0" applyNumberFormat="1" applyFill="1" applyBorder="1" applyAlignment="1">
      <alignment horizontal="center" vertical="center"/>
    </xf>
    <xf numFmtId="8" fontId="0" fillId="2" borderId="27" xfId="0" applyNumberFormat="1" applyFill="1" applyBorder="1" applyAlignment="1">
      <alignment horizontal="center" vertical="center"/>
    </xf>
    <xf numFmtId="8" fontId="0" fillId="2" borderId="24" xfId="0" applyNumberFormat="1" applyFill="1" applyBorder="1" applyAlignment="1">
      <alignment horizontal="center" vertical="center"/>
    </xf>
    <xf numFmtId="8" fontId="0" fillId="2" borderId="25" xfId="0" applyNumberFormat="1" applyFill="1" applyBorder="1" applyAlignment="1">
      <alignment horizontal="center" vertical="center"/>
    </xf>
    <xf numFmtId="0" fontId="33" fillId="10" borderId="36" xfId="0" applyFont="1" applyFill="1" applyBorder="1" applyAlignment="1">
      <alignment horizontal="center" vertical="center"/>
    </xf>
    <xf numFmtId="0" fontId="33" fillId="10" borderId="37" xfId="0" applyFont="1" applyFill="1" applyBorder="1" applyAlignment="1">
      <alignment horizontal="center" vertical="center"/>
    </xf>
    <xf numFmtId="8" fontId="0" fillId="10" borderId="37" xfId="0" applyNumberFormat="1" applyFill="1" applyBorder="1" applyAlignment="1">
      <alignment horizontal="center" vertical="center"/>
    </xf>
    <xf numFmtId="0" fontId="0" fillId="10" borderId="37" xfId="0" applyFill="1" applyBorder="1" applyAlignment="1">
      <alignment horizontal="center" vertical="center"/>
    </xf>
    <xf numFmtId="8" fontId="0" fillId="10" borderId="72" xfId="0" applyNumberFormat="1" applyFill="1" applyBorder="1" applyAlignment="1">
      <alignment horizontal="center" vertical="center"/>
    </xf>
    <xf numFmtId="8" fontId="0" fillId="10" borderId="60" xfId="0" applyNumberFormat="1" applyFill="1" applyBorder="1" applyAlignment="1">
      <alignment horizontal="center" vertical="center"/>
    </xf>
    <xf numFmtId="8" fontId="0" fillId="10" borderId="36" xfId="0" applyNumberFormat="1" applyFill="1" applyBorder="1" applyAlignment="1">
      <alignment horizontal="center" vertical="center"/>
    </xf>
    <xf numFmtId="8" fontId="0" fillId="10" borderId="31" xfId="0" applyNumberFormat="1" applyFill="1" applyBorder="1" applyAlignment="1">
      <alignment horizontal="center" vertical="center"/>
    </xf>
    <xf numFmtId="8" fontId="0" fillId="2" borderId="15" xfId="0" applyNumberFormat="1" applyFill="1" applyBorder="1" applyAlignment="1">
      <alignment horizontal="center" vertical="center"/>
    </xf>
    <xf numFmtId="8" fontId="0" fillId="2" borderId="11" xfId="0" applyNumberFormat="1" applyFill="1" applyBorder="1" applyAlignment="1">
      <alignment horizontal="center" vertical="center"/>
    </xf>
    <xf numFmtId="8" fontId="0" fillId="2" borderId="13" xfId="0" applyNumberFormat="1" applyFill="1" applyBorder="1" applyAlignment="1">
      <alignment horizontal="center" vertical="center"/>
    </xf>
    <xf numFmtId="8" fontId="36" fillId="10" borderId="31" xfId="0" applyNumberFormat="1" applyFont="1" applyFill="1" applyBorder="1" applyAlignment="1">
      <alignment horizontal="center" vertical="center"/>
    </xf>
    <xf numFmtId="0" fontId="23" fillId="17" borderId="0" xfId="0" applyFont="1" applyFill="1" applyAlignment="1" applyProtection="1">
      <alignment horizontal="center" vertical="center"/>
      <protection hidden="1"/>
    </xf>
    <xf numFmtId="0" fontId="14" fillId="17" borderId="0" xfId="0" applyFont="1" applyFill="1" applyAlignment="1" applyProtection="1">
      <alignment horizontal="center" vertical="center" wrapText="1"/>
      <protection hidden="1"/>
    </xf>
    <xf numFmtId="8" fontId="14" fillId="17" borderId="0" xfId="0" applyNumberFormat="1" applyFont="1" applyFill="1" applyAlignment="1" applyProtection="1">
      <alignment horizontal="center" vertical="center" wrapText="1"/>
      <protection hidden="1"/>
    </xf>
    <xf numFmtId="8" fontId="23" fillId="17" borderId="0" xfId="0" applyNumberFormat="1" applyFont="1" applyFill="1" applyAlignment="1" applyProtection="1">
      <alignment horizontal="center" vertical="center" wrapText="1"/>
      <protection hidden="1"/>
    </xf>
    <xf numFmtId="44" fontId="23" fillId="0" borderId="0" xfId="0" applyNumberFormat="1" applyFont="1" applyAlignment="1" applyProtection="1">
      <alignment horizontal="center" vertical="center"/>
      <protection hidden="1"/>
    </xf>
    <xf numFmtId="44" fontId="8" fillId="19" borderId="0" xfId="1" applyNumberFormat="1" applyFont="1" applyFill="1" applyAlignment="1" applyProtection="1">
      <alignment horizontal="center" vertical="center"/>
      <protection hidden="1"/>
    </xf>
    <xf numFmtId="44" fontId="20" fillId="19" borderId="0" xfId="0" applyNumberFormat="1" applyFont="1" applyFill="1" applyAlignment="1" applyProtection="1">
      <alignment horizontal="center" vertical="center" wrapText="1"/>
      <protection hidden="1"/>
    </xf>
    <xf numFmtId="10" fontId="21" fillId="19" borderId="0" xfId="0" applyNumberFormat="1" applyFont="1" applyFill="1" applyAlignment="1" applyProtection="1">
      <alignment horizontal="center" vertical="center" wrapText="1"/>
      <protection hidden="1"/>
    </xf>
    <xf numFmtId="168" fontId="21" fillId="19" borderId="0" xfId="0" applyNumberFormat="1" applyFont="1" applyFill="1" applyAlignment="1" applyProtection="1">
      <alignment horizontal="center" vertical="center" wrapText="1"/>
      <protection hidden="1"/>
    </xf>
    <xf numFmtId="44" fontId="21" fillId="19" borderId="0" xfId="0" applyNumberFormat="1" applyFont="1" applyFill="1" applyAlignment="1" applyProtection="1">
      <alignment horizontal="center" vertical="center"/>
      <protection hidden="1"/>
    </xf>
    <xf numFmtId="0" fontId="23" fillId="9" borderId="0" xfId="0" applyFont="1" applyFill="1" applyAlignment="1" applyProtection="1">
      <alignment horizontal="center" vertical="center"/>
      <protection hidden="1"/>
    </xf>
    <xf numFmtId="0" fontId="14" fillId="9" borderId="0" xfId="0" applyFont="1" applyFill="1" applyAlignment="1" applyProtection="1">
      <alignment horizontal="center" vertical="center" wrapText="1"/>
      <protection hidden="1"/>
    </xf>
    <xf numFmtId="8" fontId="14" fillId="9" borderId="0" xfId="0" applyNumberFormat="1" applyFont="1" applyFill="1" applyAlignment="1" applyProtection="1">
      <alignment horizontal="center" vertical="center" wrapText="1"/>
      <protection hidden="1"/>
    </xf>
    <xf numFmtId="8" fontId="23" fillId="9" borderId="0" xfId="0" applyNumberFormat="1" applyFont="1" applyFill="1" applyAlignment="1" applyProtection="1">
      <alignment horizontal="center" vertical="center" wrapText="1"/>
      <protection hidden="1"/>
    </xf>
    <xf numFmtId="44" fontId="21" fillId="8" borderId="0" xfId="0" applyNumberFormat="1" applyFont="1" applyFill="1" applyAlignment="1" applyProtection="1">
      <alignment horizontal="center" vertical="center"/>
      <protection hidden="1"/>
    </xf>
    <xf numFmtId="44" fontId="37" fillId="8" borderId="0" xfId="1" applyNumberFormat="1" applyFont="1" applyFill="1" applyAlignment="1" applyProtection="1">
      <alignment horizontal="center" vertical="center"/>
      <protection hidden="1"/>
    </xf>
    <xf numFmtId="44" fontId="21" fillId="15" borderId="0" xfId="0" applyNumberFormat="1" applyFont="1" applyFill="1" applyAlignment="1" applyProtection="1">
      <alignment horizontal="center" vertical="center"/>
      <protection hidden="1"/>
    </xf>
    <xf numFmtId="44" fontId="37" fillId="15" borderId="0" xfId="1" applyNumberFormat="1" applyFont="1" applyFill="1" applyAlignment="1" applyProtection="1">
      <alignment horizontal="center" vertical="center"/>
      <protection hidden="1"/>
    </xf>
    <xf numFmtId="0" fontId="23" fillId="14" borderId="0" xfId="0" applyFont="1" applyFill="1" applyAlignment="1" applyProtection="1">
      <alignment horizontal="center" vertical="center"/>
      <protection hidden="1"/>
    </xf>
    <xf numFmtId="0" fontId="14" fillId="14" borderId="0" xfId="0" applyFont="1" applyFill="1" applyAlignment="1" applyProtection="1">
      <alignment horizontal="center" vertical="center" wrapText="1"/>
      <protection hidden="1"/>
    </xf>
    <xf numFmtId="8" fontId="14" fillId="14" borderId="0" xfId="0" applyNumberFormat="1" applyFont="1" applyFill="1" applyAlignment="1" applyProtection="1">
      <alignment horizontal="center" vertical="center" wrapText="1"/>
      <protection hidden="1"/>
    </xf>
    <xf numFmtId="8" fontId="23" fillId="14" borderId="0" xfId="0" applyNumberFormat="1" applyFont="1" applyFill="1" applyAlignment="1" applyProtection="1">
      <alignment horizontal="center" vertical="center" wrapText="1"/>
      <protection hidden="1"/>
    </xf>
    <xf numFmtId="14" fontId="23" fillId="0" borderId="0" xfId="0" applyNumberFormat="1" applyFont="1" applyAlignment="1" applyProtection="1">
      <alignment horizontal="center"/>
      <protection hidden="1"/>
    </xf>
    <xf numFmtId="0" fontId="4" fillId="18" borderId="9" xfId="0" applyFont="1" applyFill="1" applyBorder="1" applyAlignment="1">
      <alignment horizontal="center" vertical="center"/>
    </xf>
    <xf numFmtId="0" fontId="4" fillId="21" borderId="13" xfId="0" applyFont="1" applyFill="1" applyBorder="1" applyAlignment="1">
      <alignment horizontal="center" vertical="center"/>
    </xf>
    <xf numFmtId="0" fontId="4" fillId="12" borderId="15" xfId="0" applyFont="1" applyFill="1" applyBorder="1" applyAlignment="1">
      <alignment horizontal="center" vertical="center"/>
    </xf>
    <xf numFmtId="0" fontId="4" fillId="23" borderId="11" xfId="0" applyFont="1" applyFill="1" applyBorder="1" applyAlignment="1">
      <alignment horizontal="center" vertical="center"/>
    </xf>
    <xf numFmtId="0" fontId="4" fillId="21" borderId="11" xfId="0" applyFont="1" applyFill="1" applyBorder="1" applyAlignment="1">
      <alignment horizontal="center" vertical="center"/>
    </xf>
    <xf numFmtId="0" fontId="4" fillId="14" borderId="11" xfId="0" applyFont="1" applyFill="1" applyBorder="1" applyAlignment="1">
      <alignment horizontal="center" vertical="center"/>
    </xf>
    <xf numFmtId="0" fontId="26" fillId="10" borderId="9" xfId="0" applyFont="1" applyFill="1" applyBorder="1" applyAlignment="1">
      <alignment horizontal="center" vertical="center"/>
    </xf>
    <xf numFmtId="0" fontId="4" fillId="10" borderId="44" xfId="0" applyFont="1" applyFill="1" applyBorder="1" applyAlignment="1">
      <alignment horizontal="center" vertical="center"/>
    </xf>
    <xf numFmtId="8" fontId="4" fillId="10" borderId="73" xfId="0" applyNumberFormat="1" applyFont="1" applyFill="1" applyBorder="1" applyAlignment="1">
      <alignment horizontal="center" vertical="center"/>
    </xf>
    <xf numFmtId="8" fontId="4" fillId="10" borderId="74" xfId="0" applyNumberFormat="1" applyFont="1" applyFill="1" applyBorder="1" applyAlignment="1">
      <alignment horizontal="center" vertical="center"/>
    </xf>
    <xf numFmtId="0" fontId="27" fillId="21" borderId="42" xfId="0" applyFont="1" applyFill="1" applyBorder="1" applyAlignment="1">
      <alignment horizontal="center" vertical="center"/>
    </xf>
    <xf numFmtId="0" fontId="33" fillId="10" borderId="60" xfId="0" applyFont="1" applyFill="1" applyBorder="1" applyAlignment="1">
      <alignment horizontal="center" vertical="center"/>
    </xf>
    <xf numFmtId="8" fontId="0" fillId="0" borderId="15" xfId="0" applyNumberFormat="1" applyBorder="1" applyAlignment="1">
      <alignment horizontal="center" vertical="center"/>
    </xf>
    <xf numFmtId="8" fontId="0" fillId="0" borderId="11" xfId="0" applyNumberFormat="1" applyBorder="1" applyAlignment="1">
      <alignment horizontal="center" vertical="center"/>
    </xf>
    <xf numFmtId="8" fontId="0" fillId="0" borderId="1" xfId="0" applyNumberFormat="1" applyBorder="1" applyAlignment="1">
      <alignment horizontal="center" vertical="center"/>
    </xf>
    <xf numFmtId="8" fontId="0" fillId="0" borderId="20" xfId="0" applyNumberFormat="1" applyBorder="1" applyAlignment="1">
      <alignment horizontal="center" vertical="center"/>
    </xf>
    <xf numFmtId="8" fontId="0" fillId="0" borderId="19" xfId="0" applyNumberFormat="1" applyBorder="1" applyAlignment="1">
      <alignment horizontal="center" vertical="center"/>
    </xf>
    <xf numFmtId="8" fontId="0" fillId="0" borderId="13" xfId="0" applyNumberFormat="1" applyBorder="1" applyAlignment="1">
      <alignment horizontal="center" vertical="center"/>
    </xf>
    <xf numFmtId="8" fontId="0" fillId="0" borderId="5" xfId="0" applyNumberFormat="1" applyBorder="1" applyAlignment="1">
      <alignment horizontal="center" vertical="center"/>
    </xf>
    <xf numFmtId="8" fontId="0" fillId="0" borderId="21" xfId="0" applyNumberFormat="1" applyBorder="1" applyAlignment="1">
      <alignment horizontal="center" vertical="center"/>
    </xf>
    <xf numFmtId="8" fontId="0" fillId="10" borderId="33" xfId="0" applyNumberFormat="1" applyFill="1" applyBorder="1" applyAlignment="1">
      <alignment horizontal="center" vertical="center"/>
    </xf>
    <xf numFmtId="8" fontId="0" fillId="10" borderId="34" xfId="0" applyNumberFormat="1" applyFill="1" applyBorder="1" applyAlignment="1">
      <alignment horizontal="center" vertical="center"/>
    </xf>
    <xf numFmtId="0" fontId="0" fillId="10" borderId="34" xfId="0" applyFill="1" applyBorder="1" applyAlignment="1">
      <alignment horizontal="center" vertical="center"/>
    </xf>
    <xf numFmtId="8" fontId="0" fillId="10" borderId="30" xfId="0" applyNumberFormat="1" applyFill="1" applyBorder="1" applyAlignment="1">
      <alignment horizontal="center" vertical="center"/>
    </xf>
    <xf numFmtId="0" fontId="0" fillId="0" borderId="22" xfId="0" applyBorder="1" applyAlignment="1">
      <alignment vertical="center"/>
    </xf>
    <xf numFmtId="0" fontId="0" fillId="0" borderId="20" xfId="0" applyBorder="1" applyAlignment="1">
      <alignment vertical="center"/>
    </xf>
    <xf numFmtId="0" fontId="0" fillId="0" borderId="17" xfId="0" applyBorder="1" applyAlignment="1">
      <alignment vertical="center"/>
    </xf>
    <xf numFmtId="0" fontId="0" fillId="10" borderId="60" xfId="0" applyFill="1" applyBorder="1" applyAlignment="1">
      <alignment horizontal="center" vertical="center"/>
    </xf>
    <xf numFmtId="0" fontId="0" fillId="10" borderId="1" xfId="0" applyFill="1" applyBorder="1" applyAlignment="1">
      <alignment horizontal="center" vertical="center"/>
    </xf>
    <xf numFmtId="8" fontId="0" fillId="2" borderId="1" xfId="0" applyNumberFormat="1" applyFill="1" applyBorder="1" applyAlignment="1">
      <alignment horizontal="center" vertical="center"/>
    </xf>
    <xf numFmtId="0" fontId="29" fillId="12" borderId="46" xfId="0" applyFont="1" applyFill="1" applyBorder="1" applyAlignment="1">
      <alignment horizontal="center" vertical="center"/>
    </xf>
    <xf numFmtId="0" fontId="29" fillId="12" borderId="44" xfId="0" applyFont="1" applyFill="1" applyBorder="1" applyAlignment="1">
      <alignment horizontal="center" vertical="center"/>
    </xf>
    <xf numFmtId="0" fontId="29" fillId="12" borderId="45" xfId="0" applyFont="1" applyFill="1" applyBorder="1" applyAlignment="1">
      <alignment horizontal="center" vertical="center"/>
    </xf>
    <xf numFmtId="0" fontId="29" fillId="21" borderId="46" xfId="0" applyFont="1" applyFill="1" applyBorder="1" applyAlignment="1">
      <alignment horizontal="center" vertical="center"/>
    </xf>
    <xf numFmtId="0" fontId="29" fillId="21" borderId="44" xfId="0" applyFont="1" applyFill="1" applyBorder="1" applyAlignment="1">
      <alignment horizontal="center" vertical="center"/>
    </xf>
    <xf numFmtId="0" fontId="29" fillId="21" borderId="45" xfId="0" applyFont="1" applyFill="1" applyBorder="1" applyAlignment="1">
      <alignment horizontal="center" vertical="center"/>
    </xf>
    <xf numFmtId="0" fontId="0" fillId="0" borderId="24" xfId="0" applyBorder="1" applyAlignment="1">
      <alignment horizontal="center" vertical="center"/>
    </xf>
    <xf numFmtId="0" fontId="23" fillId="24" borderId="0" xfId="0" applyFont="1" applyFill="1" applyAlignment="1" applyProtection="1">
      <alignment horizontal="center" vertical="center"/>
      <protection hidden="1"/>
    </xf>
    <xf numFmtId="0" fontId="14" fillId="24" borderId="0" xfId="0" applyFont="1" applyFill="1" applyAlignment="1" applyProtection="1">
      <alignment horizontal="center" vertical="center" wrapText="1"/>
      <protection hidden="1"/>
    </xf>
    <xf numFmtId="8" fontId="14" fillId="24" borderId="0" xfId="0" applyNumberFormat="1" applyFont="1" applyFill="1" applyAlignment="1" applyProtection="1">
      <alignment horizontal="center" vertical="center" wrapText="1"/>
      <protection hidden="1"/>
    </xf>
    <xf numFmtId="8" fontId="23" fillId="24" borderId="0" xfId="0" applyNumberFormat="1" applyFont="1" applyFill="1" applyAlignment="1" applyProtection="1">
      <alignment horizontal="center" vertical="center" wrapText="1"/>
      <protection hidden="1"/>
    </xf>
    <xf numFmtId="44" fontId="21" fillId="25" borderId="0" xfId="0" applyNumberFormat="1" applyFont="1" applyFill="1" applyAlignment="1" applyProtection="1">
      <alignment horizontal="center" vertical="center"/>
      <protection hidden="1"/>
    </xf>
    <xf numFmtId="44" fontId="8" fillId="25" borderId="0" xfId="1" applyNumberFormat="1" applyFont="1" applyFill="1" applyAlignment="1" applyProtection="1">
      <alignment horizontal="center" vertical="center"/>
      <protection hidden="1"/>
    </xf>
    <xf numFmtId="44" fontId="20" fillId="25" borderId="0" xfId="0" applyNumberFormat="1" applyFont="1" applyFill="1" applyAlignment="1" applyProtection="1">
      <alignment horizontal="center" vertical="center" wrapText="1"/>
      <protection hidden="1"/>
    </xf>
    <xf numFmtId="10" fontId="21" fillId="25" borderId="0" xfId="0" applyNumberFormat="1" applyFont="1" applyFill="1" applyAlignment="1" applyProtection="1">
      <alignment horizontal="center" vertical="center" wrapText="1"/>
      <protection hidden="1"/>
    </xf>
    <xf numFmtId="168" fontId="21" fillId="25" borderId="0" xfId="0" applyNumberFormat="1" applyFont="1" applyFill="1" applyAlignment="1" applyProtection="1">
      <alignment horizontal="center" vertical="center" wrapText="1"/>
      <protection hidden="1"/>
    </xf>
    <xf numFmtId="0" fontId="4" fillId="22" borderId="11" xfId="0" applyFont="1" applyFill="1" applyBorder="1" applyAlignment="1">
      <alignment horizontal="center" vertical="center"/>
    </xf>
    <xf numFmtId="0" fontId="4" fillId="17" borderId="11" xfId="0" applyFont="1" applyFill="1" applyBorder="1" applyAlignment="1">
      <alignment horizontal="center" vertical="center"/>
    </xf>
    <xf numFmtId="0" fontId="4" fillId="25" borderId="13" xfId="0" applyFont="1" applyFill="1" applyBorder="1" applyAlignment="1">
      <alignment horizontal="center" vertical="center"/>
    </xf>
    <xf numFmtId="0" fontId="33" fillId="13" borderId="23" xfId="0" applyFont="1" applyFill="1" applyBorder="1" applyAlignment="1">
      <alignment horizontal="center" vertical="center"/>
    </xf>
    <xf numFmtId="0" fontId="0" fillId="6" borderId="3" xfId="0" applyFill="1" applyBorder="1" applyAlignment="1">
      <alignment horizontal="center" vertical="center"/>
    </xf>
    <xf numFmtId="0" fontId="33" fillId="13" borderId="3" xfId="0" applyFont="1" applyFill="1" applyBorder="1" applyAlignment="1">
      <alignment horizontal="center" vertical="center"/>
    </xf>
    <xf numFmtId="0" fontId="0" fillId="6" borderId="28" xfId="0" applyFill="1" applyBorder="1" applyAlignment="1">
      <alignment horizontal="center" vertical="center"/>
    </xf>
    <xf numFmtId="168" fontId="14" fillId="12" borderId="5" xfId="0" applyNumberFormat="1" applyFont="1" applyFill="1" applyBorder="1" applyAlignment="1" applyProtection="1">
      <alignment horizontal="center" vertical="center"/>
      <protection hidden="1"/>
    </xf>
    <xf numFmtId="168" fontId="14" fillId="12" borderId="27" xfId="0" applyNumberFormat="1" applyFont="1" applyFill="1" applyBorder="1" applyAlignment="1" applyProtection="1">
      <alignment horizontal="center" vertical="center"/>
      <protection hidden="1"/>
    </xf>
    <xf numFmtId="173" fontId="0" fillId="6" borderId="12" xfId="0" applyNumberFormat="1" applyFill="1" applyBorder="1" applyAlignment="1">
      <alignment horizontal="center"/>
    </xf>
    <xf numFmtId="173" fontId="0" fillId="6" borderId="14" xfId="0" applyNumberFormat="1" applyFill="1" applyBorder="1" applyAlignment="1">
      <alignment horizontal="center"/>
    </xf>
    <xf numFmtId="173" fontId="33" fillId="13" borderId="10" xfId="0" applyNumberFormat="1" applyFont="1" applyFill="1" applyBorder="1" applyAlignment="1">
      <alignment horizontal="center" vertical="center"/>
    </xf>
    <xf numFmtId="173" fontId="0" fillId="6" borderId="29" xfId="0" applyNumberFormat="1" applyFill="1" applyBorder="1" applyAlignment="1">
      <alignment horizontal="center" vertical="center"/>
    </xf>
    <xf numFmtId="168" fontId="14" fillId="12" borderId="25" xfId="0" applyNumberFormat="1" applyFont="1" applyFill="1" applyBorder="1" applyAlignment="1" applyProtection="1">
      <alignment horizontal="center" vertical="center"/>
      <protection hidden="1"/>
    </xf>
    <xf numFmtId="0" fontId="0" fillId="0" borderId="16"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0" fillId="0" borderId="29" xfId="0" applyBorder="1" applyAlignment="1">
      <alignment vertical="center"/>
    </xf>
    <xf numFmtId="8" fontId="0" fillId="2" borderId="26" xfId="0" applyNumberFormat="1" applyFill="1" applyBorder="1" applyAlignment="1">
      <alignment horizontal="center" vertical="center"/>
    </xf>
    <xf numFmtId="8" fontId="0" fillId="2" borderId="74" xfId="0" applyNumberFormat="1" applyFill="1" applyBorder="1" applyAlignment="1">
      <alignment horizontal="center" vertical="center"/>
    </xf>
    <xf numFmtId="3" fontId="0" fillId="2" borderId="16" xfId="0" applyNumberFormat="1" applyFill="1" applyBorder="1" applyAlignment="1" applyProtection="1">
      <alignment horizontal="center" vertical="center"/>
      <protection locked="0"/>
    </xf>
    <xf numFmtId="0" fontId="0" fillId="2" borderId="1" xfId="0" applyFill="1" applyBorder="1" applyAlignment="1">
      <alignment vertical="center"/>
    </xf>
    <xf numFmtId="173" fontId="33" fillId="6" borderId="11" xfId="0" applyNumberFormat="1" applyFont="1" applyFill="1" applyBorder="1" applyAlignment="1">
      <alignment horizontal="center"/>
    </xf>
    <xf numFmtId="173" fontId="33" fillId="6" borderId="1" xfId="0" applyNumberFormat="1" applyFont="1" applyFill="1" applyBorder="1" applyAlignment="1">
      <alignment horizontal="center"/>
    </xf>
    <xf numFmtId="173" fontId="33" fillId="6" borderId="1" xfId="0" applyNumberFormat="1" applyFont="1" applyFill="1" applyBorder="1" applyAlignment="1">
      <alignment horizontal="center" vertical="center"/>
    </xf>
    <xf numFmtId="173" fontId="33" fillId="6" borderId="12" xfId="0" applyNumberFormat="1" applyFont="1" applyFill="1" applyBorder="1" applyAlignment="1">
      <alignment horizontal="center" vertical="center"/>
    </xf>
    <xf numFmtId="0" fontId="42" fillId="0" borderId="0" xfId="1" applyFont="1" applyAlignment="1" applyProtection="1">
      <alignment horizontal="center" vertical="center"/>
      <protection hidden="1"/>
    </xf>
    <xf numFmtId="3" fontId="1" fillId="0" borderId="0" xfId="1" applyNumberFormat="1" applyFont="1" applyAlignment="1" applyProtection="1">
      <alignment horizontal="center" vertical="center"/>
      <protection hidden="1"/>
    </xf>
    <xf numFmtId="0" fontId="12" fillId="2" borderId="0" xfId="0" applyFont="1" applyFill="1" applyAlignment="1" applyProtection="1">
      <alignment horizontal="center" vertical="center"/>
      <protection hidden="1"/>
    </xf>
    <xf numFmtId="0" fontId="34" fillId="25" borderId="46" xfId="0" applyFont="1" applyFill="1" applyBorder="1" applyAlignment="1">
      <alignment horizontal="center" vertical="center"/>
    </xf>
    <xf numFmtId="0" fontId="34" fillId="25" borderId="45" xfId="0" applyFont="1" applyFill="1" applyBorder="1" applyAlignment="1">
      <alignment horizontal="center" vertical="center"/>
    </xf>
    <xf numFmtId="0" fontId="4" fillId="11" borderId="0" xfId="0" applyFont="1" applyFill="1" applyAlignment="1">
      <alignment horizontal="center" vertical="center" wrapText="1"/>
    </xf>
    <xf numFmtId="0" fontId="0" fillId="0" borderId="0" xfId="0" applyAlignment="1">
      <alignment horizontal="center" vertical="center" wrapText="1"/>
    </xf>
    <xf numFmtId="0" fontId="29" fillId="11" borderId="6" xfId="0" applyFont="1" applyFill="1" applyBorder="1" applyAlignment="1">
      <alignment horizontal="center" vertical="center"/>
    </xf>
    <xf numFmtId="0" fontId="29" fillId="11" borderId="7" xfId="0" applyFont="1" applyFill="1" applyBorder="1" applyAlignment="1">
      <alignment horizontal="center" vertical="center"/>
    </xf>
    <xf numFmtId="0" fontId="29" fillId="10" borderId="11" xfId="0" applyFont="1" applyFill="1" applyBorder="1" applyAlignment="1">
      <alignment horizontal="center" vertical="center"/>
    </xf>
    <xf numFmtId="0" fontId="29" fillId="10" borderId="1" xfId="0" applyFont="1" applyFill="1" applyBorder="1" applyAlignment="1">
      <alignment horizontal="center" vertical="center"/>
    </xf>
    <xf numFmtId="0" fontId="0" fillId="2" borderId="1"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41" fillId="10" borderId="11" xfId="0" applyFont="1" applyFill="1" applyBorder="1" applyAlignment="1">
      <alignment horizontal="center" vertical="center"/>
    </xf>
    <xf numFmtId="0" fontId="41" fillId="10" borderId="1" xfId="0" applyFont="1" applyFill="1" applyBorder="1" applyAlignment="1">
      <alignment horizontal="center" vertical="center"/>
    </xf>
    <xf numFmtId="168" fontId="0" fillId="2" borderId="1" xfId="0" applyNumberFormat="1" applyFill="1" applyBorder="1" applyAlignment="1" applyProtection="1">
      <alignment horizontal="center" vertical="center"/>
      <protection locked="0"/>
    </xf>
    <xf numFmtId="168" fontId="0" fillId="2" borderId="12" xfId="0" applyNumberFormat="1" applyFill="1" applyBorder="1" applyAlignment="1" applyProtection="1">
      <alignment horizontal="center" vertical="center"/>
      <protection locked="0"/>
    </xf>
    <xf numFmtId="0" fontId="34" fillId="2" borderId="6" xfId="0" applyFont="1" applyFill="1" applyBorder="1" applyAlignment="1">
      <alignment horizontal="center" vertical="center"/>
    </xf>
    <xf numFmtId="0" fontId="34" fillId="2" borderId="48" xfId="0" applyFont="1" applyFill="1" applyBorder="1" applyAlignment="1">
      <alignment horizontal="center" vertical="center"/>
    </xf>
    <xf numFmtId="0" fontId="39" fillId="2" borderId="7" xfId="0" applyFont="1" applyFill="1" applyBorder="1" applyAlignment="1">
      <alignment horizontal="center" vertical="center"/>
    </xf>
    <xf numFmtId="0" fontId="27" fillId="11" borderId="0" xfId="0" applyFont="1" applyFill="1" applyAlignment="1">
      <alignment horizontal="center" vertical="center"/>
    </xf>
    <xf numFmtId="8" fontId="4" fillId="11" borderId="0" xfId="0" applyNumberFormat="1" applyFont="1" applyFill="1" applyAlignment="1">
      <alignment horizontal="center" vertical="center"/>
    </xf>
    <xf numFmtId="0" fontId="34" fillId="2" borderId="8" xfId="0" applyFont="1" applyFill="1" applyBorder="1" applyAlignment="1">
      <alignment horizontal="center" vertical="center"/>
    </xf>
    <xf numFmtId="0" fontId="34" fillId="2" borderId="50" xfId="0" applyFont="1" applyFill="1" applyBorder="1" applyAlignment="1">
      <alignment horizontal="center" vertical="center"/>
    </xf>
    <xf numFmtId="0" fontId="39" fillId="2" borderId="50" xfId="0" applyFont="1" applyFill="1" applyBorder="1" applyAlignment="1">
      <alignment horizontal="center" vertical="center"/>
    </xf>
    <xf numFmtId="0" fontId="39" fillId="2" borderId="51" xfId="0" applyFont="1" applyFill="1" applyBorder="1" applyAlignment="1">
      <alignment horizontal="center" vertical="center"/>
    </xf>
    <xf numFmtId="0" fontId="29" fillId="10" borderId="15" xfId="0" applyFont="1" applyFill="1" applyBorder="1" applyAlignment="1">
      <alignment horizontal="center" vertical="center"/>
    </xf>
    <xf numFmtId="0" fontId="29" fillId="10" borderId="19" xfId="0" applyFont="1" applyFill="1" applyBorder="1" applyAlignment="1">
      <alignment horizontal="center" vertical="center"/>
    </xf>
    <xf numFmtId="0" fontId="0" fillId="2" borderId="19" xfId="0" applyFill="1" applyBorder="1" applyAlignment="1" applyProtection="1">
      <alignment horizontal="center" vertical="center"/>
      <protection locked="0"/>
    </xf>
    <xf numFmtId="0" fontId="0" fillId="2" borderId="16" xfId="0" applyFill="1" applyBorder="1" applyAlignment="1" applyProtection="1">
      <alignment horizontal="center" vertical="center"/>
      <protection locked="0"/>
    </xf>
    <xf numFmtId="0" fontId="39" fillId="2" borderId="48" xfId="0" applyFont="1" applyFill="1" applyBorder="1" applyAlignment="1">
      <alignment horizontal="center" vertical="center"/>
    </xf>
    <xf numFmtId="0" fontId="0" fillId="0" borderId="48" xfId="0" applyBorder="1" applyAlignment="1">
      <alignment horizontal="center" vertical="center"/>
    </xf>
    <xf numFmtId="0" fontId="0" fillId="0" borderId="7" xfId="0" applyBorder="1" applyAlignment="1">
      <alignment horizontal="center" vertical="center"/>
    </xf>
    <xf numFmtId="0" fontId="34" fillId="11" borderId="0" xfId="0" applyFont="1" applyFill="1" applyAlignment="1">
      <alignment horizontal="center" vertical="center"/>
    </xf>
    <xf numFmtId="0" fontId="38" fillId="0" borderId="0" xfId="0" applyFont="1" applyAlignment="1">
      <alignment horizontal="center" vertical="center"/>
    </xf>
    <xf numFmtId="8" fontId="0" fillId="2" borderId="12" xfId="0" applyNumberFormat="1" applyFill="1" applyBorder="1" applyAlignment="1">
      <alignment horizontal="center" vertical="center"/>
    </xf>
    <xf numFmtId="0" fontId="0" fillId="0" borderId="12" xfId="0" applyBorder="1" applyAlignment="1">
      <alignment horizontal="center" vertical="center"/>
    </xf>
    <xf numFmtId="0" fontId="0" fillId="0" borderId="50" xfId="0" applyBorder="1" applyAlignment="1">
      <alignment horizontal="center" vertical="center"/>
    </xf>
    <xf numFmtId="0" fontId="0" fillId="0" borderId="51" xfId="0" applyBorder="1" applyAlignment="1">
      <alignment horizontal="center" vertical="center"/>
    </xf>
    <xf numFmtId="0" fontId="4" fillId="16" borderId="11" xfId="0" applyFont="1" applyFill="1" applyBorder="1" applyAlignment="1">
      <alignment horizontal="center" vertical="center"/>
    </xf>
    <xf numFmtId="0" fontId="0" fillId="10" borderId="1" xfId="0" applyFill="1" applyBorder="1" applyAlignment="1">
      <alignment horizontal="center" vertical="center"/>
    </xf>
    <xf numFmtId="8" fontId="0" fillId="2" borderId="1" xfId="0" applyNumberFormat="1" applyFill="1" applyBorder="1" applyAlignment="1">
      <alignment horizontal="center" vertical="center"/>
    </xf>
    <xf numFmtId="0" fontId="40" fillId="2" borderId="6" xfId="0" applyFont="1" applyFill="1" applyBorder="1" applyAlignment="1">
      <alignment horizontal="center" vertical="center"/>
    </xf>
    <xf numFmtId="0" fontId="40" fillId="2" borderId="7" xfId="0" applyFont="1" applyFill="1" applyBorder="1" applyAlignment="1">
      <alignment horizontal="center" vertical="center"/>
    </xf>
    <xf numFmtId="10" fontId="0" fillId="2" borderId="28" xfId="0" applyNumberFormat="1" applyFill="1" applyBorder="1" applyAlignment="1" applyProtection="1">
      <alignment horizontal="center" vertical="center"/>
      <protection locked="0"/>
    </xf>
    <xf numFmtId="10" fontId="0" fillId="2" borderId="63" xfId="0" applyNumberFormat="1" applyFill="1" applyBorder="1" applyAlignment="1" applyProtection="1">
      <alignment horizontal="center" vertical="center"/>
      <protection locked="0"/>
    </xf>
    <xf numFmtId="0" fontId="27" fillId="23" borderId="46" xfId="0" applyFont="1" applyFill="1" applyBorder="1" applyAlignment="1">
      <alignment horizontal="center" vertical="center"/>
    </xf>
    <xf numFmtId="0" fontId="27" fillId="23" borderId="44" xfId="0" applyFont="1" applyFill="1" applyBorder="1" applyAlignment="1">
      <alignment horizontal="center" vertical="center"/>
    </xf>
    <xf numFmtId="0" fontId="27" fillId="23" borderId="45" xfId="0" applyFont="1" applyFill="1" applyBorder="1" applyAlignment="1">
      <alignment horizontal="center" vertical="center"/>
    </xf>
    <xf numFmtId="0" fontId="27" fillId="21" borderId="8" xfId="0" applyFont="1" applyFill="1" applyBorder="1" applyAlignment="1">
      <alignment horizontal="center" vertical="center"/>
    </xf>
    <xf numFmtId="0" fontId="27" fillId="21" borderId="42" xfId="0" applyFont="1" applyFill="1" applyBorder="1" applyAlignment="1">
      <alignment horizontal="center" vertical="center"/>
    </xf>
    <xf numFmtId="0" fontId="29" fillId="10" borderId="34" xfId="0" applyFont="1" applyFill="1" applyBorder="1" applyAlignment="1">
      <alignment horizontal="center" vertical="center"/>
    </xf>
    <xf numFmtId="0" fontId="29" fillId="10" borderId="5" xfId="0" applyFont="1" applyFill="1" applyBorder="1" applyAlignment="1">
      <alignment horizontal="center" vertical="center"/>
    </xf>
    <xf numFmtId="0" fontId="0" fillId="2" borderId="3" xfId="0" applyFill="1" applyBorder="1" applyAlignment="1" applyProtection="1">
      <alignment horizontal="center" vertical="center"/>
      <protection locked="0"/>
    </xf>
    <xf numFmtId="0" fontId="0" fillId="2" borderId="47" xfId="0" applyFill="1" applyBorder="1" applyAlignment="1" applyProtection="1">
      <alignment horizontal="center" vertical="center"/>
      <protection locked="0"/>
    </xf>
    <xf numFmtId="0" fontId="29" fillId="10" borderId="30" xfId="0" applyFont="1" applyFill="1" applyBorder="1" applyAlignment="1">
      <alignment horizontal="center" vertical="center"/>
    </xf>
    <xf numFmtId="0" fontId="29" fillId="10" borderId="27" xfId="0" applyFont="1" applyFill="1" applyBorder="1" applyAlignment="1">
      <alignment horizontal="center" vertical="center"/>
    </xf>
    <xf numFmtId="0" fontId="0" fillId="0" borderId="3" xfId="0" applyBorder="1" applyAlignment="1">
      <alignment horizontal="center" vertical="center"/>
    </xf>
    <xf numFmtId="0" fontId="0" fillId="0" borderId="47" xfId="0" applyBorder="1" applyAlignment="1">
      <alignment horizontal="center" vertical="center"/>
    </xf>
    <xf numFmtId="0" fontId="27" fillId="17" borderId="46" xfId="0" applyFont="1" applyFill="1" applyBorder="1" applyAlignment="1">
      <alignment horizontal="center" vertical="center"/>
    </xf>
    <xf numFmtId="0" fontId="27" fillId="17" borderId="44" xfId="0" applyFont="1" applyFill="1" applyBorder="1" applyAlignment="1">
      <alignment horizontal="center" vertical="center"/>
    </xf>
    <xf numFmtId="0" fontId="27" fillId="17" borderId="45" xfId="0" applyFont="1" applyFill="1" applyBorder="1" applyAlignment="1">
      <alignment horizontal="center" vertical="center"/>
    </xf>
    <xf numFmtId="0" fontId="4" fillId="22" borderId="8" xfId="0" applyFont="1" applyFill="1" applyBorder="1" applyAlignment="1">
      <alignment horizontal="center" vertical="center"/>
    </xf>
    <xf numFmtId="0" fontId="4" fillId="22" borderId="42" xfId="0" applyFont="1" applyFill="1" applyBorder="1" applyAlignment="1">
      <alignment horizontal="center" vertical="center"/>
    </xf>
    <xf numFmtId="0" fontId="4" fillId="22" borderId="43" xfId="0" applyFont="1" applyFill="1" applyBorder="1" applyAlignment="1">
      <alignment horizontal="center" vertical="center"/>
    </xf>
    <xf numFmtId="0" fontId="27" fillId="20" borderId="46" xfId="0" applyFont="1" applyFill="1" applyBorder="1" applyAlignment="1">
      <alignment horizontal="center" vertical="center"/>
    </xf>
    <xf numFmtId="0" fontId="27" fillId="20" borderId="44" xfId="0" applyFont="1" applyFill="1" applyBorder="1" applyAlignment="1">
      <alignment horizontal="center" vertical="center"/>
    </xf>
    <xf numFmtId="0" fontId="27" fillId="20" borderId="45" xfId="0" applyFont="1" applyFill="1" applyBorder="1" applyAlignment="1">
      <alignment horizontal="center" vertical="center"/>
    </xf>
    <xf numFmtId="0" fontId="27" fillId="14" borderId="46" xfId="0" applyFont="1" applyFill="1" applyBorder="1" applyAlignment="1">
      <alignment horizontal="center" vertical="center"/>
    </xf>
    <xf numFmtId="0" fontId="27" fillId="14" borderId="44" xfId="0" applyFont="1" applyFill="1" applyBorder="1" applyAlignment="1">
      <alignment horizontal="center" vertical="center"/>
    </xf>
    <xf numFmtId="0" fontId="27" fillId="14" borderId="45"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42" xfId="0" applyFont="1" applyFill="1" applyBorder="1" applyAlignment="1">
      <alignment horizontal="center" vertical="center"/>
    </xf>
    <xf numFmtId="0" fontId="27" fillId="16" borderId="43" xfId="0" applyFont="1" applyFill="1" applyBorder="1" applyAlignment="1">
      <alignment horizontal="center" vertical="center"/>
    </xf>
    <xf numFmtId="44" fontId="25" fillId="0" borderId="0" xfId="0" applyNumberFormat="1" applyFont="1" applyAlignment="1" applyProtection="1">
      <alignment horizontal="center" vertical="center"/>
      <protection hidden="1"/>
    </xf>
    <xf numFmtId="0" fontId="5" fillId="0" borderId="0" xfId="0" applyFont="1" applyAlignment="1">
      <alignment horizontal="center" vertical="center" wrapText="1"/>
    </xf>
    <xf numFmtId="0" fontId="24" fillId="0" borderId="0" xfId="0" applyFont="1" applyAlignment="1" applyProtection="1">
      <alignment horizontal="center" vertical="top"/>
      <protection hidden="1"/>
    </xf>
    <xf numFmtId="0" fontId="1" fillId="0" borderId="0" xfId="1" applyFont="1" applyAlignment="1" applyProtection="1">
      <alignment horizontal="center" vertical="center"/>
      <protection hidden="1"/>
    </xf>
    <xf numFmtId="167" fontId="1" fillId="0" borderId="0" xfId="1" applyNumberFormat="1" applyFont="1" applyAlignment="1" applyProtection="1">
      <alignment horizontal="center" vertical="center"/>
      <protection hidden="1"/>
    </xf>
    <xf numFmtId="10" fontId="14" fillId="0" borderId="0" xfId="4" applyNumberFormat="1" applyFont="1" applyAlignment="1" applyProtection="1">
      <alignment horizontal="center" vertical="center"/>
      <protection hidden="1"/>
    </xf>
    <xf numFmtId="9" fontId="14" fillId="0" borderId="0" xfId="4" applyFont="1" applyAlignment="1" applyProtection="1">
      <alignment horizontal="center" vertical="center"/>
      <protection hidden="1"/>
    </xf>
    <xf numFmtId="0" fontId="3" fillId="3" borderId="0" xfId="2" applyBorder="1" applyAlignment="1">
      <alignment horizontal="center"/>
    </xf>
    <xf numFmtId="0" fontId="35" fillId="0" borderId="0" xfId="3" applyBorder="1" applyAlignment="1">
      <alignment horizontal="center"/>
    </xf>
    <xf numFmtId="0" fontId="5" fillId="0" borderId="0" xfId="0" applyFont="1" applyAlignment="1">
      <alignment horizontal="center"/>
    </xf>
    <xf numFmtId="0" fontId="1" fillId="0" borderId="0" xfId="0" applyFont="1" applyAlignment="1" applyProtection="1">
      <alignment horizontal="center" vertical="top"/>
      <protection hidden="1"/>
    </xf>
    <xf numFmtId="0" fontId="1" fillId="0" borderId="0" xfId="0" applyFont="1" applyAlignment="1" applyProtection="1">
      <alignment horizontal="center" vertical="center"/>
      <protection hidden="1"/>
    </xf>
    <xf numFmtId="0" fontId="1" fillId="0" borderId="0" xfId="0" applyFont="1" applyAlignment="1" applyProtection="1">
      <alignment horizontal="center" vertical="center" wrapText="1"/>
      <protection hidden="1"/>
    </xf>
    <xf numFmtId="0" fontId="5" fillId="0" borderId="0" xfId="0" applyFont="1" applyAlignment="1">
      <alignment horizontal="center" vertical="center"/>
    </xf>
    <xf numFmtId="0" fontId="32" fillId="2" borderId="0" xfId="0" applyFont="1" applyFill="1" applyAlignment="1">
      <alignment horizontal="center"/>
    </xf>
    <xf numFmtId="0" fontId="10" fillId="0" borderId="0" xfId="0" applyFont="1" applyAlignment="1" applyProtection="1">
      <alignment horizontal="center" vertical="top"/>
      <protection hidden="1"/>
    </xf>
    <xf numFmtId="0" fontId="7" fillId="2" borderId="0" xfId="0" applyFont="1" applyFill="1" applyAlignment="1">
      <alignment horizontal="center"/>
    </xf>
    <xf numFmtId="0" fontId="26" fillId="0" borderId="0" xfId="0" applyFont="1" applyAlignment="1" applyProtection="1">
      <alignment horizontal="center" vertical="top"/>
      <protection hidden="1"/>
    </xf>
    <xf numFmtId="0" fontId="4" fillId="0" borderId="0" xfId="0" applyFont="1" applyAlignment="1">
      <alignment horizontal="left"/>
    </xf>
    <xf numFmtId="0" fontId="0" fillId="0" borderId="0" xfId="0" applyAlignment="1">
      <alignment horizontal="left"/>
    </xf>
    <xf numFmtId="10" fontId="1" fillId="0" borderId="0" xfId="1" applyNumberFormat="1" applyFont="1" applyAlignment="1" applyProtection="1">
      <alignment horizontal="center" vertical="center"/>
      <protection hidden="1"/>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17" xfId="0" applyBorder="1" applyAlignment="1">
      <alignment horizontal="center" vertical="center"/>
    </xf>
    <xf numFmtId="0" fontId="0" fillId="0" borderId="26" xfId="0" applyBorder="1" applyAlignment="1">
      <alignment horizontal="center" vertical="center"/>
    </xf>
    <xf numFmtId="0" fontId="0" fillId="0" borderId="15" xfId="0" applyBorder="1" applyAlignment="1">
      <alignment horizontal="center" vertical="center"/>
    </xf>
    <xf numFmtId="0" fontId="0" fillId="0" borderId="19" xfId="0" applyBorder="1" applyAlignment="1">
      <alignment horizontal="center" vertical="center"/>
    </xf>
    <xf numFmtId="0" fontId="0" fillId="0" borderId="53" xfId="0"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33" fillId="0" borderId="19" xfId="0" applyFont="1" applyBorder="1" applyAlignment="1">
      <alignment horizontal="center" vertical="center"/>
    </xf>
    <xf numFmtId="0" fontId="33" fillId="0" borderId="1" xfId="0" applyFont="1" applyBorder="1" applyAlignment="1">
      <alignment horizontal="center" vertical="center"/>
    </xf>
    <xf numFmtId="0" fontId="33" fillId="0" borderId="20" xfId="0" applyFont="1" applyBorder="1" applyAlignment="1">
      <alignment horizontal="center" vertical="center"/>
    </xf>
    <xf numFmtId="0" fontId="33" fillId="0" borderId="22" xfId="0" applyFont="1" applyBorder="1" applyAlignment="1">
      <alignment horizontal="center" vertical="center"/>
    </xf>
    <xf numFmtId="0" fontId="0" fillId="0" borderId="10" xfId="0" applyBorder="1" applyAlignment="1">
      <alignment horizontal="center" vertical="center"/>
    </xf>
    <xf numFmtId="0" fontId="0" fillId="0" borderId="29" xfId="0" applyBorder="1" applyAlignment="1">
      <alignment horizontal="center" vertical="center"/>
    </xf>
    <xf numFmtId="0" fontId="0" fillId="0" borderId="8" xfId="0"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41" xfId="0" applyBorder="1" applyAlignment="1">
      <alignment horizontal="center" vertical="center" wrapText="1"/>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0"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4" fillId="0" borderId="48" xfId="0" applyFont="1" applyBorder="1" applyAlignment="1">
      <alignment horizontal="center" vertical="center"/>
    </xf>
    <xf numFmtId="0" fontId="0" fillId="0" borderId="8" xfId="0" applyBorder="1" applyAlignment="1">
      <alignment horizontal="center" vertical="center" wrapText="1"/>
    </xf>
    <xf numFmtId="0" fontId="0" fillId="0" borderId="50" xfId="0" applyBorder="1" applyAlignment="1">
      <alignment horizontal="center" vertical="center" wrapText="1"/>
    </xf>
    <xf numFmtId="0" fontId="0" fillId="0" borderId="42" xfId="0" applyBorder="1" applyAlignment="1">
      <alignment horizontal="center" vertical="center" wrapText="1"/>
    </xf>
    <xf numFmtId="0" fontId="0" fillId="0" borderId="35" xfId="0" applyBorder="1" applyAlignment="1">
      <alignment horizontal="center" vertical="center"/>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0" fillId="0" borderId="10" xfId="0" applyBorder="1" applyAlignment="1">
      <alignment horizontal="center" vertical="center" wrapText="1"/>
    </xf>
    <xf numFmtId="0" fontId="0" fillId="0" borderId="29"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30" xfId="0" applyBorder="1" applyAlignment="1">
      <alignment horizontal="center" vertical="center" wrapText="1"/>
    </xf>
    <xf numFmtId="0" fontId="0" fillId="0" borderId="9" xfId="0" applyBorder="1" applyAlignment="1">
      <alignment horizontal="center" vertical="center" wrapText="1"/>
    </xf>
    <xf numFmtId="0" fontId="0" fillId="0" borderId="26" xfId="0" applyBorder="1" applyAlignment="1">
      <alignment horizontal="center" vertical="center" wrapText="1"/>
    </xf>
    <xf numFmtId="0" fontId="0" fillId="0" borderId="51" xfId="0" applyBorder="1" applyAlignment="1">
      <alignment horizontal="center" vertical="center" wrapText="1"/>
    </xf>
    <xf numFmtId="0" fontId="0" fillId="0" borderId="16" xfId="0" applyBorder="1" applyAlignment="1">
      <alignment horizontal="center" vertical="center"/>
    </xf>
    <xf numFmtId="0" fontId="4" fillId="0" borderId="8" xfId="0" applyFont="1" applyBorder="1" applyAlignment="1">
      <alignment horizontal="center" vertical="center"/>
    </xf>
    <xf numFmtId="0" fontId="4" fillId="0" borderId="50" xfId="0" applyFont="1" applyBorder="1" applyAlignment="1">
      <alignment horizontal="center" vertical="center"/>
    </xf>
    <xf numFmtId="0" fontId="0" fillId="0" borderId="57" xfId="0" applyBorder="1" applyAlignment="1">
      <alignment horizontal="center" vertical="center" wrapText="1"/>
    </xf>
    <xf numFmtId="0" fontId="4" fillId="0" borderId="42" xfId="0" applyFont="1" applyBorder="1" applyAlignment="1">
      <alignment horizontal="center" vertical="center"/>
    </xf>
    <xf numFmtId="0" fontId="4" fillId="0" borderId="0" xfId="0" applyFont="1" applyAlignment="1">
      <alignment horizontal="center"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0" borderId="60" xfId="0" applyBorder="1" applyAlignment="1">
      <alignment horizontal="center" vertical="center" wrapText="1"/>
    </xf>
    <xf numFmtId="0" fontId="22" fillId="3" borderId="3" xfId="2"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0" borderId="0" xfId="0" applyFont="1" applyAlignment="1" applyProtection="1">
      <alignment horizontal="center" vertical="center"/>
      <protection hidden="1"/>
    </xf>
    <xf numFmtId="0" fontId="5" fillId="0" borderId="9" xfId="0" applyFont="1" applyBorder="1" applyAlignment="1">
      <alignment horizontal="center" vertical="center"/>
    </xf>
    <xf numFmtId="0" fontId="5" fillId="0" borderId="11" xfId="0" applyFont="1" applyBorder="1" applyAlignment="1">
      <alignment horizontal="center" vertical="center"/>
    </xf>
    <xf numFmtId="0" fontId="5" fillId="0" borderId="13" xfId="0" applyFont="1" applyBorder="1" applyAlignment="1">
      <alignment horizontal="center" vertical="center"/>
    </xf>
    <xf numFmtId="0" fontId="5" fillId="0" borderId="50" xfId="0" applyFont="1" applyBorder="1" applyAlignment="1">
      <alignment horizontal="center" vertical="center"/>
    </xf>
    <xf numFmtId="0" fontId="5" fillId="0" borderId="51" xfId="0" applyFont="1" applyBorder="1" applyAlignment="1">
      <alignment horizontal="center" vertical="center"/>
    </xf>
    <xf numFmtId="0" fontId="5" fillId="0" borderId="26" xfId="0" applyFont="1" applyBorder="1" applyAlignment="1">
      <alignment horizontal="center" vertical="center"/>
    </xf>
    <xf numFmtId="0" fontId="5" fillId="0" borderId="15" xfId="0" applyFont="1" applyBorder="1" applyAlignment="1">
      <alignment horizontal="center" vertical="center"/>
    </xf>
    <xf numFmtId="0" fontId="5" fillId="0" borderId="65" xfId="0" applyFont="1" applyBorder="1" applyAlignment="1">
      <alignment horizontal="center" vertical="center"/>
    </xf>
    <xf numFmtId="0" fontId="5" fillId="0" borderId="66" xfId="0" applyFont="1" applyBorder="1" applyAlignment="1">
      <alignment horizontal="center" vertical="center"/>
    </xf>
    <xf numFmtId="171" fontId="26" fillId="0" borderId="6" xfId="0" applyNumberFormat="1" applyFont="1" applyBorder="1" applyAlignment="1">
      <alignment horizontal="center" vertical="center"/>
    </xf>
    <xf numFmtId="171" fontId="26" fillId="0" borderId="48" xfId="0" applyNumberFormat="1" applyFont="1" applyBorder="1" applyAlignment="1">
      <alignment horizontal="center" vertical="center"/>
    </xf>
    <xf numFmtId="171" fontId="26" fillId="0" borderId="7" xfId="0" applyNumberFormat="1" applyFont="1" applyBorder="1" applyAlignment="1">
      <alignment horizontal="center" vertical="center"/>
    </xf>
    <xf numFmtId="171" fontId="5" fillId="0" borderId="52" xfId="0" applyNumberFormat="1" applyFont="1" applyBorder="1" applyAlignment="1">
      <alignment horizontal="center" vertical="center"/>
    </xf>
    <xf numFmtId="171" fontId="5" fillId="0" borderId="53" xfId="0" applyNumberFormat="1" applyFont="1" applyBorder="1" applyAlignment="1">
      <alignment horizontal="center" vertical="center"/>
    </xf>
    <xf numFmtId="171" fontId="5" fillId="0" borderId="56" xfId="0" applyNumberFormat="1" applyFont="1" applyBorder="1" applyAlignment="1">
      <alignment horizontal="center" vertical="center"/>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54" xfId="0" applyFont="1" applyBorder="1" applyAlignment="1">
      <alignment horizontal="center" vertical="center"/>
    </xf>
    <xf numFmtId="0" fontId="4" fillId="0" borderId="51" xfId="0" applyFont="1" applyBorder="1" applyAlignment="1">
      <alignment horizontal="center" vertical="center"/>
    </xf>
    <xf numFmtId="0" fontId="0" fillId="2" borderId="0" xfId="0" applyFill="1" applyAlignment="1"/>
  </cellXfs>
  <cellStyles count="5">
    <cellStyle name="Hipervínculo" xfId="3" builtinId="8"/>
    <cellStyle name="Normal" xfId="0" builtinId="0"/>
    <cellStyle name="Normal 5" xfId="1" xr:uid="{00000000-0005-0000-0000-000002000000}"/>
    <cellStyle name="Porcentaje" xfId="4" builtinId="5"/>
    <cellStyle name="Salida" xfId="2" builtinId="21"/>
  </cellStyles>
  <dxfs count="1453">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dxf>
    <dxf>
      <numFmt numFmtId="174" formatCode="0.000"/>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dxf>
    <dxf>
      <numFmt numFmtId="174" formatCode="0.000"/>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F5C71F"/>
      <color rgb="FFFF9900"/>
      <color rgb="FFEEACD8"/>
      <color rgb="FFF6C744"/>
      <color rgb="FFFFFFCC"/>
      <color rgb="FFE2A7FF"/>
      <color rgb="FFFF9981"/>
      <color rgb="FFFFFF99"/>
      <color rgb="FFCC009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4.png"/><Relationship Id="rId7" Type="http://schemas.openxmlformats.org/officeDocument/2006/relationships/image" Target="../media/image1.png"/><Relationship Id="rId12" Type="http://schemas.openxmlformats.org/officeDocument/2006/relationships/image" Target="../media/image12.jp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image" Target="../media/image7.jpg"/><Relationship Id="rId11" Type="http://schemas.openxmlformats.org/officeDocument/2006/relationships/image" Target="../media/image11.jpg"/><Relationship Id="rId5" Type="http://schemas.openxmlformats.org/officeDocument/2006/relationships/image" Target="../media/image6.jpeg"/><Relationship Id="rId10" Type="http://schemas.openxmlformats.org/officeDocument/2006/relationships/image" Target="../media/image10.jp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16.jpeg"/><Relationship Id="rId7" Type="http://schemas.openxmlformats.org/officeDocument/2006/relationships/image" Target="../media/image19.jpeg"/><Relationship Id="rId2" Type="http://schemas.openxmlformats.org/officeDocument/2006/relationships/image" Target="../media/image15.png"/><Relationship Id="rId1" Type="http://schemas.openxmlformats.org/officeDocument/2006/relationships/image" Target="../media/image3.png"/><Relationship Id="rId6" Type="http://schemas.openxmlformats.org/officeDocument/2006/relationships/image" Target="../media/image18.jpeg"/><Relationship Id="rId5" Type="http://schemas.openxmlformats.org/officeDocument/2006/relationships/image" Target="../media/image17.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drawing1.xml><?xml version="1.0" encoding="utf-8"?>
<xdr:wsDr xmlns:xdr="http://schemas.openxmlformats.org/drawingml/2006/spreadsheetDrawing" xmlns:a="http://schemas.openxmlformats.org/drawingml/2006/main">
  <xdr:twoCellAnchor editAs="oneCell">
    <xdr:from>
      <xdr:col>4</xdr:col>
      <xdr:colOff>823912</xdr:colOff>
      <xdr:row>0</xdr:row>
      <xdr:rowOff>71438</xdr:rowOff>
    </xdr:from>
    <xdr:to>
      <xdr:col>12</xdr:col>
      <xdr:colOff>857249</xdr:colOff>
      <xdr:row>5</xdr:row>
      <xdr:rowOff>136355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1" t="8924" r="1660"/>
        <a:stretch/>
      </xdr:blipFill>
      <xdr:spPr>
        <a:xfrm>
          <a:off x="3526631" y="71438"/>
          <a:ext cx="6236493" cy="1065042"/>
        </a:xfrm>
        <a:prstGeom prst="rect">
          <a:avLst/>
        </a:prstGeom>
        <a:ln w="34925">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9524</xdr:colOff>
      <xdr:row>0</xdr:row>
      <xdr:rowOff>28576</xdr:rowOff>
    </xdr:from>
    <xdr:to>
      <xdr:col>10</xdr:col>
      <xdr:colOff>685799</xdr:colOff>
      <xdr:row>31</xdr:row>
      <xdr:rowOff>66676</xdr:rowOff>
    </xdr:to>
    <xdr:pic>
      <xdr:nvPicPr>
        <xdr:cNvPr id="24" name="Imagen 23" descr="2,491,957 Energía Fotos - Libres de Derechos y Gratuitas de ...">
          <a:extLst>
            <a:ext uri="{FF2B5EF4-FFF2-40B4-BE49-F238E27FC236}">
              <a16:creationId xmlns:a16="http://schemas.microsoft.com/office/drawing/2014/main" id="{BBA76FF2-E959-4366-957A-CA3AED65E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4" y="28576"/>
          <a:ext cx="8582025" cy="5524500"/>
        </a:xfrm>
        <a:prstGeom prst="rect">
          <a:avLst/>
        </a:prstGeom>
        <a:noFill/>
        <a:effectLst>
          <a:outerShdw sx="1000" sy="1000" algn="ctr" rotWithShape="0">
            <a:srgbClr val="000000"/>
          </a:outerShdw>
        </a:effectLst>
        <a:extLst>
          <a:ext uri="{909E8E84-426E-40DD-AFC4-6F175D3DCCD1}">
            <a14:hiddenFill xmlns:a14="http://schemas.microsoft.com/office/drawing/2010/main">
              <a:solidFill>
                <a:srgbClr val="FFFFFF"/>
              </a:solidFill>
            </a14:hiddenFill>
          </a:ext>
        </a:extLst>
      </xdr:spPr>
    </xdr:pic>
    <xdr:clientData/>
  </xdr:twoCellAnchor>
  <xdr:oneCellAnchor>
    <xdr:from>
      <xdr:col>0</xdr:col>
      <xdr:colOff>247650</xdr:colOff>
      <xdr:row>37</xdr:row>
      <xdr:rowOff>95250</xdr:rowOff>
    </xdr:from>
    <xdr:ext cx="2457450" cy="1141650"/>
    <xdr:pic>
      <xdr:nvPicPr>
        <xdr:cNvPr id="12" name="Imagen 11" descr="https://intranet.audaxenergia.com/admin/img/logo_Audax_energia.png">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6610350"/>
          <a:ext cx="2457450" cy="11416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561975</xdr:colOff>
      <xdr:row>31</xdr:row>
      <xdr:rowOff>66676</xdr:rowOff>
    </xdr:from>
    <xdr:to>
      <xdr:col>2</xdr:col>
      <xdr:colOff>1095375</xdr:colOff>
      <xdr:row>34</xdr:row>
      <xdr:rowOff>19050</xdr:rowOff>
    </xdr:to>
    <xdr:pic>
      <xdr:nvPicPr>
        <xdr:cNvPr id="15" name="Imagen 14" descr="https://www.123-stickers.com/4965-5190-large/sticker-total-couleur.jpg">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62200" y="5553076"/>
          <a:ext cx="533400" cy="4667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1143001</xdr:colOff>
      <xdr:row>31</xdr:row>
      <xdr:rowOff>66675</xdr:rowOff>
    </xdr:from>
    <xdr:to>
      <xdr:col>3</xdr:col>
      <xdr:colOff>504826</xdr:colOff>
      <xdr:row>33</xdr:row>
      <xdr:rowOff>161925</xdr:rowOff>
    </xdr:to>
    <xdr:pic>
      <xdr:nvPicPr>
        <xdr:cNvPr id="17" name="Imagen 16" descr="http://www.orfelectric.es/wp-content/uploads/2016/10/CYE.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943226" y="5553075"/>
          <a:ext cx="70485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142875</xdr:colOff>
      <xdr:row>31</xdr:row>
      <xdr:rowOff>72403</xdr:rowOff>
    </xdr:from>
    <xdr:to>
      <xdr:col>10</xdr:col>
      <xdr:colOff>666749</xdr:colOff>
      <xdr:row>33</xdr:row>
      <xdr:rowOff>142875</xdr:rowOff>
    </xdr:to>
    <xdr:pic>
      <xdr:nvPicPr>
        <xdr:cNvPr id="19" name="Imagen 18" descr="Ver las imágenes de origen">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362825" y="5558803"/>
          <a:ext cx="1209674" cy="413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28575</xdr:colOff>
      <xdr:row>31</xdr:row>
      <xdr:rowOff>25500</xdr:rowOff>
    </xdr:from>
    <xdr:to>
      <xdr:col>1</xdr:col>
      <xdr:colOff>807526</xdr:colOff>
      <xdr:row>34</xdr:row>
      <xdr:rowOff>19050</xdr:rowOff>
    </xdr:to>
    <xdr:pic>
      <xdr:nvPicPr>
        <xdr:cNvPr id="20" name="Imagen 19" descr="https://intranet.audaxenergia.com/admin/img/logo_Audax_energia.png">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 y="5511900"/>
          <a:ext cx="1093276" cy="50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209221</xdr:colOff>
      <xdr:row>147</xdr:row>
      <xdr:rowOff>116929</xdr:rowOff>
    </xdr:from>
    <xdr:ext cx="2478957" cy="1010364"/>
    <xdr:pic>
      <xdr:nvPicPr>
        <xdr:cNvPr id="21" name="Imagen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23546" y="25491529"/>
          <a:ext cx="2478957" cy="1010364"/>
        </a:xfrm>
        <a:prstGeom prst="rect">
          <a:avLst/>
        </a:prstGeom>
      </xdr:spPr>
    </xdr:pic>
    <xdr:clientData/>
  </xdr:oneCellAnchor>
  <xdr:twoCellAnchor editAs="oneCell">
    <xdr:from>
      <xdr:col>0</xdr:col>
      <xdr:colOff>57150</xdr:colOff>
      <xdr:row>0</xdr:row>
      <xdr:rowOff>57149</xdr:rowOff>
    </xdr:from>
    <xdr:to>
      <xdr:col>10</xdr:col>
      <xdr:colOff>672466</xdr:colOff>
      <xdr:row>8</xdr:row>
      <xdr:rowOff>126947</xdr:rowOff>
    </xdr:to>
    <xdr:pic>
      <xdr:nvPicPr>
        <xdr:cNvPr id="22" name="Imagen 21">
          <a:extLst>
            <a:ext uri="{FF2B5EF4-FFF2-40B4-BE49-F238E27FC236}">
              <a16:creationId xmlns:a16="http://schemas.microsoft.com/office/drawing/2014/main" id="{00000000-0008-0000-0100-000016000000}"/>
            </a:ext>
          </a:extLst>
        </xdr:cNvPr>
        <xdr:cNvPicPr>
          <a:picLocks noChangeAspect="1"/>
        </xdr:cNvPicPr>
      </xdr:nvPicPr>
      <xdr:blipFill rotWithShape="1">
        <a:blip xmlns:r="http://schemas.openxmlformats.org/officeDocument/2006/relationships" r:embed="rId7"/>
        <a:srcRect t="9993" r="1586"/>
        <a:stretch/>
      </xdr:blipFill>
      <xdr:spPr>
        <a:xfrm>
          <a:off x="57150" y="57149"/>
          <a:ext cx="8521066" cy="1441398"/>
        </a:xfrm>
        <a:prstGeom prst="rect">
          <a:avLst/>
        </a:prstGeom>
        <a:ln w="28575">
          <a:solidFill>
            <a:schemeClr val="tx1"/>
          </a:solidFill>
        </a:ln>
        <a:effectLst>
          <a:softEdge rad="0"/>
        </a:effectLst>
      </xdr:spPr>
    </xdr:pic>
    <xdr:clientData/>
  </xdr:twoCellAnchor>
  <xdr:twoCellAnchor editAs="oneCell">
    <xdr:from>
      <xdr:col>1</xdr:col>
      <xdr:colOff>342900</xdr:colOff>
      <xdr:row>186</xdr:row>
      <xdr:rowOff>57150</xdr:rowOff>
    </xdr:from>
    <xdr:to>
      <xdr:col>2</xdr:col>
      <xdr:colOff>1116135</xdr:colOff>
      <xdr:row>189</xdr:row>
      <xdr:rowOff>19050</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57225" y="31984950"/>
          <a:ext cx="2259135" cy="476250"/>
        </a:xfrm>
        <a:prstGeom prst="rect">
          <a:avLst/>
        </a:prstGeom>
      </xdr:spPr>
    </xdr:pic>
    <xdr:clientData/>
  </xdr:twoCellAnchor>
  <xdr:twoCellAnchor editAs="oneCell">
    <xdr:from>
      <xdr:col>1</xdr:col>
      <xdr:colOff>112623</xdr:colOff>
      <xdr:row>221</xdr:row>
      <xdr:rowOff>66674</xdr:rowOff>
    </xdr:from>
    <xdr:to>
      <xdr:col>2</xdr:col>
      <xdr:colOff>1247774</xdr:colOff>
      <xdr:row>227</xdr:row>
      <xdr:rowOff>114299</xdr:rowOff>
    </xdr:to>
    <xdr:pic>
      <xdr:nvPicPr>
        <xdr:cNvPr id="25" name="Imagen 24">
          <a:extLst>
            <a:ext uri="{FF2B5EF4-FFF2-40B4-BE49-F238E27FC236}">
              <a16:creationId xmlns:a16="http://schemas.microsoft.com/office/drawing/2014/main" id="{00000000-0008-0000-0100-000019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2593" b="7123"/>
        <a:stretch/>
      </xdr:blipFill>
      <xdr:spPr>
        <a:xfrm>
          <a:off x="426948" y="38166674"/>
          <a:ext cx="2621051" cy="1076325"/>
        </a:xfrm>
        <a:prstGeom prst="rect">
          <a:avLst/>
        </a:prstGeom>
      </xdr:spPr>
    </xdr:pic>
    <xdr:clientData/>
  </xdr:twoCellAnchor>
  <xdr:twoCellAnchor editAs="oneCell">
    <xdr:from>
      <xdr:col>6</xdr:col>
      <xdr:colOff>19050</xdr:colOff>
      <xdr:row>31</xdr:row>
      <xdr:rowOff>142875</xdr:rowOff>
    </xdr:from>
    <xdr:to>
      <xdr:col>7</xdr:col>
      <xdr:colOff>438150</xdr:colOff>
      <xdr:row>33</xdr:row>
      <xdr:rowOff>34908</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181600" y="5629275"/>
          <a:ext cx="1104900" cy="234933"/>
        </a:xfrm>
        <a:prstGeom prst="rect">
          <a:avLst/>
        </a:prstGeom>
      </xdr:spPr>
    </xdr:pic>
    <xdr:clientData/>
  </xdr:twoCellAnchor>
  <xdr:twoCellAnchor editAs="oneCell">
    <xdr:from>
      <xdr:col>1</xdr:col>
      <xdr:colOff>371475</xdr:colOff>
      <xdr:row>110</xdr:row>
      <xdr:rowOff>28575</xdr:rowOff>
    </xdr:from>
    <xdr:to>
      <xdr:col>2</xdr:col>
      <xdr:colOff>219075</xdr:colOff>
      <xdr:row>117</xdr:row>
      <xdr:rowOff>161925</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85800" y="19059525"/>
          <a:ext cx="1333500" cy="1333500"/>
        </a:xfrm>
        <a:prstGeom prst="rect">
          <a:avLst/>
        </a:prstGeom>
      </xdr:spPr>
    </xdr:pic>
    <xdr:clientData/>
  </xdr:twoCellAnchor>
  <xdr:twoCellAnchor editAs="oneCell">
    <xdr:from>
      <xdr:col>1</xdr:col>
      <xdr:colOff>504824</xdr:colOff>
      <xdr:row>259</xdr:row>
      <xdr:rowOff>47625</xdr:rowOff>
    </xdr:from>
    <xdr:to>
      <xdr:col>2</xdr:col>
      <xdr:colOff>1142999</xdr:colOff>
      <xdr:row>264</xdr:row>
      <xdr:rowOff>47625</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19149" y="44662725"/>
          <a:ext cx="2124075" cy="857250"/>
        </a:xfrm>
        <a:prstGeom prst="rect">
          <a:avLst/>
        </a:prstGeom>
      </xdr:spPr>
    </xdr:pic>
    <xdr:clientData/>
  </xdr:twoCellAnchor>
  <xdr:twoCellAnchor editAs="oneCell">
    <xdr:from>
      <xdr:col>7</xdr:col>
      <xdr:colOff>542925</xdr:colOff>
      <xdr:row>31</xdr:row>
      <xdr:rowOff>85725</xdr:rowOff>
    </xdr:from>
    <xdr:to>
      <xdr:col>9</xdr:col>
      <xdr:colOff>61189</xdr:colOff>
      <xdr:row>34</xdr:row>
      <xdr:rowOff>9525</xdr:rowOff>
    </xdr:to>
    <xdr:pic>
      <xdr:nvPicPr>
        <xdr:cNvPr id="26" name="Imagen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391275" y="5572125"/>
          <a:ext cx="889864" cy="438150"/>
        </a:xfrm>
        <a:prstGeom prst="rect">
          <a:avLst/>
        </a:prstGeom>
      </xdr:spPr>
    </xdr:pic>
    <xdr:clientData/>
  </xdr:twoCellAnchor>
  <xdr:twoCellAnchor editAs="oneCell">
    <xdr:from>
      <xdr:col>1</xdr:col>
      <xdr:colOff>342900</xdr:colOff>
      <xdr:row>297</xdr:row>
      <xdr:rowOff>9524</xdr:rowOff>
    </xdr:from>
    <xdr:to>
      <xdr:col>2</xdr:col>
      <xdr:colOff>985838</xdr:colOff>
      <xdr:row>300</xdr:row>
      <xdr:rowOff>152399</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57225" y="51139724"/>
          <a:ext cx="2128838" cy="657225"/>
        </a:xfrm>
        <a:prstGeom prst="rect">
          <a:avLst/>
        </a:prstGeom>
      </xdr:spPr>
    </xdr:pic>
    <xdr:clientData/>
  </xdr:twoCellAnchor>
  <xdr:twoCellAnchor editAs="oneCell">
    <xdr:from>
      <xdr:col>1</xdr:col>
      <xdr:colOff>871537</xdr:colOff>
      <xdr:row>31</xdr:row>
      <xdr:rowOff>66675</xdr:rowOff>
    </xdr:from>
    <xdr:to>
      <xdr:col>2</xdr:col>
      <xdr:colOff>552450</xdr:colOff>
      <xdr:row>33</xdr:row>
      <xdr:rowOff>152400</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3"/>
        <a:srcRect l="12546" t="26776" r="10612" b="33283"/>
        <a:stretch/>
      </xdr:blipFill>
      <xdr:spPr>
        <a:xfrm>
          <a:off x="1185862" y="5553075"/>
          <a:ext cx="1166813" cy="428625"/>
        </a:xfrm>
        <a:prstGeom prst="rect">
          <a:avLst/>
        </a:prstGeom>
      </xdr:spPr>
    </xdr:pic>
    <xdr:clientData/>
  </xdr:twoCellAnchor>
  <xdr:twoCellAnchor editAs="oneCell">
    <xdr:from>
      <xdr:col>3</xdr:col>
      <xdr:colOff>533400</xdr:colOff>
      <xdr:row>31</xdr:row>
      <xdr:rowOff>66676</xdr:rowOff>
    </xdr:from>
    <xdr:to>
      <xdr:col>5</xdr:col>
      <xdr:colOff>655954</xdr:colOff>
      <xdr:row>34</xdr:row>
      <xdr:rowOff>9525</xdr:rowOff>
    </xdr:to>
    <xdr:pic>
      <xdr:nvPicPr>
        <xdr:cNvPr id="7" name="Imagen 6">
          <a:extLst>
            <a:ext uri="{FF2B5EF4-FFF2-40B4-BE49-F238E27FC236}">
              <a16:creationId xmlns:a16="http://schemas.microsoft.com/office/drawing/2014/main" id="{7950C49C-5272-440E-A7AB-5EBDE27D7739}"/>
            </a:ext>
          </a:extLst>
        </xdr:cNvPr>
        <xdr:cNvPicPr>
          <a:picLocks noChangeAspect="1"/>
        </xdr:cNvPicPr>
      </xdr:nvPicPr>
      <xdr:blipFill>
        <a:blip xmlns:r="http://schemas.openxmlformats.org/officeDocument/2006/relationships" r:embed="rId14"/>
        <a:stretch>
          <a:fillRect/>
        </a:stretch>
      </xdr:blipFill>
      <xdr:spPr>
        <a:xfrm>
          <a:off x="3676650" y="5553076"/>
          <a:ext cx="1456054" cy="457199"/>
        </a:xfrm>
        <a:prstGeom prst="rect">
          <a:avLst/>
        </a:prstGeom>
      </xdr:spPr>
    </xdr:pic>
    <xdr:clientData/>
  </xdr:twoCellAnchor>
  <xdr:twoCellAnchor editAs="oneCell">
    <xdr:from>
      <xdr:col>0</xdr:col>
      <xdr:colOff>142875</xdr:colOff>
      <xdr:row>74</xdr:row>
      <xdr:rowOff>22660</xdr:rowOff>
    </xdr:from>
    <xdr:to>
      <xdr:col>2</xdr:col>
      <xdr:colOff>352425</xdr:colOff>
      <xdr:row>79</xdr:row>
      <xdr:rowOff>152200</xdr:rowOff>
    </xdr:to>
    <xdr:pic>
      <xdr:nvPicPr>
        <xdr:cNvPr id="8" name="Imagen 7">
          <a:extLst>
            <a:ext uri="{FF2B5EF4-FFF2-40B4-BE49-F238E27FC236}">
              <a16:creationId xmlns:a16="http://schemas.microsoft.com/office/drawing/2014/main" id="{48180022-25E3-4E9B-AEC4-57A5415024CE}"/>
            </a:ext>
          </a:extLst>
        </xdr:cNvPr>
        <xdr:cNvPicPr>
          <a:picLocks noChangeAspect="1"/>
        </xdr:cNvPicPr>
      </xdr:nvPicPr>
      <xdr:blipFill>
        <a:blip xmlns:r="http://schemas.openxmlformats.org/officeDocument/2006/relationships" r:embed="rId14"/>
        <a:stretch>
          <a:fillRect/>
        </a:stretch>
      </xdr:blipFill>
      <xdr:spPr>
        <a:xfrm>
          <a:off x="142875" y="12881410"/>
          <a:ext cx="2009775" cy="9867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247650</xdr:colOff>
      <xdr:row>37</xdr:row>
      <xdr:rowOff>95250</xdr:rowOff>
    </xdr:from>
    <xdr:ext cx="2457450" cy="1141650"/>
    <xdr:pic>
      <xdr:nvPicPr>
        <xdr:cNvPr id="2" name="Imagen 1" descr="https://intranet.audaxenergia.com/admin/img/logo_Audax_energia.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6610350"/>
          <a:ext cx="2457450" cy="11416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1257300</xdr:colOff>
      <xdr:row>28</xdr:row>
      <xdr:rowOff>76198</xdr:rowOff>
    </xdr:from>
    <xdr:to>
      <xdr:col>3</xdr:col>
      <xdr:colOff>485776</xdr:colOff>
      <xdr:row>31</xdr:row>
      <xdr:rowOff>133349</xdr:rowOff>
    </xdr:to>
    <xdr:pic>
      <xdr:nvPicPr>
        <xdr:cNvPr id="4" name="Imagen 3" descr="https://www.123-stickers.com/4965-5190-large/sticker-total-couleur.jpg">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57525" y="5048248"/>
          <a:ext cx="571501" cy="5715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600075</xdr:colOff>
      <xdr:row>28</xdr:row>
      <xdr:rowOff>77343</xdr:rowOff>
    </xdr:from>
    <xdr:to>
      <xdr:col>8</xdr:col>
      <xdr:colOff>213590</xdr:colOff>
      <xdr:row>31</xdr:row>
      <xdr:rowOff>123825</xdr:rowOff>
    </xdr:to>
    <xdr:pic>
      <xdr:nvPicPr>
        <xdr:cNvPr id="5" name="Imagen 4" descr="Ver las imágenes de origen">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8680" t="29787" r="28767" b="28085"/>
        <a:stretch/>
      </xdr:blipFill>
      <xdr:spPr bwMode="auto">
        <a:xfrm>
          <a:off x="5133975" y="5049393"/>
          <a:ext cx="1699490" cy="5608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152401</xdr:colOff>
      <xdr:row>28</xdr:row>
      <xdr:rowOff>9525</xdr:rowOff>
    </xdr:from>
    <xdr:to>
      <xdr:col>5</xdr:col>
      <xdr:colOff>161926</xdr:colOff>
      <xdr:row>32</xdr:row>
      <xdr:rowOff>28575</xdr:rowOff>
    </xdr:to>
    <xdr:pic>
      <xdr:nvPicPr>
        <xdr:cNvPr id="6" name="Imagen 5" descr="http://www.orfelectric.es/wp-content/uploads/2016/10/CYE.png">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990976" y="4981575"/>
          <a:ext cx="704850"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1338583</xdr:colOff>
      <xdr:row>28</xdr:row>
      <xdr:rowOff>0</xdr:rowOff>
    </xdr:from>
    <xdr:to>
      <xdr:col>2</xdr:col>
      <xdr:colOff>733424</xdr:colOff>
      <xdr:row>32</xdr:row>
      <xdr:rowOff>95250</xdr:rowOff>
    </xdr:to>
    <xdr:pic>
      <xdr:nvPicPr>
        <xdr:cNvPr id="7" name="Imagen 6" descr="https://comercial.avanzaliaenergia.com/img/avanzalia-logo-vert.png">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652908" y="4972050"/>
          <a:ext cx="880741"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370215</xdr:colOff>
      <xdr:row>28</xdr:row>
      <xdr:rowOff>5727</xdr:rowOff>
    </xdr:from>
    <xdr:to>
      <xdr:col>10</xdr:col>
      <xdr:colOff>361950</xdr:colOff>
      <xdr:row>32</xdr:row>
      <xdr:rowOff>95250</xdr:rowOff>
    </xdr:to>
    <xdr:pic>
      <xdr:nvPicPr>
        <xdr:cNvPr id="8" name="Imagen 7" descr="Ver las imágenes de origen">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990090" y="4977777"/>
          <a:ext cx="1382385" cy="7753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28</xdr:row>
      <xdr:rowOff>63600</xdr:rowOff>
    </xdr:from>
    <xdr:to>
      <xdr:col>1</xdr:col>
      <xdr:colOff>1104900</xdr:colOff>
      <xdr:row>31</xdr:row>
      <xdr:rowOff>133350</xdr:rowOff>
    </xdr:to>
    <xdr:pic>
      <xdr:nvPicPr>
        <xdr:cNvPr id="9" name="Imagen 8" descr="https://intranet.audaxenergia.com/admin/img/logo_Audax_energia.png">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035650"/>
          <a:ext cx="1257300" cy="584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161926</xdr:colOff>
      <xdr:row>73</xdr:row>
      <xdr:rowOff>85725</xdr:rowOff>
    </xdr:from>
    <xdr:to>
      <xdr:col>2</xdr:col>
      <xdr:colOff>762000</xdr:colOff>
      <xdr:row>79</xdr:row>
      <xdr:rowOff>116566</xdr:rowOff>
    </xdr:to>
    <xdr:pic>
      <xdr:nvPicPr>
        <xdr:cNvPr id="10" name="Imagen 9" descr="Ver las imágenes de origen">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76251" y="12773025"/>
          <a:ext cx="2085974" cy="1059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9524</xdr:colOff>
      <xdr:row>2</xdr:row>
      <xdr:rowOff>28573</xdr:rowOff>
    </xdr:from>
    <xdr:to>
      <xdr:col>10</xdr:col>
      <xdr:colOff>666750</xdr:colOff>
      <xdr:row>10</xdr:row>
      <xdr:rowOff>116008</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rotWithShape="1">
        <a:blip xmlns:r="http://schemas.openxmlformats.org/officeDocument/2006/relationships" r:embed="rId8"/>
        <a:srcRect t="9993" r="1586"/>
        <a:stretch/>
      </xdr:blipFill>
      <xdr:spPr>
        <a:xfrm>
          <a:off x="9524" y="371473"/>
          <a:ext cx="8667751" cy="1459035"/>
        </a:xfrm>
        <a:prstGeom prst="rect">
          <a:avLst/>
        </a:prstGeom>
        <a:ln w="28575">
          <a:solidFill>
            <a:schemeClr val="tx1"/>
          </a:solidFill>
        </a:ln>
        <a:effectLst>
          <a:softEdge rad="0"/>
        </a:effec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279209</xdr:colOff>
      <xdr:row>0</xdr:row>
      <xdr:rowOff>103677</xdr:rowOff>
    </xdr:from>
    <xdr:ext cx="2478957" cy="1010364"/>
    <xdr:pic>
      <xdr:nvPicPr>
        <xdr:cNvPr id="3" name="Imagen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3948" y="103677"/>
          <a:ext cx="2478957" cy="1010364"/>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A/AppData/Local/Microsoft/Windows/INetCache/Content.Outlook/YBA9K5YA/3.0T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A/AppData/Local/Microsoft/Windows/INetCache/Content.Outlook/YBA9K5YA/2.0TD.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Users\GEC\Documents\LUZ\Copia%20de%202020061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IR DATOS"/>
      <sheetName val="IMPRIMIR"/>
      <sheetName val="TOTAL AUDAX"/>
      <sheetName val="PRECIOS AUDAX"/>
      <sheetName val="COMISIONES AUDAX"/>
      <sheetName val="TOTAL ALDRO"/>
      <sheetName val="PRECIOS ALDRO"/>
      <sheetName val="COMISIONES ALDRO"/>
      <sheetName val="TOTAL AURA"/>
      <sheetName val="PRECIOS AURA"/>
      <sheetName val="COMISIONES AURA"/>
      <sheetName val="TOTAL CYE"/>
      <sheetName val="PRECIOS CYE"/>
      <sheetName val="COMISIONES CY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IR DATOS"/>
      <sheetName val="IMPRIMIR"/>
      <sheetName val="TOTAL AUDAX"/>
      <sheetName val="PRECIOS AUDAX"/>
      <sheetName val="COMISIONES AUDAX"/>
      <sheetName val="TOTAL ALDRO"/>
      <sheetName val="PRECIOS ALDRO"/>
      <sheetName val="COMISIONES ALDRO"/>
      <sheetName val="TOTAL AURA"/>
      <sheetName val="PRECIOS AURA"/>
      <sheetName val="COMISIONES AURA"/>
      <sheetName val="TOTAL CYE"/>
      <sheetName val="PRECIOS CYE"/>
      <sheetName val="COMISIONES CY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AUX"/>
    </sheetNames>
    <sheetDataSet>
      <sheetData sheetId="0"/>
      <sheetData sheetId="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masahorroentusfacturas.es/" TargetMode="External"/><Relationship Id="rId3" Type="http://schemas.openxmlformats.org/officeDocument/2006/relationships/hyperlink" Target="http://www.masahorroentusfacturas.es/" TargetMode="External"/><Relationship Id="rId7" Type="http://schemas.openxmlformats.org/officeDocument/2006/relationships/hyperlink" Target="http://www.masahorroentusfacturas.es/" TargetMode="External"/><Relationship Id="rId2" Type="http://schemas.openxmlformats.org/officeDocument/2006/relationships/hyperlink" Target="http://www.masahorroentusfacturas.es/" TargetMode="External"/><Relationship Id="rId1" Type="http://schemas.openxmlformats.org/officeDocument/2006/relationships/hyperlink" Target="http://www.masahorroentusfacturas.es/" TargetMode="External"/><Relationship Id="rId6" Type="http://schemas.openxmlformats.org/officeDocument/2006/relationships/hyperlink" Target="http://www.masahorroentusfacturas.es/" TargetMode="External"/><Relationship Id="rId11" Type="http://schemas.openxmlformats.org/officeDocument/2006/relationships/drawing" Target="../drawings/drawing2.xml"/><Relationship Id="rId5" Type="http://schemas.openxmlformats.org/officeDocument/2006/relationships/hyperlink" Target="http://www.masahorroentusfacturas.es/" TargetMode="External"/><Relationship Id="rId10" Type="http://schemas.openxmlformats.org/officeDocument/2006/relationships/printerSettings" Target="../printerSettings/printerSettings2.bin"/><Relationship Id="rId4" Type="http://schemas.openxmlformats.org/officeDocument/2006/relationships/hyperlink" Target="http://www.masahorroentusfacturas.es/" TargetMode="External"/><Relationship Id="rId9" Type="http://schemas.openxmlformats.org/officeDocument/2006/relationships/hyperlink" Target="http://www.masahorroentusfacturas.e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www.masahorroentusfacturas.es/" TargetMode="External"/><Relationship Id="rId2" Type="http://schemas.openxmlformats.org/officeDocument/2006/relationships/hyperlink" Target="http://www.masahorroentusfacturas.es/" TargetMode="External"/><Relationship Id="rId1" Type="http://schemas.openxmlformats.org/officeDocument/2006/relationships/hyperlink" Target="http://www.masahorroentusfacturas.es/"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FFCC"/>
  </sheetPr>
  <dimension ref="A1:AY181"/>
  <sheetViews>
    <sheetView showGridLines="0" showZeros="0" topLeftCell="A30" zoomScale="80" zoomScaleNormal="80" workbookViewId="0">
      <selection activeCell="M32" sqref="M32"/>
    </sheetView>
  </sheetViews>
  <sheetFormatPr defaultColWidth="12.140625" defaultRowHeight="14.45"/>
  <cols>
    <col min="1" max="1" width="5.42578125" style="19" customWidth="1"/>
    <col min="2" max="3" width="12.140625" style="19"/>
    <col min="4" max="4" width="10.85546875" style="19" customWidth="1"/>
    <col min="5" max="5" width="13.5703125" style="19" customWidth="1"/>
    <col min="6" max="6" width="6.5703125" style="19" customWidth="1"/>
    <col min="7" max="7" width="11.7109375" style="19" bestFit="1" customWidth="1"/>
    <col min="8" max="8" width="11.7109375" style="19" customWidth="1"/>
    <col min="9" max="9" width="22.28515625" style="19" bestFit="1" customWidth="1"/>
    <col min="10" max="10" width="9.42578125" style="19" bestFit="1" customWidth="1"/>
    <col min="11" max="11" width="13.42578125" style="19" customWidth="1"/>
    <col min="12" max="12" width="4.140625" style="19" customWidth="1"/>
    <col min="13" max="13" width="13.7109375" style="19" customWidth="1"/>
    <col min="14" max="14" width="14" style="19" customWidth="1"/>
    <col min="15" max="15" width="22.85546875" style="19" customWidth="1"/>
    <col min="16" max="16" width="11.28515625" style="19" customWidth="1"/>
    <col min="17" max="17" width="12.7109375" style="19" customWidth="1"/>
    <col min="18" max="18" width="10.7109375" style="19" customWidth="1"/>
    <col min="19" max="19" width="15.85546875" style="19" customWidth="1"/>
    <col min="20" max="20" width="19.42578125" style="19" bestFit="1" customWidth="1"/>
    <col min="21" max="21" width="10.5703125" style="19" customWidth="1"/>
    <col min="22" max="22" width="10.5703125" style="19" bestFit="1" customWidth="1"/>
    <col min="23" max="23" width="7.7109375" style="19" bestFit="1" customWidth="1"/>
    <col min="24" max="24" width="10.85546875" style="19" customWidth="1"/>
    <col min="25" max="25" width="19.85546875" style="19" customWidth="1"/>
    <col min="26" max="16384" width="12.140625" style="19"/>
  </cols>
  <sheetData>
    <row r="1" spans="1:51">
      <c r="A1" s="321"/>
      <c r="B1" s="321"/>
      <c r="C1" s="247">
        <v>1</v>
      </c>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row>
    <row r="2" spans="1:51">
      <c r="A2" s="321"/>
      <c r="B2" s="321"/>
      <c r="C2" s="321"/>
      <c r="D2" s="321"/>
      <c r="E2" s="321"/>
      <c r="F2" s="321"/>
      <c r="G2" s="321"/>
      <c r="H2" s="321"/>
      <c r="I2" s="321"/>
      <c r="J2" s="321"/>
      <c r="K2" s="321"/>
      <c r="L2" s="321"/>
      <c r="M2" s="321"/>
      <c r="N2" s="321"/>
      <c r="O2" s="321"/>
      <c r="P2" s="321"/>
      <c r="Q2" s="321"/>
      <c r="R2" s="321"/>
      <c r="S2" s="321"/>
      <c r="T2" s="321"/>
      <c r="U2" s="321"/>
      <c r="V2" s="321"/>
      <c r="W2" s="321"/>
      <c r="X2" s="321"/>
      <c r="Y2" s="321"/>
      <c r="Z2" s="321"/>
      <c r="AA2" s="321"/>
      <c r="AB2" s="321"/>
      <c r="AC2" s="321"/>
      <c r="AD2" s="321"/>
      <c r="AE2" s="321"/>
      <c r="AF2" s="321"/>
      <c r="AG2" s="321"/>
      <c r="AH2" s="321"/>
      <c r="AI2" s="321"/>
      <c r="AJ2" s="321"/>
      <c r="AK2" s="321"/>
      <c r="AL2" s="321"/>
      <c r="AM2" s="321"/>
      <c r="AN2" s="321"/>
      <c r="AO2" s="321"/>
      <c r="AP2" s="321"/>
      <c r="AQ2" s="321"/>
      <c r="AR2" s="321"/>
      <c r="AS2" s="321"/>
      <c r="AT2" s="321"/>
      <c r="AU2" s="321"/>
      <c r="AV2" s="321"/>
      <c r="AW2" s="321"/>
      <c r="AX2" s="321"/>
      <c r="AY2" s="321"/>
    </row>
    <row r="3" spans="1:51">
      <c r="A3" s="321"/>
      <c r="B3" s="321"/>
      <c r="C3" s="321"/>
      <c r="D3" s="321"/>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1"/>
      <c r="AI3" s="321"/>
      <c r="AJ3" s="321"/>
      <c r="AK3" s="321"/>
      <c r="AL3" s="321"/>
      <c r="AM3" s="321"/>
      <c r="AN3" s="321"/>
      <c r="AO3" s="321"/>
      <c r="AP3" s="321"/>
      <c r="AQ3" s="321"/>
      <c r="AR3" s="321"/>
      <c r="AS3" s="321"/>
      <c r="AT3" s="321"/>
      <c r="AU3" s="321"/>
      <c r="AV3" s="321"/>
      <c r="AW3" s="321"/>
      <c r="AX3" s="321"/>
      <c r="AY3" s="321"/>
    </row>
    <row r="4" spans="1:51" ht="18">
      <c r="A4" s="321"/>
      <c r="B4" s="321"/>
      <c r="C4" s="321"/>
      <c r="D4" s="321"/>
      <c r="E4" s="321"/>
      <c r="F4" s="321"/>
      <c r="G4" s="321"/>
      <c r="H4" s="321"/>
      <c r="I4" s="321"/>
      <c r="J4" s="321"/>
      <c r="K4" s="321"/>
      <c r="L4" s="321"/>
      <c r="M4" s="321"/>
      <c r="N4" s="321">
        <v>0</v>
      </c>
      <c r="O4" s="495"/>
      <c r="P4" s="495"/>
      <c r="Q4" s="495"/>
      <c r="R4" s="321"/>
      <c r="S4" s="321"/>
      <c r="T4" s="321"/>
      <c r="U4" s="321"/>
      <c r="V4" s="321"/>
      <c r="W4" s="321"/>
      <c r="X4" s="321"/>
      <c r="Y4" s="321"/>
      <c r="Z4" s="321"/>
      <c r="AA4" s="321"/>
      <c r="AB4" s="321"/>
      <c r="AC4" s="321"/>
      <c r="AD4" s="321"/>
      <c r="AE4" s="321"/>
      <c r="AF4" s="321"/>
      <c r="AG4" s="321"/>
      <c r="AH4" s="321"/>
      <c r="AI4" s="321"/>
      <c r="AJ4" s="321"/>
      <c r="AK4" s="321"/>
      <c r="AL4" s="321"/>
      <c r="AM4" s="321"/>
      <c r="AN4" s="321"/>
      <c r="AO4" s="321"/>
      <c r="AP4" s="321"/>
      <c r="AQ4" s="321"/>
      <c r="AR4" s="321"/>
      <c r="AS4" s="321"/>
      <c r="AT4" s="321"/>
      <c r="AU4" s="321"/>
      <c r="AV4" s="321"/>
      <c r="AW4" s="321"/>
      <c r="AX4" s="321"/>
      <c r="AY4" s="321"/>
    </row>
    <row r="5" spans="1:51">
      <c r="A5" s="321"/>
      <c r="B5" s="321"/>
      <c r="C5" s="321"/>
      <c r="D5" s="321"/>
      <c r="E5" s="321"/>
      <c r="F5" s="321"/>
      <c r="G5" s="321"/>
      <c r="H5" s="321"/>
      <c r="I5" s="321"/>
      <c r="J5" s="321"/>
      <c r="K5" s="321"/>
      <c r="L5" s="321"/>
      <c r="M5" s="321"/>
      <c r="N5" s="321"/>
      <c r="O5" s="496"/>
      <c r="P5" s="496"/>
      <c r="Q5" s="496"/>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c r="AS5" s="321"/>
      <c r="AT5" s="321"/>
      <c r="AU5" s="321"/>
      <c r="AV5" s="321"/>
      <c r="AW5" s="321"/>
      <c r="AX5" s="321"/>
      <c r="AY5" s="321"/>
    </row>
    <row r="6" spans="1:51">
      <c r="A6" s="321"/>
      <c r="B6" s="321"/>
      <c r="C6" s="321"/>
      <c r="D6" s="321"/>
      <c r="E6" s="321"/>
      <c r="F6" s="321"/>
      <c r="G6" s="321"/>
      <c r="H6" s="321"/>
      <c r="I6" s="321"/>
      <c r="J6" s="321"/>
      <c r="K6" s="321"/>
      <c r="L6" s="321"/>
      <c r="M6" s="321"/>
      <c r="N6" s="321"/>
      <c r="O6" s="230"/>
      <c r="P6" s="336"/>
      <c r="Q6" s="336"/>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c r="AS6" s="321"/>
      <c r="AT6" s="321"/>
      <c r="AU6" s="321"/>
      <c r="AV6" s="321"/>
      <c r="AW6" s="321"/>
      <c r="AX6" s="321"/>
      <c r="AY6" s="321"/>
    </row>
    <row r="7" spans="1:51" ht="18.600000000000001" thickBot="1">
      <c r="A7" s="321"/>
      <c r="B7" s="321"/>
      <c r="C7" s="321"/>
      <c r="D7" s="321"/>
      <c r="E7" s="321"/>
      <c r="F7" s="321"/>
      <c r="G7" s="321"/>
      <c r="H7" s="321"/>
      <c r="I7" s="321"/>
      <c r="J7" s="231"/>
      <c r="K7" s="508" t="s">
        <v>0</v>
      </c>
      <c r="L7" s="509"/>
      <c r="M7" s="509"/>
      <c r="N7" s="321"/>
      <c r="O7" s="232"/>
      <c r="P7" s="232"/>
      <c r="Q7" s="232"/>
      <c r="R7" s="321"/>
      <c r="S7" s="321"/>
      <c r="T7" s="321"/>
      <c r="U7" s="321"/>
      <c r="V7" s="321"/>
      <c r="W7" s="321"/>
      <c r="X7" s="321"/>
      <c r="Y7" s="321"/>
      <c r="Z7" s="321"/>
      <c r="AA7" s="321"/>
      <c r="AB7" s="321"/>
      <c r="AC7" s="321"/>
      <c r="AD7" s="321"/>
      <c r="AE7" s="321"/>
      <c r="AF7" s="321"/>
      <c r="AG7" s="321"/>
      <c r="AH7" s="321"/>
      <c r="AI7" s="321"/>
      <c r="AJ7" s="321"/>
      <c r="AK7" s="321"/>
      <c r="AL7" s="321"/>
      <c r="AM7" s="321"/>
      <c r="AN7" s="321"/>
      <c r="AO7" s="321"/>
      <c r="AP7" s="321"/>
      <c r="AQ7" s="321"/>
      <c r="AR7" s="321"/>
      <c r="AS7" s="321"/>
      <c r="AT7" s="321"/>
      <c r="AU7" s="321"/>
      <c r="AV7" s="321"/>
      <c r="AW7" s="321"/>
      <c r="AX7" s="321"/>
      <c r="AY7" s="321"/>
    </row>
    <row r="8" spans="1:51" ht="18.600000000000001" thickBot="1">
      <c r="A8" s="321"/>
      <c r="B8" s="497" t="s">
        <v>1</v>
      </c>
      <c r="C8" s="498"/>
      <c r="D8" s="499"/>
      <c r="E8" s="500"/>
      <c r="F8" s="321"/>
      <c r="G8" s="321"/>
      <c r="H8" s="321"/>
      <c r="I8" s="321"/>
      <c r="J8" s="321"/>
      <c r="K8" s="321"/>
      <c r="L8" s="321"/>
      <c r="M8" s="321"/>
      <c r="N8" s="321"/>
      <c r="O8" s="232"/>
      <c r="P8" s="232"/>
      <c r="Q8" s="232"/>
      <c r="R8" s="321"/>
      <c r="S8" s="321"/>
      <c r="T8" s="321"/>
      <c r="U8" s="321"/>
      <c r="V8" s="321"/>
      <c r="W8" s="321"/>
      <c r="X8" s="321"/>
      <c r="Y8" s="321"/>
      <c r="Z8" s="321"/>
      <c r="AA8" s="321"/>
      <c r="AB8" s="321"/>
      <c r="AC8" s="321"/>
      <c r="AD8" s="321"/>
      <c r="AE8" s="321"/>
      <c r="AF8" s="321"/>
      <c r="AG8" s="321"/>
      <c r="AH8" s="321"/>
      <c r="AI8" s="321"/>
      <c r="AJ8" s="321"/>
      <c r="AK8" s="321"/>
      <c r="AL8" s="321"/>
      <c r="AM8" s="321"/>
      <c r="AN8" s="321"/>
      <c r="AO8" s="321"/>
      <c r="AP8" s="321"/>
      <c r="AQ8" s="321"/>
      <c r="AR8" s="321"/>
      <c r="AS8" s="321"/>
      <c r="AT8" s="321"/>
      <c r="AU8" s="321"/>
      <c r="AV8" s="321"/>
      <c r="AW8" s="321"/>
      <c r="AX8" s="321"/>
      <c r="AY8" s="321"/>
    </row>
    <row r="9" spans="1:51" ht="16.149999999999999" thickBot="1">
      <c r="A9" s="321"/>
      <c r="B9" s="501" t="s">
        <v>2</v>
      </c>
      <c r="C9" s="502"/>
      <c r="D9" s="503" t="s">
        <v>3</v>
      </c>
      <c r="E9" s="504"/>
      <c r="F9" s="321"/>
      <c r="G9" s="358"/>
      <c r="H9" s="233"/>
      <c r="I9" s="233"/>
      <c r="J9" s="233"/>
      <c r="K9" s="233"/>
      <c r="L9" s="233"/>
      <c r="M9" s="233"/>
      <c r="N9" s="233"/>
      <c r="O9" s="234"/>
      <c r="P9" s="234"/>
      <c r="Q9" s="233"/>
      <c r="R9" s="356"/>
      <c r="S9" s="321"/>
      <c r="T9" s="321"/>
      <c r="U9" s="321"/>
      <c r="V9" s="321"/>
      <c r="W9" s="321"/>
      <c r="X9" s="321"/>
      <c r="Y9" s="321"/>
      <c r="Z9" s="321"/>
      <c r="AA9" s="321"/>
      <c r="AB9" s="321"/>
      <c r="AC9" s="321"/>
      <c r="AD9" s="321"/>
      <c r="AE9" s="321"/>
      <c r="AF9" s="321"/>
      <c r="AG9" s="321"/>
      <c r="AH9" s="321"/>
      <c r="AI9" s="321"/>
      <c r="AJ9" s="321"/>
      <c r="AK9" s="321"/>
      <c r="AL9" s="321"/>
      <c r="AM9" s="321"/>
      <c r="AN9" s="321"/>
      <c r="AO9" s="321"/>
      <c r="AP9" s="321"/>
      <c r="AQ9" s="321"/>
      <c r="AR9" s="321"/>
      <c r="AS9" s="321"/>
      <c r="AT9" s="321"/>
      <c r="AU9" s="321"/>
      <c r="AV9" s="321"/>
      <c r="AW9" s="321"/>
      <c r="AX9" s="321"/>
      <c r="AY9" s="321"/>
    </row>
    <row r="10" spans="1:51" ht="18.600000000000001" thickBot="1">
      <c r="A10" s="321"/>
      <c r="B10" s="484" t="s">
        <v>4</v>
      </c>
      <c r="C10" s="485"/>
      <c r="D10" s="486" t="s">
        <v>5</v>
      </c>
      <c r="E10" s="487"/>
      <c r="F10" s="321"/>
      <c r="G10" s="248"/>
      <c r="H10" s="348"/>
      <c r="I10" s="492" t="s">
        <v>6</v>
      </c>
      <c r="J10" s="493"/>
      <c r="K10" s="494"/>
      <c r="M10" s="492" t="s">
        <v>7</v>
      </c>
      <c r="N10" s="493"/>
      <c r="O10" s="505"/>
      <c r="P10" s="506"/>
      <c r="Q10" s="507"/>
      <c r="R10" s="270"/>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row>
    <row r="11" spans="1:51" ht="16.149999999999999" thickBot="1">
      <c r="A11" s="321"/>
      <c r="B11" s="484" t="s">
        <v>8</v>
      </c>
      <c r="C11" s="485"/>
      <c r="D11" s="486" t="s">
        <v>9</v>
      </c>
      <c r="E11" s="487"/>
      <c r="F11" s="321"/>
      <c r="G11" s="248"/>
      <c r="H11" s="348"/>
      <c r="I11" s="410" t="s">
        <v>10</v>
      </c>
      <c r="J11" s="411" t="s">
        <v>11</v>
      </c>
      <c r="K11" s="412" t="s">
        <v>12</v>
      </c>
      <c r="M11" s="305" t="s">
        <v>13</v>
      </c>
      <c r="N11" s="306" t="s">
        <v>14</v>
      </c>
      <c r="O11" s="306" t="s">
        <v>10</v>
      </c>
      <c r="P11" s="306" t="s">
        <v>11</v>
      </c>
      <c r="Q11" s="307" t="s">
        <v>12</v>
      </c>
      <c r="R11" s="270"/>
      <c r="S11" s="321"/>
      <c r="T11" s="321"/>
      <c r="U11" s="321"/>
      <c r="V11" s="321"/>
      <c r="W11" s="321"/>
      <c r="X11" s="321"/>
      <c r="Y11" s="321"/>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row>
    <row r="12" spans="1:51" ht="15.6">
      <c r="A12" s="321"/>
      <c r="B12" s="484" t="s">
        <v>15</v>
      </c>
      <c r="C12" s="485"/>
      <c r="D12" s="486" t="s">
        <v>16</v>
      </c>
      <c r="E12" s="487"/>
      <c r="F12" s="321"/>
      <c r="G12" s="248"/>
      <c r="H12" s="540" t="s">
        <v>17</v>
      </c>
      <c r="I12" s="368" t="s">
        <v>18</v>
      </c>
      <c r="J12" s="363">
        <f>IF(D19="PRECIO FIJO",IF($D$18="2.0TD",'RESULTADO PRECIO FIJO'!N3,IF($D$18="3.0TD",'RESULTADO PRECIO FIJO'!N23,IF($D$18="6.1TD",""))),"")</f>
        <v>-66.281445868453687</v>
      </c>
      <c r="K12" s="328">
        <f>IF(J12="","",(((((((((((((((((((((((((((((((((((((((((((((((((((((IF(AND($D$18="2.0TD",$E$22&lt;='COMISIONES AUDAX'!$C$4,$E$25&lt;10),'COMISIONES AUDAX'!D$4,IF(AND($D$18="2.0TD",$E$22&gt;'COMISIONES AUDAX'!$B$5,$E$22&lt;'COMISIONES AUDAX'!$C$5,$E$25&lt;10),'COMISIONES AUDAX'!D$5,IF(AND($D$18="2.0TD",$E$22&gt;'COMISIONES AUDAX'!$B$6,$E$22&lt;='COMISIONES AUDAX'!$C$6,$E$25&lt;10),'COMISIONES AUDAX'!D$6,IF(AND($D$18="2.0TD",$E$22&gt;'COMISIONES AUDAX'!$B$7,$E$22&lt;='COMISIONES AUDAX'!$C$7,$E$25&lt;10),'COMISIONES AUDAX'!D$7,IF(AND($D$18="2.0TD",$E$22&gt;'COMISIONES AUDAX'!$B$8,$E$22&lt;='COMISIONES AUDAX'!$C$8,$E$25&lt;10),'COMISIONES AUDAX'!D$8,IF(AND($D$18="2.0TD",$E$22&lt;='COMISIONES AUDAX'!$C$9,$E$25&gt;J1813),'COMISIONES AUDAX'!D$9,IF(AND($D$18="2.0TD",$E$22&gt;'COMISIONES AUDAX'!$B$10,$E$22&lt;='COMISIONES AUDAX'!$C$10,$E$25&gt;10),'COMISIONES AUDAX'!D$10,IF(AND($D$18="2.0TD",$E$22&gt;'COMISIONES AUDAX'!$B$11,$E$22&lt;='COMISIONES AUDAX'!$C$11,$E$25&gt;10),'COMISIONES AUDAX'!D$11,IF(AND($D$18="2.0TD",$E$22&gt;'COMISIONES AUDAX'!$B$12,$E$22&lt;='COMISIONES AUDAX'!$C$12,$E$25&gt;10),'COMISIONES AUDAX'!D$12,IF(AND($D$18="2.0TD",$E$22&gt;'COMISIONES AUDAX'!$B$13,$E$22&lt;='COMISIONES AUDAX'!$C$13,$E$25&gt;10),'COMISIONES AUDAX'!D$13,IF(AND($D$18="2.0TD",$E$22&gt;'COMISIONES AUDAX'!$B$14,$E$22&lt;='COMISIONES AUDAX'!$C$14,$E$25&gt;10),'COMISIONES AUDAX'!D$14,IF(AND($D$18="2.0TD",$E$22&gt;'COMISIONES AUDAX'!$B$15,$E$22&lt;='COMISIONES AUDAX'!$C$15,$E$25&gt;10),'COMISIONES AUDAX'!D$15,IF(AND($D$18="2.0TD",$E$22&gt;'COMISIONES AUDAX'!$B$16,$E$22&lt;='COMISIONES AUDAX'!$C$16,$E$25&gt;10),'COMISIONES AUDAX'!D$16,IF(AND($D$18="3.0TD",$E$22&lt;='COMISIONES AUDAX'!$C$17),'COMISIONES AUDAX'!D$17,IF(AND($D$18="3.0TD",$E$22&gt;'COMISIONES AUDAX'!$B$18,$E$22&lt;='COMISIONES AUDAX'!$C$18),'COMISIONES AUDAX'!D$18,IF(AND($D$18="3.0TD",$E$22&gt;'COMISIONES AUDAX'!$B$19,$E$22&lt;='COMISIONES AUDAX'!$C$19),'COMISIONES AUDAX'!D$19,IF(AND($D$18="3.0TD",$E$22&gt;'COMISIONES AUDAX'!$B$20,$E$22&lt;='COMISIONES AUDAX'!$C$20),'COMISIONES AUDAX'!D$20,IF(AND($D$18="3.0TD",$E$22&gt;'COMISIONES AUDAX'!$B$21,$E$22&lt;='COMISIONES AUDAX'!$C$21),'COMISIONES AUDAX'!D$21,IF(AND($D$18="3.0TD",$E$22&gt;'COMISIONES AUDAX'!$B$22,$E$22&lt;='COMISIONES AUDAX'!$C$22),'COMISIONES AUDAX'!D$22,IF(AND($D$18="3.0TD",$E$22&gt;'COMISIONES AUDAX'!$B$23,$E$22&lt;='COMISIONES AUDAX'!$C$23),'COMISIONES AUDAX'!D$23,IF(AND($D$18="3.0TD",$E$22&gt;'COMISIONES AUDAX'!$B$24,$E$22&lt;='COMISIONES AUDAX'!$C$24),'COMISIONES AUDAX'!D$24,IF(AND($D$18="3.0TD",$E$22&gt;'COMISIONES AUDAX'!$B$25,$E$22&lt;='COMISIONES AUDAX'!$C$25),'COMISIONES AUDAX'!D$25,IF(AND($D$18="3.0TD",$E$22&gt;'COMISIONES AUDAX'!$B$26,$E$22&lt;='COMISIONES AUDAX'!$C$26),'COMISIONES AUDAX'!D$26,IF(AND($D$18="3.0TD",$E$22&gt;'COMISIONES AUDAX'!$B$27,$E$22&lt;='COMISIONES AUDAX'!$C$27),'COMISIONES AUDAX'!D$27,IF(AND($D$18="3.0TD",$E$22&gt;'COMISIONES AUDAX'!$B$28,$E$22&lt;='COMISIONES AUDAX'!$C$28),'COMISIONES AUDAX'!D$28,IF(AND($D$18="3.0TD",$E$22&gt;'COMISIONES AUDAX'!$B$29,$E$22&lt;='COMISIONES AUDAX'!$C$29),'COMISIONES AUDAX'!D$29,IF(AND($D$18="3.0TD",$E$22&gt;'COMISIONES AUDAX'!$B$30,$E$22&lt;='COMISIONES AUDAX'!$C$30),'COMISIONES AUDAX'!D$30,IF(AND($D$18="6.1TD",$E$22&lt;='COMISIONES AUDAX'!$C$31),'COMISIONES AUDAX'!D$31,IF(AND($D$18="6.1TD",$E$22&gt;'COMISIONES AUDAX'!$B$32,$E$22&lt;='COMISIONES AUDAX'!$C$32),'COMISIONES AUDAX'!D$32,IF(AND($D$18="6.1TD",$E$22&gt;'COMISIONES AUDAX'!$B$33,$E$22&lt;='COMISIONES AUDAX'!$C$33),'COMISIONES AUDAX'!D$33,IF(AND($D$18="6.1TD",$E$22&gt;'COMISIONES AUDAX'!$B$34,$E$22&lt;='COMISIONES AUDAX'!$C$34),'COMISIONES AUDAX'!D$34,IF(AND($D$18="6.1TD",$E$22&gt;'COMISIONES AUDAX'!$B$35,$E$22&lt;='COMISIONES AUDAX'!$C$35),'COMISIONES AUDAX'!D$35,IF(AND($D$18="6.1TD",$E$22&gt;'COMISIONES AUDAX'!$B$36,$E$22&lt;='COMISIONES AUDAX'!$C$36),'COMISIONES AUDAX'!D$36,IF(AND($D$18="6.1TD",$E$22&gt;'COMISIONES AUDAX'!$B$37,$E$22&lt;='COMISIONES AUDAX'!$C$37),'COMISIONES AUDAX'!D$37,IF(AND($D$18="6.1TD",$E$22&gt;'COMISIONES AUDAX'!$B$38,$E$22&lt;='COMISIONES AUDAX'!$C$38),'COMISIONES AUDAX'!D$38,IF(AND($D$18="6.1TD",$E$22&gt;'COMISIONES AUDAX'!$B$39,$E$22&lt;='COMISIONES AUDAX'!$C$39),'COMISIONES AUDAX'!D$39,IF(AND($D$18="6.1TD",$E$22&gt;'COMISIONES AUDAX'!$B$40,$E$22&lt;='COMISIONES AUDAX'!$C$40),'COMISIONES AUDAX'!D$40,IF(AND($D$18="6.1TD",$E$22&gt;'COMISIONES AUDAX'!$B$41,$E$22&lt;='COMISIONES AUDAX'!$C$41),'COMISIONES AUDAX'!D$41,IF(AND($D$18="6.1TD",$E$22&gt;'COMISIONES AUDAX'!$B$42,$E$22&lt;='COMISIONES AUDAX'!$C$42),'COMISIONES AUDAX'!D$42,IF(AND($D$18="6.1TD",$E$22&gt;'COMISIONES AUDAX'!$B$43,$E$22&lt;='COMISIONES AUDAX'!$C$43),'COMISIONES AUDAX'!D$43,IF(AND($D$18="6.1TD",$E$22&gt;'COMISIONES AUDAX'!$B$44,$E$22&lt;='COMISIONES AUDAX'!$C$44),'COMISIONES AUDAX'!D$44,IF(AND($D$18="6.1TD",$E$22&gt;'COMISIONES AUDAX'!D$45),'COMISIONES AUDAX'!D$45))))))))))))))))))))))))))))))))))))))))))))*C1))))))))))))))))))))))))))))))))))))))))))))))))))))</f>
        <v>135</v>
      </c>
      <c r="M12" s="403" t="s">
        <v>17</v>
      </c>
      <c r="N12" s="301" t="str">
        <f>$D$18</f>
        <v>2.0TD</v>
      </c>
      <c r="O12" s="302" t="s">
        <v>18</v>
      </c>
      <c r="P12" s="303" t="str">
        <f>IF(D19="INDEXADO",'IMPRIMIR INDEXADO'!K70,"")</f>
        <v/>
      </c>
      <c r="Q12" s="304" t="str">
        <f>IF(O12=O29,Q29,IF(O12=O30,Q30,IF(O12=O31,Q31,IF(O12=O32,Q32,IF(O12=O33,Q33,"")))))</f>
        <v/>
      </c>
      <c r="R12" s="270"/>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row>
    <row r="13" spans="1:51" ht="16.149999999999999" thickBot="1">
      <c r="A13" s="321"/>
      <c r="B13" s="484" t="s">
        <v>19</v>
      </c>
      <c r="C13" s="485"/>
      <c r="D13" s="486">
        <v>32</v>
      </c>
      <c r="E13" s="487"/>
      <c r="F13" s="321"/>
      <c r="G13" s="248"/>
      <c r="H13" s="541"/>
      <c r="I13" s="369" t="s">
        <v>20</v>
      </c>
      <c r="J13" s="364">
        <f>IF(D19="PRECIO FIJO",IF($D$18="2.0TD",'RESULTADO PRECIO FIJO'!N7,IF($D$18="3.0TD",'RESULTADO PRECIO FIJO'!N25,IF($D$18="6.1TD",'RESULTADO PRECIO FIJO'!N33))),"")</f>
        <v>-75.999829184644256</v>
      </c>
      <c r="K13" s="354">
        <f>IF(J13="","",(((((((((((((((((((((((((((((((((((((((((((((((((((((IF(AND($D$18="2.0TD",$E$22&lt;='COMISIONES AUDAX'!$C$4,$E$25&lt;10),'COMISIONES AUDAX'!D$4,IF(AND($D$18="2.0TD",$E$22&gt;'COMISIONES AUDAX'!$B$5,$E$22&lt;='COMISIONES AUDAX'!$C$5,$E$25&lt;10),'COMISIONES AUDAX'!D$5,IF(AND($D$18="2.0TD",$E$22&gt;'COMISIONES AUDAX'!$B$6,$E$22&lt;='COMISIONES AUDAX'!$C$6,$E$25&lt;10),'COMISIONES AUDAX'!D$6,IF(AND($D$18="2.0TD",$E$22&gt;'COMISIONES AUDAX'!$B$7,$E$22&lt;='COMISIONES AUDAX'!$C$7,$E$25&lt;10),'COMISIONES AUDAX'!D$7,IF(AND($D$18="2.0TD",$E$22&gt;'COMISIONES AUDAX'!$B$8,$E$22&lt;='COMISIONES AUDAX'!$C$8,$E$25&lt;10),'COMISIONES AUDAX'!D$8,IF(AND($D$18="2.0TD",$E$22&lt;='COMISIONES AUDAX'!$C$9,$E$25&gt;10),'COMISIONES AUDAX'!D$9,IF(AND($D$18="2.0TD",$E$22&gt;'COMISIONES AUDAX'!$B$10,$E$22&lt;='COMISIONES AUDAX'!$C$10,$E$25&gt;10),'COMISIONES AUDAX'!D$10,IF(AND($D$18="2.0TD",$E$22&gt;'COMISIONES AUDAX'!$B$11,$E$22&lt;='COMISIONES AUDAX'!$C$11,$E$25&gt;10),'COMISIONES AUDAX'!D$11,IF(AND($D$18="2.0TD",$E$22&gt;'COMISIONES AUDAX'!$B$12,$E$22&lt;='COMISIONES AUDAX'!$C$12,$E$25&gt;10),'COMISIONES AUDAX'!D$12,IF(AND($D$18="2.0TD",$E$22&gt;'COMISIONES AUDAX'!$B$13,$E$22&lt;='COMISIONES AUDAX'!$C$13,$E$25&gt;10),'COMISIONES AUDAX'!D$13,IF(AND($D$18="2.0TD",$E$22&gt;'COMISIONES AUDAX'!$B$14,$E$22&lt;='COMISIONES AUDAX'!$C$14,$E$25&gt;10),'COMISIONES AUDAX'!D$14,IF(AND($D$18="2.0TD",$E$22&gt;'COMISIONES AUDAX'!$B$15,$E$22&lt;='COMISIONES AUDAX'!$C$15,$E$25&gt;10),'COMISIONES AUDAX'!D$15,IF(AND($D$18="2.0TD",$E$22&gt;'COMISIONES AUDAX'!$B$16,$E$22&lt;='COMISIONES AUDAX'!$C$16,$E$25&gt;10),'COMISIONES AUDAX'!D$16,IF(AND($D$18="3.0TD",$E$22&lt;='COMISIONES AUDAX'!$C$17),'COMISIONES AUDAX'!D$17,IF(AND($D$18="3.0TD",$E$22&gt;'COMISIONES AUDAX'!$B$18,$E$22&lt;='COMISIONES AUDAX'!$C$18),'COMISIONES AUDAX'!D$18,IF(AND($D$18="3.0TD",$E$22&gt;'COMISIONES AUDAX'!$B$19,$E$22&lt;='COMISIONES AUDAX'!$C$19),'COMISIONES AUDAX'!D$19,IF(AND($D$18="3.0TD",$E$22&gt;'COMISIONES AUDAX'!$B$20,$E$22&lt;='COMISIONES AUDAX'!$C$20),'COMISIONES AUDAX'!D$20,IF(AND($D$18="3.0TD",$E$22&gt;'COMISIONES AUDAX'!$B$21,$E$22&lt;='COMISIONES AUDAX'!$C$21),'COMISIONES AUDAX'!D$21,IF(AND($D$18="3.0TD",$E$22&gt;'COMISIONES AUDAX'!$B$22,$E$22&lt;='COMISIONES AUDAX'!$C$22),'COMISIONES AUDAX'!D$22,IF(AND($D$18="3.0TD",$E$22&gt;'COMISIONES AUDAX'!$B$23,$E$22&lt;='COMISIONES AUDAX'!$C$23),'COMISIONES AUDAX'!D$23,IF(AND($D$18="3.0TD",$E$22&gt;'COMISIONES AUDAX'!$B$24,$E$22&lt;='COMISIONES AUDAX'!$C$24),'COMISIONES AUDAX'!D$24,IF(AND($D$18="3.0TD",$E$22&gt;'COMISIONES AUDAX'!$B$25,$E$22&lt;='COMISIONES AUDAX'!$C$25),'COMISIONES AUDAX'!D$25,IF(AND($D$18="3.0TD",$E$22&gt;'COMISIONES AUDAX'!$B$26,$E$22&lt;='COMISIONES AUDAX'!$C$26),'COMISIONES AUDAX'!D$26,IF(AND($D$18="3.0TD",$E$22&gt;'COMISIONES AUDAX'!$B$27,$E$22&lt;='COMISIONES AUDAX'!$C$27),'COMISIONES AUDAX'!D$27,IF(AND($D$18="3.0TD",$E$22&gt;'COMISIONES AUDAX'!$B$28,$E$22&lt;='COMISIONES AUDAX'!$C$28),'COMISIONES AUDAX'!D$28,IF(AND($D$18="3.0TD",$E$22&gt;'COMISIONES AUDAX'!$B$29,$E$22&lt;='COMISIONES AUDAX'!$C$29),'COMISIONES AUDAX'!D$29,IF(AND($D$18="3.0TD",$E$22&gt;'COMISIONES AUDAX'!$B$30,$E$22&lt;='COMISIONES AUDAX'!$C$30),'COMISIONES AUDAX'!D$30,IF(AND($D$18="6.1TD",$E$22&lt;='COMISIONES AUDAX'!$C$31),'COMISIONES AUDAX'!D$31,IF(AND($D$18="6.1TD",$E$22&gt;'COMISIONES AUDAX'!$B$32,$E$22&lt;='COMISIONES AUDAX'!$C$32),'COMISIONES AUDAX'!D$32,IF(AND($D$18="6.1TD",$E$22&gt;'COMISIONES AUDAX'!$B$33,$E$22&lt;='COMISIONES AUDAX'!$C$33),'COMISIONES AUDAX'!D$33,IF(AND($D$18="6.1TD",$E$22&gt;'COMISIONES AUDAX'!$B$34,$E$22&lt;='COMISIONES AUDAX'!$C$34),'COMISIONES AUDAX'!D$34,IF(AND($D$18="6.1TD",$E$22&gt;'COMISIONES AUDAX'!$B$35,$E$22&lt;='COMISIONES AUDAX'!$C$35),'COMISIONES AUDAX'!D$35,IF(AND($D$18="6.1TD",$E$22&gt;'COMISIONES AUDAX'!$B$36,$E$22&lt;='COMISIONES AUDAX'!$C$36),'COMISIONES AUDAX'!D$36,IF(AND($D$18="6.1TD",$E$22&gt;'COMISIONES AUDAX'!$B$37,$E$22&lt;='COMISIONES AUDAX'!$C$37),'COMISIONES AUDAX'!D$37,IF(AND($D$18="6.1TD",$E$22&gt;'COMISIONES AUDAX'!$B$38,$E$22&lt;='COMISIONES AUDAX'!$C$38),'COMISIONES AUDAX'!D$38,IF(AND($D$18="6.1TD",$E$22&gt;'COMISIONES AUDAX'!$B$39,$E$22&lt;='COMISIONES AUDAX'!$C$39),'COMISIONES AUDAX'!D$39,IF(AND($D$18="6.1TD",$E$22&gt;'COMISIONES AUDAX'!$B$40,$E$22&lt;='COMISIONES AUDAX'!$C$40),'COMISIONES AUDAX'!D$40,IF(AND($D$18="6.1TD",$E$22&gt;'COMISIONES AUDAX'!$B$41,$E$22&lt;='COMISIONES AUDAX'!$C$41),'COMISIONES AUDAX'!D$41,IF(AND($D$18="6.1TD",$E$22&gt;'COMISIONES AUDAX'!$B$42,$E$22&lt;='COMISIONES AUDAX'!$C$42),'COMISIONES AUDAX'!D$42,IF(AND($D$18="6.1TD",$E$22&gt;'COMISIONES AUDAX'!$B$43,$E$22&lt;='COMISIONES AUDAX'!$C$43),'COMISIONES AUDAX'!D$43,IF(AND($D$18="6.1TD",$E$22&gt;'COMISIONES AUDAX'!$B$44,$E$22&lt;='COMISIONES AUDAX'!$C$44),'COMISIONES AUDAX'!D$44,IF(AND($D$18="6.1TD",$E$22&gt;'COMISIONES AUDAX'!D$45),'COMISIONES AUDAX'!D$45)))))))))))))))))))))))))))))))))))))))))))*C1)))))))))))))))))))))))))))))))))))))))))))))))))))))</f>
        <v>135</v>
      </c>
      <c r="M13" s="404" t="s">
        <v>21</v>
      </c>
      <c r="N13" s="272" t="str">
        <f>$D$18</f>
        <v>2.0TD</v>
      </c>
      <c r="O13" s="151" t="s">
        <v>22</v>
      </c>
      <c r="P13" s="273" t="str">
        <f>IF(D19="INDEXADO",'IMPRIMIR INDEXADO'!K106,"")</f>
        <v/>
      </c>
      <c r="Q13" s="239" t="str">
        <f>IF(O13=O34,Q34,IF(O13=O35,Q35,IF(O13=O36,Q36,IF(O13=O37,Q37,IF(O13=O38,Q38,IF(O13=O39,Q39,""))))))</f>
        <v/>
      </c>
      <c r="R13" s="270"/>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row>
    <row r="14" spans="1:51" ht="18.600000000000001" thickBot="1">
      <c r="A14" s="321"/>
      <c r="B14" s="484" t="s">
        <v>23</v>
      </c>
      <c r="C14" s="485"/>
      <c r="D14" s="490">
        <v>114.15</v>
      </c>
      <c r="E14" s="491"/>
      <c r="F14" s="321"/>
      <c r="G14" s="248"/>
      <c r="H14" s="541"/>
      <c r="I14" s="369" t="s">
        <v>24</v>
      </c>
      <c r="J14" s="364">
        <f>IF(D19="PRECIO FIJO",IF($D$18="2.0TD",'RESULTADO PRECIO FIJO'!N11,IF($D$18="3.0TD",'RESULTADO PRECIO FIJO'!N27,IF($D$18="6.1TD",'RESULTADO PRECIO FIJO'!N35))),"")</f>
        <v>-73.776179611444206</v>
      </c>
      <c r="K14" s="354">
        <f>IF(J14="","",(((((((((((((((((((((((((((((((((((((((((((((((((((((IF(AND($D$18="2.0TD",$E$22&lt;='COMISIONES AUDAX'!$C$4,$E$25&lt;10),'COMISIONES AUDAX'!F$4,IF(AND($D$18="2.0TD",$E$22&gt;'COMISIONES AUDAX'!$B$5,$E$22&lt;='COMISIONES AUDAX'!$C$5,$E$25&lt;10),'COMISIONES AUDAX'!F$5,IF(AND($D$18="2.0TD",$E$22&gt;'COMISIONES AUDAX'!$B$6,$E$22&lt;='COMISIONES AUDAX'!$C$6,$E$25&lt;10),'COMISIONES AUDAX'!F$6,IF(AND($D$18="2.0TD",$E$22&gt;'COMISIONES AUDAX'!$B$7,$E$22&lt;='COMISIONES AUDAX'!$C$7,$E$25&lt;10),'COMISIONES AUDAX'!F$7,IF(AND($D$18="2.0TD",$E$22&gt;'COMISIONES AUDAX'!$B$8,$E$22&lt;='COMISIONES AUDAX'!$C$8,$E$25&lt;10),'COMISIONES AUDAX'!F$8,IF(AND($D$18="2.0TD",$E$22&lt;='COMISIONES AUDAX'!$C$9,$E$25&gt;10),'COMISIONES AUDAX'!F$9,IF(AND($D$18="2.0TD",$E$22&gt;'COMISIONES AUDAX'!$B$10,$E$22&lt;='COMISIONES AUDAX'!$C$10,$E$25&gt;10),'COMISIONES AUDAX'!F$10,IF(AND($D$18="2.0TD",$E$22&gt;'COMISIONES AUDAX'!$B$11,$E$22&lt;='COMISIONES AUDAX'!$C$11,$E$25&gt;10),'COMISIONES AUDAX'!F$11,IF(AND($D$18="2.0TD",$E$22&gt;'COMISIONES AUDAX'!$B$12,$E$22&lt;='COMISIONES AUDAX'!$C$12,$E$25&gt;10),'COMISIONES AUDAX'!F$12,IF(AND($D$18="2.0TD",$E$22&gt;'COMISIONES AUDAX'!$B$13,$E$22&lt;='COMISIONES AUDAX'!$C$13,$E$25&gt;10),'COMISIONES AUDAX'!F$13,IF(AND($D$18="2.0TD",$E$22&gt;'COMISIONES AUDAX'!$B$14,$E$22&lt;='COMISIONES AUDAX'!$C$14,$E$25&gt;10),'COMISIONES AUDAX'!F$14,IF(AND($D$18="2.0TD",$E$22&gt;'COMISIONES AUDAX'!$B$15,$E$22&lt;='COMISIONES AUDAX'!$C$15,$E$25&gt;10),'COMISIONES AUDAX'!F$15,IF(AND($D$18="2.0TD",$E$22&gt;'COMISIONES AUDAX'!$B$16,$E$22&lt;='COMISIONES AUDAX'!$C$16,$E$25&gt;10),'COMISIONES AUDAX'!F$16,IF(AND($D$18="3.0TD",$E$22&lt;='COMISIONES AUDAX'!$C$17),'COMISIONES AUDAX'!F$17,IF(AND($D$18="3.0TD",$E$22&gt;'COMISIONES AUDAX'!$B$18,$E$22&lt;='COMISIONES AUDAX'!$C$18),'COMISIONES AUDAX'!F$18,IF(AND($D$18="3.0TD",$E$22&gt;'COMISIONES AUDAX'!$B$19,$E$22&lt;='COMISIONES AUDAX'!$C$19),'COMISIONES AUDAX'!F$19,IF(AND($D$18="3.0TD",$E$22&gt;'COMISIONES AUDAX'!$B$20,$E$22&lt;='COMISIONES AUDAX'!$C$20),'COMISIONES AUDAX'!F$20,IF(AND($D$18="3.0TD",$E$22&gt;'COMISIONES AUDAX'!$B$21,$E$22&lt;='COMISIONES AUDAX'!$C$21),'COMISIONES AUDAX'!F$21,IF(AND($D$18="3.0TD",$E$22&gt;'COMISIONES AUDAX'!$B$22,$E$22&lt;='COMISIONES AUDAX'!$C$22),'COMISIONES AUDAX'!F$22,IF(AND($D$18="3.0TD",$E$22&gt;'COMISIONES AUDAX'!$B$23,$E$22&lt;='COMISIONES AUDAX'!$C$23),'COMISIONES AUDAX'!F$23,IF(AND($D$18="3.0TD",$E$22&gt;'COMISIONES AUDAX'!$B$24,$E$22&lt;='COMISIONES AUDAX'!$C$24),'COMISIONES AUDAX'!F$24,IF(AND($D$18="3.0TD",$E$22&gt;'COMISIONES AUDAX'!$B$25,$E$22&lt;='COMISIONES AUDAX'!$C$25),'COMISIONES AUDAX'!F$25,IF(AND($D$18="3.0TD",$E$22&gt;'COMISIONES AUDAX'!$B$26,$E$22&lt;='COMISIONES AUDAX'!$C$26),'COMISIONES AUDAX'!F$26,IF(AND($D$18="3.0TD",$E$22&gt;'COMISIONES AUDAX'!$B$27,$E$22&lt;='COMISIONES AUDAX'!$C$27),'COMISIONES AUDAX'!F$27,IF(AND($D$18="3.0TD",$E$22&gt;'COMISIONES AUDAX'!$B$28,$E$22&lt;='COMISIONES AUDAX'!$C$28),'COMISIONES AUDAX'!F$28,IF(AND($D$18="3.0TD",$E$22&gt;'COMISIONES AUDAX'!$B$29,$E$22&lt;='COMISIONES AUDAX'!$C$29),'COMISIONES AUDAX'!F$29,IF(AND($D$18="3.0TD",$E$22&gt;'COMISIONES AUDAX'!$B$30,$E$22&lt;='COMISIONES AUDAX'!$C$30),'COMISIONES AUDAX'!F$30,IF(AND($D$18="6.1TD",$E$22&lt;='COMISIONES AUDAX'!$C$31),'COMISIONES AUDAX'!F$31,IF(AND($D$18="6.1TD",$E$22&gt;'COMISIONES AUDAX'!$B$32,$E$22&lt;='COMISIONES AUDAX'!$C$32),'COMISIONES AUDAX'!F$32,IF(AND($D$18="6.1TD",$E$22&gt;'COMISIONES AUDAX'!$B$33,$E$22&lt;='COMISIONES AUDAX'!$C$33),'COMISIONES AUDAX'!F$33,IF(AND($D$18="6.1TD",$E$22&gt;'COMISIONES AUDAX'!$B$34,$E$22&lt;='COMISIONES AUDAX'!$C$34),'COMISIONES AUDAX'!F$34,IF(AND($D$18="6.1TD",$E$22&gt;'COMISIONES AUDAX'!$B$35,$E$22&lt;='COMISIONES AUDAX'!$C$35),'COMISIONES AUDAX'!F$35,IF(AND($D$18="6.1TD",$E$22&gt;'COMISIONES AUDAX'!$B$36,$E$22&lt;='COMISIONES AUDAX'!$C$36),'COMISIONES AUDAX'!F$36,IF(AND($D$18="6.1TD",$E$22&gt;'COMISIONES AUDAX'!$B$37,$E$22&lt;='COMISIONES AUDAX'!$C$37),'COMISIONES AUDAX'!F$37,IF(AND($D$18="6.1TD",$E$22&gt;'COMISIONES AUDAX'!$B$38,$E$22&lt;='COMISIONES AUDAX'!$C$38),'COMISIONES AUDAX'!F$38,IF(AND($D$18="6.1TD",$E$22&gt;'COMISIONES AUDAX'!$B$39,$E$22&lt;='COMISIONES AUDAX'!$C$39),'COMISIONES AUDAX'!F$39,IF(AND($D$18="6.1TD",$E$22&gt;'COMISIONES AUDAX'!$B$40,$E$22&lt;='COMISIONES AUDAX'!$C$40),'COMISIONES AUDAX'!F$40,IF(AND($D$18="6.1TD",$E$22&gt;'COMISIONES AUDAX'!$B$41,$E$22&lt;='COMISIONES AUDAX'!$C$41),'COMISIONES AUDAX'!F$41,IF(AND($D$18="6.1TD",$E$22&gt;'COMISIONES AUDAX'!$B$42,$E$22&lt;='COMISIONES AUDAX'!$C$42),'COMISIONES AUDAX'!F$42,IF(AND($D$18="6.1TD",$E$22&gt;'COMISIONES AUDAX'!$B$43,$E$22&lt;='COMISIONES AUDAX'!$C$43),'COMISIONES AUDAX'!F$43,IF(AND($D$18="6.1TD",$E$22&gt;'COMISIONES AUDAX'!$B$44,$E$22&lt;='COMISIONES AUDAX'!$C$44),'COMISIONES AUDAX'!F$44,IF(AND($D$18="6.1TD",$E$22&gt;'COMISIONES AUDAX'!F$45),'COMISIONES AUDAX'!F$45))))))))))))))))))))))))))))))))))))))))))*C1))))))))))))))))))))))))))))))))))))))))))))))))))))))</f>
        <v>89</v>
      </c>
      <c r="M14" s="497" t="s">
        <v>25</v>
      </c>
      <c r="N14" s="498"/>
      <c r="O14" s="499"/>
      <c r="P14" s="512"/>
      <c r="Q14" s="513"/>
      <c r="R14" s="270"/>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row>
    <row r="15" spans="1:51">
      <c r="A15" s="321"/>
      <c r="B15" s="488" t="s">
        <v>26</v>
      </c>
      <c r="C15" s="489"/>
      <c r="D15" s="490">
        <v>0</v>
      </c>
      <c r="E15" s="491"/>
      <c r="F15" s="321"/>
      <c r="G15" s="248"/>
      <c r="H15" s="541"/>
      <c r="I15" s="369" t="s">
        <v>27</v>
      </c>
      <c r="J15" s="364">
        <f>IF(D19="PRECIO FIJO",IF($D$18="2.0TD",'RESULTADO PRECIO FIJO'!N15,IF($D$18="3.0TD",'RESULTADO PRECIO FIJO'!N29,IF($D$18="6.1TD",'RESULTADO PRECIO FIJO'!N37))),"")</f>
        <v>-71.384324786194213</v>
      </c>
      <c r="K15" s="354">
        <f>IF(J15="","",(((((((((((((((((((((((((((((((((((((((((((((((((((((IF(AND($D$18="2.0TD",$E$22&lt;='COMISIONES AUDAX'!$C$4,$E$25&lt;10),'COMISIONES AUDAX'!G$4,IF(AND($D$18="2.0TD",$E$22&gt;'COMISIONES AUDAX'!$B$5,$E$22&lt;='COMISIONES AUDAX'!$C$5,$E$25&lt;10),'COMISIONES AUDAX'!G$5,IF(AND($D$18="2.0TD",$E$22&gt;'COMISIONES AUDAX'!$B$6,$E$22&lt;='COMISIONES AUDAX'!$C$6,$E$25&lt;10),'COMISIONES AUDAX'!G$6,IF(AND($D$18="2.0TD",$E$22&gt;'COMISIONES AUDAX'!$B$7,$E$22&lt;='COMISIONES AUDAX'!$C$7,$E$25&lt;10),'COMISIONES AUDAX'!G$7,IF(AND($D$18="2.0TD",$E$22&gt;'COMISIONES AUDAX'!$B$8,$E$22&lt;='COMISIONES AUDAX'!$C$8,$E$25&lt;10),'COMISIONES AUDAX'!G$8,IF(AND($D$18="2.0TD",$E$22&lt;='COMISIONES AUDAX'!$C$9,$E$25&gt;10),'COMISIONES AUDAX'!G$9,IF(AND($D$18="2.0TD",$E$22&gt;'COMISIONES AUDAX'!$B$10,$E$22&lt;='COMISIONES AUDAX'!$C$10,$E$25&gt;10),'COMISIONES AUDAX'!G$10,IF(AND($D$18="2.0TD",$E$22&gt;'COMISIONES AUDAX'!$B$11,$E$22&lt;='COMISIONES AUDAX'!$C$11,$E$25&gt;10),'COMISIONES AUDAX'!G$11,IF(AND($D$18="2.0TD",$E$22&gt;'COMISIONES AUDAX'!$B$12,$E$22&lt;='COMISIONES AUDAX'!$C$12,$E$25&gt;10),'COMISIONES AUDAX'!G$12,IF(AND($D$18="2.0TD",$E$22&gt;'COMISIONES AUDAX'!$B$13,$E$22&lt;='COMISIONES AUDAX'!$C$13,$E$25&gt;10),'COMISIONES AUDAX'!G$13,IF(AND($D$18="2.0TD",$E$22&gt;'COMISIONES AUDAX'!$B$14,$E$22&lt;='COMISIONES AUDAX'!$C$14,$E$25&gt;10),'COMISIONES AUDAX'!G$14,IF(AND($D$18="2.0TD",$E$22&gt;'COMISIONES AUDAX'!$B$15,$E$22&lt;='COMISIONES AUDAX'!$C$15,$E$25&gt;10),'COMISIONES AUDAX'!G$15,IF(AND($D$18="2.0TD",$E$22&gt;'COMISIONES AUDAX'!$B$16,$E$22&lt;='COMISIONES AUDAX'!$C$16,$E$25&gt;10),'COMISIONES AUDAX'!G$16,IF(AND($D$18="3.0TD",$E$22&lt;='COMISIONES AUDAX'!$C$17),'COMISIONES AUDAX'!G$17,IF(AND($D$18="3.0TD",$E$22&gt;'COMISIONES AUDAX'!$B$18,$E$22&lt;='COMISIONES AUDAX'!$C$18),'COMISIONES AUDAX'!G$18,IF(AND($D$18="3.0TD",$E$22&gt;'COMISIONES AUDAX'!$B$19,$E$22&lt;='COMISIONES AUDAX'!$C$19),'COMISIONES AUDAX'!G$19,IF(AND($D$18="3.0TD",$E$22&gt;'COMISIONES AUDAX'!$B$20,$E$22&lt;='COMISIONES AUDAX'!$C$20),'COMISIONES AUDAX'!G$20,IF(AND($D$18="3.0TD",$E$22&gt;'COMISIONES AUDAX'!$B$21,$E$22&lt;='COMISIONES AUDAX'!$C$21),'COMISIONES AUDAX'!G$21,IF(AND($D$18="3.0TD",$E$22&gt;'COMISIONES AUDAX'!$B$22,$E$22&lt;='COMISIONES AUDAX'!$C$22),'COMISIONES AUDAX'!G$22,IF(AND($D$18="3.0TD",$E$22&gt;'COMISIONES AUDAX'!$B$23,$E$22&lt;='COMISIONES AUDAX'!$C$23),'COMISIONES AUDAX'!G$23,IF(AND($D$18="3.0TD",$E$22&gt;'COMISIONES AUDAX'!$B$24,$E$22&lt;='COMISIONES AUDAX'!$C$24),'COMISIONES AUDAX'!G$24,IF(AND($D$18="3.0TD",$E$22&gt;'COMISIONES AUDAX'!$B$25,$E$22&lt;='COMISIONES AUDAX'!$C$25),'COMISIONES AUDAX'!G$25,IF(AND($D$18="3.0TD",$E$22&gt;'COMISIONES AUDAX'!$B$26,$E$22&lt;='COMISIONES AUDAX'!$C$26),'COMISIONES AUDAX'!G$26,IF(AND($D$18="3.0TD",$E$22&gt;'COMISIONES AUDAX'!$B$27,$E$22&lt;='COMISIONES AUDAX'!$C$27),'COMISIONES AUDAX'!G$27,IF(AND($D$18="3.0TD",$E$22&gt;'COMISIONES AUDAX'!$B$28,$E$22&lt;='COMISIONES AUDAX'!$C$28),'COMISIONES AUDAX'!G$28,IF(AND($D$18="3.0TD",$E$22&gt;'COMISIONES AUDAX'!$B$29,$E$22&lt;='COMISIONES AUDAX'!$C$29),'COMISIONES AUDAX'!G$29,IF(AND($D$18="3.0TD",$E$22&gt;'COMISIONES AUDAX'!$B$30,$E$22&lt;='COMISIONES AUDAX'!$C$30),'COMISIONES AUDAX'!G$30,IF(AND($D$18="6.1TD",$E$22&lt;='COMISIONES AUDAX'!$C$31),'COMISIONES AUDAX'!G$31,IF(AND($D$18="6.1TD",$E$22&gt;'COMISIONES AUDAX'!$B$32,$E$22&lt;='COMISIONES AUDAX'!$C$32),'COMISIONES AUDAX'!G$32,IF(AND($D$18="6.1TD",$E$22&gt;'COMISIONES AUDAX'!$B$33,$E$22&lt;='COMISIONES AUDAX'!$C$33),'COMISIONES AUDAX'!G$33,IF(AND($D$18="6.1TD",$E$22&gt;'COMISIONES AUDAX'!$B$34,$E$22&lt;='COMISIONES AUDAX'!$C$34),'COMISIONES AUDAX'!G$34,IF(AND($D$18="6.1TD",$E$22&gt;'COMISIONES AUDAX'!$B$35,$E$22&lt;='COMISIONES AUDAX'!$C$35),'COMISIONES AUDAX'!G$35,IF(AND($D$18="6.1TD",$E$22&gt;'COMISIONES AUDAX'!$B$36,$E$22&lt;='COMISIONES AUDAX'!$C$36),'COMISIONES AUDAX'!G$36,IF(AND($D$18="6.1TD",$E$22&gt;'COMISIONES AUDAX'!$B$37,$E$22&lt;='COMISIONES AUDAX'!$C$37),'COMISIONES AUDAX'!G$37,IF(AND($D$18="6.1TD",$E$22&gt;'COMISIONES AUDAX'!$B$38,$E$22&lt;='COMISIONES AUDAX'!$C$38),'COMISIONES AUDAX'!G$38,IF(AND($D$18="6.1TD",$E$22&gt;'COMISIONES AUDAX'!$B$39,$E$22&lt;='COMISIONES AUDAX'!$C$39),'COMISIONES AUDAX'!G$39,IF(AND($D$18="6.1TD",$E$22&gt;'COMISIONES AUDAX'!$B$40,$E$22&lt;='COMISIONES AUDAX'!$C$40),'COMISIONES AUDAX'!G$40,IF(AND($D$18="6.1TD",$E$22&gt;'COMISIONES AUDAX'!$B$41,$E$22&lt;='COMISIONES AUDAX'!$C$41),'COMISIONES AUDAX'!G$41,IF(AND($D$18="6.1TD",$E$22&gt;'COMISIONES AUDAX'!$B$42,$E$22&lt;='COMISIONES AUDAX'!$C$42),'COMISIONES AUDAX'!G$42,IF(AND($D$18="6.1TD",$E$22&gt;'COMISIONES AUDAX'!$B$43,$E$22&lt;='COMISIONES AUDAX'!$C$43),'COMISIONES AUDAX'!G$43,IF(AND($D$18="6.1TD",$E$22&gt;'COMISIONES AUDAX'!$B$44,$E$22&lt;='COMISIONES AUDAX'!$C$44),'COMISIONES AUDAX'!G$44,IF(AND($D$18="6.1TD",$E$22&gt;'COMISIONES AUDAX'!G$45),'COMISIONES AUDAX'!G$45)))))))))))))))))))))))))))))))))))))))))))*C1)))))))))))))))))))))))))))))))))))))))))))))))))))))</f>
        <v>68</v>
      </c>
      <c r="M15" s="405" t="s">
        <v>17</v>
      </c>
      <c r="N15" s="329" t="str">
        <f>$D$18</f>
        <v>2.0TD</v>
      </c>
      <c r="O15" s="330" t="s">
        <v>20</v>
      </c>
      <c r="P15" s="327">
        <f>IF(D19="PRECIO FIJO",'IMPRIMIR PRECIO FIJO'!K70,"")</f>
        <v>-75.999829184644256</v>
      </c>
      <c r="Q15" s="328">
        <f>IF(O15=I12,K12,IF(O15=I13,K13,IF(O15=I14,K14,IF(O15=I15,K15,IF(O15=I16,K16,"")))))</f>
        <v>135</v>
      </c>
      <c r="R15" s="270"/>
      <c r="S15" s="321"/>
      <c r="T15" s="321"/>
      <c r="U15" s="321"/>
      <c r="V15" s="321"/>
      <c r="W15" s="321"/>
      <c r="X15" s="321"/>
      <c r="Y15" s="32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row>
    <row r="16" spans="1:51" ht="16.149999999999999" thickBot="1">
      <c r="A16" s="321"/>
      <c r="B16" s="484" t="s">
        <v>28</v>
      </c>
      <c r="C16" s="485"/>
      <c r="D16" s="490">
        <v>0.85</v>
      </c>
      <c r="E16" s="491"/>
      <c r="F16" s="321"/>
      <c r="G16" s="248"/>
      <c r="H16" s="542"/>
      <c r="I16" s="414" t="s">
        <v>29</v>
      </c>
      <c r="J16" s="367">
        <f>IF(D19="PRECIO FIJO",IF($D$18="2.0TD",'RESULTADO PRECIO FIJO'!N19,IF($D$18="3.0TD",'RESULTADO PRECIO FIJO'!N31,IF($D$18="6.1TD",'RESULTADO PRECIO FIJO'!N39))),"")</f>
        <v>-66.281445868453687</v>
      </c>
      <c r="K16" s="349">
        <f>IF(J16="","",(((((((((((((((((((((((((((((((((((((((((((((((((((((IF(AND($D$18="2.0TD",$E$22&lt;='COMISIONES AUDAX'!$C$4,$E$25&lt;10),'COMISIONES AUDAX'!H$4,IF(AND($D$18="2.0TD",$E$22&gt;'COMISIONES AUDAX'!$B$5,$E$22&lt;='COMISIONES AUDAX'!$C$5,$E$25&lt;10),'COMISIONES AUDAX'!H$5,IF(AND($D$18="2.0TD",$E$22&gt;'COMISIONES AUDAX'!$B$6,$E$22&lt;='COMISIONES AUDAX'!$C$6,$E$25&lt;10),'COMISIONES AUDAX'!H$6,IF(AND($D$18="2.0TD",$E$22&gt;'COMISIONES AUDAX'!$B$7,$E$22&lt;='COMISIONES AUDAX'!$C$7,$E$25&lt;10),'COMISIONES AUDAX'!H$7,IF(AND($D$18="2.0TD",$E$22&gt;'COMISIONES AUDAX'!$B$8,$E$22&lt;='COMISIONES AUDAX'!$C$8,$E$25&lt;10),'COMISIONES AUDAX'!H$8,IF(AND($D$18="2.0TD",$E$22&lt;='COMISIONES AUDAX'!$C$9,$E$25&gt;10),'COMISIONES AUDAX'!H$9,IF(AND($D$18="2.0TD",$E$22&gt;'COMISIONES AUDAX'!$B$10,$E$22&lt;='COMISIONES AUDAX'!$C$10,$E$25&gt;10),'COMISIONES AUDAX'!H$10,IF(AND($D$18="2.0TD",$E$22&gt;'COMISIONES AUDAX'!$B$11,$E$22&lt;='COMISIONES AUDAX'!$C$11,$E$25&gt;10),'COMISIONES AUDAX'!H$11,IF(AND($D$18="2.0TD",$E$22&gt;'COMISIONES AUDAX'!$B$12,$E$22&lt;='COMISIONES AUDAX'!$C$12,$E$25&gt;10),'COMISIONES AUDAX'!H$12,IF(AND($D$18="2.0TD",$E$22&gt;'COMISIONES AUDAX'!$B$13,$E$22&lt;='COMISIONES AUDAX'!$C$13,$E$25&gt;10),'COMISIONES AUDAX'!H$13,IF(AND($D$18="2.0TD",$E$22&gt;'COMISIONES AUDAX'!$B$14,$E$22&lt;='COMISIONES AUDAX'!$C$14,$E$25&gt;10),'COMISIONES AUDAX'!H$14,IF(AND($D$18="2.0TD",$E$22&gt;'COMISIONES AUDAX'!$B$15,$E$22&lt;='COMISIONES AUDAX'!$C$15,$E$25&gt;10),'COMISIONES AUDAX'!H$15,IF(AND($D$18="2.0TD",$E$22&gt;'COMISIONES AUDAX'!$B$16,$E$22&lt;='COMISIONES AUDAX'!$C$16,$E$25&gt;10),'COMISIONES AUDAX'!H$16,IF(AND($D$18="3.0TD",$E$22&lt;='COMISIONES AUDAX'!$C$17),'COMISIONES AUDAX'!H$17,IF(AND($D$18="3.0TD",$E$22&gt;'COMISIONES AUDAX'!$B$18,$E$22&lt;='COMISIONES AUDAX'!$C$18),'COMISIONES AUDAX'!H$18,IF(AND($D$18="3.0TD",$E$22&gt;'COMISIONES AUDAX'!$B$19,$E$22&lt;='COMISIONES AUDAX'!$C$19),'COMISIONES AUDAX'!H$19,IF(AND($D$18="3.0TD",$E$22&gt;'COMISIONES AUDAX'!$B$20,$E$22&lt;='COMISIONES AUDAX'!$C$20),'COMISIONES AUDAX'!H$20,IF(AND($D$18="3.0TD",$E$22&gt;'COMISIONES AUDAX'!$B$21,$E$22&lt;='COMISIONES AUDAX'!$C$21),'COMISIONES AUDAX'!H$21,IF(AND($D$18="3.0TD",$E$22&gt;'COMISIONES AUDAX'!$B$22,$E$22&lt;='COMISIONES AUDAX'!$C$22),'COMISIONES AUDAX'!H$22,IF(AND($D$18="3.0TD",$E$22&gt;'COMISIONES AUDAX'!$B$23,$E$22&lt;='COMISIONES AUDAX'!$C$23),'COMISIONES AUDAX'!H$23,IF(AND($D$18="3.0TD",$E$22&gt;'COMISIONES AUDAX'!$B$24,$E$22&lt;='COMISIONES AUDAX'!$C$24),'COMISIONES AUDAX'!H$24,IF(AND($D$18="3.0TD",$E$22&gt;'COMISIONES AUDAX'!$B$25,$E$22&lt;='COMISIONES AUDAX'!$C$25),'COMISIONES AUDAX'!H$25,IF(AND($D$18="3.0TD",$E$22&gt;'COMISIONES AUDAX'!$B$26,$E$22&lt;='COMISIONES AUDAX'!$C$26),'COMISIONES AUDAX'!H$26,IF(AND($D$18="3.0TD",$E$22&gt;'COMISIONES AUDAX'!$B$27,$E$22&lt;='COMISIONES AUDAX'!$C$27),'COMISIONES AUDAX'!H$27,IF(AND($D$18="3.0TD",$E$22&gt;'COMISIONES AUDAX'!$B$28,$E$22&lt;='COMISIONES AUDAX'!$C$28),'COMISIONES AUDAX'!H$28,IF(AND($D$18="3.0TD",$E$22&gt;'COMISIONES AUDAX'!$B$29,$E$22&lt;='COMISIONES AUDAX'!$C$29),'COMISIONES AUDAX'!H$29,IF(AND($D$18="3.0TD",$E$22&gt;'COMISIONES AUDAX'!$B$30,$E$22&lt;='COMISIONES AUDAX'!$C$30),'COMISIONES AUDAX'!H$30,IF(AND($D$18="6.1TD",$E$22&lt;='COMISIONES AUDAX'!$C$31),'COMISIONES AUDAX'!H$31,IF(AND($D$18="6.1TD",$E$22&gt;'COMISIONES AUDAX'!$B$32,$E$22&lt;='COMISIONES AUDAX'!$C$32),'COMISIONES AUDAX'!H$32,IF(AND($D$18="6.1TD",$E$22&gt;'COMISIONES AUDAX'!$B$33,$E$22&lt;='COMISIONES AUDAX'!$C$33),'COMISIONES AUDAX'!H$33,IF(AND($D$18="6.1TD",$E$22&gt;'COMISIONES AUDAX'!$B$34,$E$22&lt;='COMISIONES AUDAX'!$C$34),'COMISIONES AUDAX'!H$34,IF(AND($D$18="6.1TD",$E$22&gt;'COMISIONES AUDAX'!$B$35,$E$22&lt;='COMISIONES AUDAX'!$C$35),'COMISIONES AUDAX'!H$35,IF(AND($D$18="6.1TD",$E$22&gt;'COMISIONES AUDAX'!$B$36,$E$22&lt;='COMISIONES AUDAX'!$C$36),'COMISIONES AUDAX'!H$36,IF(AND($D$18="6.1TD",$E$22&gt;'COMISIONES AUDAX'!$B$37,$E$22&lt;='COMISIONES AUDAX'!$C$37),'COMISIONES AUDAX'!H$37,IF(AND($D$18="6.1TD",$E$22&gt;'COMISIONES AUDAX'!$B$38,$E$22&lt;='COMISIONES AUDAX'!$C$38),'COMISIONES AUDAX'!H$38,IF(AND($D$18="6.1TD",$E$22&gt;'COMISIONES AUDAX'!$B$39,$E$22&lt;='COMISIONES AUDAX'!$C$39),'COMISIONES AUDAX'!H$39,IF(AND($D$18="6.1TD",$E$22&gt;'COMISIONES AUDAX'!$B$40,$E$22&lt;='COMISIONES AUDAX'!$C$40),'COMISIONES AUDAX'!H$40,IF(AND($D$18="6.1TD",$E$22&gt;'COMISIONES AUDAX'!$B$41,$E$22&lt;='COMISIONES AUDAX'!$C$41),'COMISIONES AUDAX'!H$41,IF(AND($D$18="6.1TD",$E$22&gt;'COMISIONES AUDAX'!$B$42,$E$22&lt;='COMISIONES AUDAX'!$C$42),'COMISIONES AUDAX'!H$42,IF(AND($D$18="6.1TD",$E$22&gt;'COMISIONES AUDAX'!$B$43,$E$22&lt;='COMISIONES AUDAX'!$C$43),'COMISIONES AUDAX'!H$43,IF(AND($D$18="6.1TD",$E$22&gt;'COMISIONES AUDAX'!$B$44,$E$22&lt;='COMISIONES AUDAX'!$C$44),'COMISIONES AUDAX'!H$44,IF(AND($D$18="6.1TD",$E$22&gt;'COMISIONES AUDAX'!H$45),'COMISIONES AUDAX'!H$45)))))))))))))))))))))))))))))))))))))))))))*C1)))))))))))))))))))))))))))))))))))))))))))))))))))))</f>
        <v>17</v>
      </c>
      <c r="M16" s="407" t="s">
        <v>21</v>
      </c>
      <c r="N16" s="431" t="str">
        <f>$D$18</f>
        <v>2.0TD</v>
      </c>
      <c r="O16" s="150" t="s">
        <v>30</v>
      </c>
      <c r="P16" s="432">
        <f>IF(D19="PRECIO FIJO",'IMPRIMIR PRECIO FIJO'!K106,"")</f>
        <v>-44.392278758599986</v>
      </c>
      <c r="Q16" s="354">
        <f>IF(O16=I17,K17,IF(O16=I18,K18,IF(O16=I19,K19,IF(O16=I20,K20,IF(O16=I21,K21,IF(O16=I22,K22,IF(O16=I23,K23,IF(O16=I24,K24,IF(O16=I25,K25,IF(O16=I26,K26,IF(O16=I27,K27,IF(O16=I28,K28,""))))))))))))</f>
        <v>165</v>
      </c>
      <c r="R16" s="270"/>
      <c r="S16" s="321"/>
      <c r="T16" s="321"/>
      <c r="U16" s="321"/>
      <c r="V16" s="321"/>
      <c r="W16" s="321"/>
      <c r="X16" s="321"/>
      <c r="Y16" s="321"/>
      <c r="Z16" s="321"/>
      <c r="AA16" s="321"/>
      <c r="AB16" s="321"/>
      <c r="AC16" s="321"/>
      <c r="AD16" s="321"/>
      <c r="AE16" s="321"/>
      <c r="AF16" s="321"/>
      <c r="AG16" s="321"/>
      <c r="AH16" s="321"/>
      <c r="AI16" s="321"/>
      <c r="AJ16" s="321"/>
      <c r="AK16" s="321"/>
      <c r="AL16" s="321"/>
      <c r="AM16" s="321"/>
      <c r="AN16" s="321"/>
      <c r="AO16" s="321"/>
      <c r="AP16" s="321"/>
      <c r="AQ16" s="321"/>
      <c r="AR16" s="321"/>
      <c r="AS16" s="321"/>
      <c r="AT16" s="321"/>
      <c r="AU16" s="321"/>
      <c r="AV16" s="321"/>
      <c r="AW16" s="321"/>
      <c r="AX16" s="321"/>
      <c r="AY16" s="321"/>
    </row>
    <row r="17" spans="1:51" ht="15.6">
      <c r="A17" s="321"/>
      <c r="B17" s="484" t="s">
        <v>31</v>
      </c>
      <c r="C17" s="485"/>
      <c r="D17" s="532">
        <f>0.5/100</f>
        <v>5.0000000000000001E-3</v>
      </c>
      <c r="E17" s="533"/>
      <c r="F17" s="321"/>
      <c r="G17" s="248"/>
      <c r="H17" s="524" t="s">
        <v>21</v>
      </c>
      <c r="I17" s="423" t="s">
        <v>30</v>
      </c>
      <c r="J17" s="376">
        <f>IF(D19="PRECIO FIJO",IF($D$18="2.0TD",'RESULTADO PRECIO FIJO'!N41,IF($D$18="3.0TD",'RESULTADO PRECIO FIJO'!N65,"")))</f>
        <v>-39.552278758600011</v>
      </c>
      <c r="K17" s="328">
        <f>IF(J17="","",(((((((((((((((((((((((((((((((((((((((((((((((((((((IF(AND($D$18="2.0TD",$E$22&gt;'COMISIONES ALDRO'!$B$4,$E$22&lt;='COMISIONES ALDRO'!$C$4),'COMISIONES ALDRO'!D$4,IF(AND($D$18="2.0TD",$E$22&gt;'COMISIONES ALDRO'!$B$5,$E$22&lt;='COMISIONES ALDRO'!$C$5),'COMISIONES ALDRO'!D$5,IF(AND($D$18="2.0TD",$E$22&gt;'COMISIONES ALDRO'!$B$6,$E$22&lt;='COMISIONES ALDRO'!$C$6),'COMISIONES ALDRO'!D$6,IF(AND($D$18="2.0TD",$E$22&gt;'COMISIONES ALDRO'!$B$7,$E$22&lt;='COMISIONES ALDRO'!$C$7),'COMISIONES ALDRO'!D$7,IF(AND($D$18="2.0TD",$E$22&gt;'COMISIONES ALDRO'!$B$8,$E$22&lt;='COMISIONES ALDRO'!$C$8),'COMISIONES ALDRO'!D$8,IF(AND($D$18="2.0TD",$E$22&gt;'COMISIONES ALDRO'!$B$8,$E$22&lt;='COMISIONES ALDRO'!$C$8),'COMISIONES ALDRO'!D$8,IF(AND($D$18="2.0TD",$E$22&gt;'COMISIONES ALDRO'!$B$9,$E$22&lt;='COMISIONES ALDRO'!$C$9),'COMISIONES ALDRO'!D$9,IF(AND($D$18="2.0TD",$E$22&gt;'COMISIONES ALDRO'!$B$10,$E$22&lt;='COMISIONES ALDRO'!$C$10),'COMISIONES ALDRO'!D$10,IF(AND($D$18="2.0TD",$E$22&gt;'COMISIONES ALDRO'!$B$11,$E$22&lt;='COMISIONES ALDRO'!$C$11),'COMISIONES ALDRO'!D$11,IF(AND($D$18="2.0TD",$E$22&gt;'COMISIONES ALDRO'!$B$12,$E$22&lt;='COMISIONES ALDRO'!$C$12),'COMISIONES ALDRO'!D$12,IF(AND($D$18="2.0TD",$E$22&gt;'COMISIONES ALDRO'!$B$13,$E$22&lt;='COMISIONES ALDRO'!$C$13),'COMISIONES ALDRO'!D$13,IF(AND($D$18="2.0TD",$E$22&gt;'COMISIONES ALDRO'!$B$14,$E$22&lt;='COMISIONES ALDRO'!$C$14),'COMISIONES ALDRO'!D$14,IF(AND($D$18="3.0TD",$E$22&gt;'COMISIONES ALDRO'!$B$15,$E$22&lt;='COMISIONES ALDRO'!$C$15),'COMISIONES ALDRO'!D$15,IF(AND($D$18="3.0TD",$E$22&gt;'COMISIONES ALDRO'!$B$16,$E$22&lt;='COMISIONES ALDRO'!$C$16),'COMISIONES ALDRO'!D$16,IF(AND($D$18="3.0TD",$E$22&gt;'COMISIONES ALDRO'!$B$17,$E$22&lt;='COMISIONES ALDRO'!$C$17),'COMISIONES ALDRO'!D$17,IF(AND($D$18="3.0TD",$E$22&gt;'COMISIONES ALDRO'!$B$18,$E$22&lt;='COMISIONES ALDRO'!$C$18),'COMISIONES ALDRO'!D$18,IF(AND($D$18="3.0TD",$E$22&gt;'COMISIONES ALDRO'!$B$19,$E$22&lt;='COMISIONES ALDRO'!$C$19),'COMISIONES ALDRO'!D$19,IF(AND($D$18="3.0TD",$E$22&gt;'COMISIONES ALDRO'!$B$20,$E$22&lt;='COMISIONES ALDRO'!$C$20),'COMISIONES ALDRO'!D$20,IF(AND($D$18="3.0TD",$E$22&gt;'COMISIONES ALDRO'!$B$21,$E$22&lt;='COMISIONES ALDRO'!$C$21),'COMISIONES ALDRO'!D21,IF(AND($D$18="3.0TD",$E$22&gt;'COMISIONES ALDRO'!$B$22,$E$22&lt;='COMISIONES ALDRO'!$C$22),'COMISIONES ALDRO'!D$22,IF(AND($D$18="3.0TD",$E$22&gt;'COMISIONES ALDRO'!$B$23,$E$22&lt;='COMISIONES ALDRO'!$C$23),'COMISIONES ALDRO'!D$23,IF(AND($D$18="3.0TD",$E$22&gt;'COMISIONES ALDRO'!$B$24,$E$22&lt;='COMISIONES ALDRO'!$C$24),'COMISIONES ALDRO'!D$24,IF(AND($D$18="3.0TD",$E$22&gt;'COMISIONES ALDRO'!$B$25,$E$22&lt;='COMISIONES ALDRO'!$C$25),'COMISIONES ALDRO'!D$25,IF(AND($D$18="3.0TD",$E$22&gt;'COMISIONES ALDRO'!$B$26,$E$22&lt;='COMISIONES ALDRO'!$C$26),'COMISIONES ALDRO'!D$26,IF(AND($D$18="3.0TD",$E$22&gt;'COMISIONES ALDRO'!$B$27,$E$22&lt;='COMISIONES ALDRO'!$C$27),'COMISIONES ALDRO'!D$27,IF(AND($D$18="3.0TD",$E$22&gt;'COMISIONES ALDRO'!$B$28,$E$22&lt;='COMISIONES ALDRO'!$C$28),'COMISIONES ALDRO'!D$28,IF(AND($D$18="3.0TD",$E$22&gt;'COMISIONES ALDRO'!$B$29,$E$22&lt;='COMISIONES ALDRO'!$C$28),'COMISIONES ALDRO'!D$28,IF(AND($D$18="3.0TD",$E$22&gt;'COMISIONES ALDRO'!$B$29,$E$22&lt;='COMISIONES ALDRO'!$C$29),'COMISIONES ALDRO'!D$29,IF(AND($D$18="3.0TD",$E$22&gt;'COMISIONES ALDRO'!$B$30,$E$22&lt;='COMISIONES ALDRO'!$C$30),'COMISIONES ALDRO'!D$30,IF(AND($D$18="3.0TD",$E$22&gt;'COMISIONES ALDRO'!$B$31,$E$22&lt;='COMISIONES ALDRO'!$C$31),'COMISIONES ALDRO'!D$31,IF(AND($D$18="3.0TD",$E$22&gt;'COMISIONES ALDRO'!$B$32,$E$22&lt;='COMISIONES ALDRO'!$C$32),'COMISIONES ALDRO'!D$32,IF(AND($D$18="3.0TD",$E$22&gt;'COMISIONES ALDRO'!$B$33,$E$22&lt;='COMISIONES ALDRO'!$C$33),'COMISIONES ALDRO'!D$33,))))))))))))))))))))))))))))))))))))))))))))))))))))))*$C$1))))))))))))))))))))))))))))))))</f>
        <v>165</v>
      </c>
      <c r="M17" s="406" t="s">
        <v>32</v>
      </c>
      <c r="N17" s="431" t="str">
        <f>$D$18</f>
        <v>2.0TD</v>
      </c>
      <c r="O17" s="150" t="s">
        <v>33</v>
      </c>
      <c r="P17" s="432">
        <f>IF(D19="PRECIO FIJO",'IMPRIMIR PRECIO FIJO'!K143,"")</f>
        <v>0.42319677425003022</v>
      </c>
      <c r="Q17" s="354">
        <f>IF(P17="","",IF(O17=I29,K29,IF(O17=I30,K30,IF(O17=I31,K31,IF(O17=I32,K32,IF(O17=I33,K33,IF(O17=I34,K34,IF(O17=I34,K34,IF(O17=I35,K35,IF(O17=I36,K36,IF(O17=I37,K37,IF(O17=I38,K38,IF(O17=I39,K34,IF(O17=I40,K40,""))))))))))))))</f>
        <v>86.1</v>
      </c>
      <c r="R17" s="270"/>
      <c r="S17" s="321"/>
      <c r="T17" s="321"/>
      <c r="U17" s="321"/>
      <c r="V17" s="321"/>
      <c r="W17" s="321"/>
      <c r="X17" s="321"/>
      <c r="Y17" s="321"/>
      <c r="Z17" s="321"/>
      <c r="AA17" s="321"/>
      <c r="AB17" s="321"/>
      <c r="AC17" s="321"/>
      <c r="AD17" s="321"/>
      <c r="AE17" s="321"/>
      <c r="AF17" s="321"/>
      <c r="AG17" s="321"/>
      <c r="AH17" s="321"/>
      <c r="AI17" s="321"/>
      <c r="AJ17" s="321"/>
      <c r="AK17" s="321"/>
      <c r="AL17" s="321"/>
      <c r="AM17" s="321"/>
      <c r="AN17" s="321"/>
      <c r="AO17" s="321"/>
      <c r="AP17" s="321"/>
      <c r="AQ17" s="321"/>
      <c r="AR17" s="321"/>
      <c r="AS17" s="321"/>
      <c r="AT17" s="321"/>
      <c r="AU17" s="321"/>
      <c r="AV17" s="321"/>
      <c r="AW17" s="321"/>
      <c r="AX17" s="321"/>
      <c r="AY17" s="321"/>
    </row>
    <row r="18" spans="1:51" ht="15.6">
      <c r="A18" s="321"/>
      <c r="B18" s="484" t="s">
        <v>10</v>
      </c>
      <c r="C18" s="485"/>
      <c r="D18" s="486" t="s">
        <v>34</v>
      </c>
      <c r="E18" s="487"/>
      <c r="F18" s="321"/>
      <c r="G18" s="248"/>
      <c r="H18" s="525"/>
      <c r="I18" s="424" t="s">
        <v>35</v>
      </c>
      <c r="J18" s="377">
        <f>IF(D19="PRECIO FIJO",IF($D$18="2.0TD",'RESULTADO PRECIO FIJO'!N43,IF($D$18="3.0TD",'RESULTADO PRECIO FIJO'!N67,"")))</f>
        <v>-38.359333708599962</v>
      </c>
      <c r="K18" s="354">
        <f>IF(J18="","",(((((((((((((((((((((((((((((((((((((((((((((((((((((IF(AND($D$18="2.0TD",$E$22&gt;'COMISIONES ALDRO'!$B$4,$E$22&lt;='COMISIONES ALDRO'!$C$4),'COMISIONES ALDRO'!E$4,IF(AND($D$18="2.0TD",$E$22&gt;'COMISIONES ALDRO'!$B$5,$E$22&lt;='COMISIONES ALDRO'!$C$5),'COMISIONES ALDRO'!E$5,IF(AND($D$18="2.0TD",$E$22&gt;'COMISIONES ALDRO'!$B$6,$E$22&lt;='COMISIONES ALDRO'!$C$6),'COMISIONES ALDRO'!E$6,IF(AND($D$18="2.0TD",$E$22&gt;'COMISIONES ALDRO'!$B$7,$E$22&lt;='COMISIONES ALDRO'!$C$7),'COMISIONES ALDRO'!E$7,IF(AND($D$18="2.0TD",$E$22&gt;'COMISIONES ALDRO'!$B$8,$E$22&lt;='COMISIONES ALDRO'!$C$8),'COMISIONES ALDRO'!E$8,IF(AND($D$18="2.0TD",$E$22&gt;'COMISIONES ALDRO'!$B$8,$E$22&lt;='COMISIONES ALDRO'!$C$8),'COMISIONES ALDRO'!E$8,IF(AND($D$18="2.0TD",$E$22&gt;'COMISIONES ALDRO'!$B$9,$E$22&lt;='COMISIONES ALDRO'!$C$9),'COMISIONES ALDRO'!E$9,IF(AND($D$18="2.0TD",$E$22&gt;'COMISIONES ALDRO'!$B$10,$E$22&lt;='COMISIONES ALDRO'!$C$10),'COMISIONES ALDRO'!E$10,IF(AND($D$18="2.0TD",$E$22&gt;'COMISIONES ALDRO'!$B$11,$E$22&lt;='COMISIONES ALDRO'!$C$11),'COMISIONES ALDRO'!E$11,IF(AND($D$18="2.0TD",$E$22&gt;'COMISIONES ALDRO'!$B$12,$E$22&lt;='COMISIONES ALDRO'!$C$12),'COMISIONES ALDRO'!E$12,IF(AND($D$18="2.0TD",$E$22&gt;'COMISIONES ALDRO'!$B$13,$E$22&lt;='COMISIONES ALDRO'!$C$13),'COMISIONES ALDRO'!E$13,IF(AND($D$18="2.0TD",$E$22&gt;'COMISIONES ALDRO'!$B$14,$E$22&lt;='COMISIONES ALDRO'!$C$14),'COMISIONES ALDRO'!E$14,IF(AND($D$18="3.0TD",$E$22&gt;'COMISIONES ALDRO'!$B$15,$E$22&lt;='COMISIONES ALDRO'!$C$15),'COMISIONES ALDRO'!E$15,IF(AND($D$18="3.0TD",$E$22&gt;'COMISIONES ALDRO'!$B$16,$E$22&lt;='COMISIONES ALDRO'!$C$16),'COMISIONES ALDRO'!E$16,IF(AND($D$18="3.0TD",$E$22&gt;'COMISIONES ALDRO'!$B$17,$E$22&lt;='COMISIONES ALDRO'!$C$17),'COMISIONES ALDRO'!E$17,IF(AND($D$18="3.0TD",$E$22&gt;'COMISIONES ALDRO'!$B$18,$E$22&lt;='COMISIONES ALDRO'!$C$18),'COMISIONES ALDRO'!E$18,IF(AND($D$18="3.0TD",$E$22&gt;'COMISIONES ALDRO'!$B$19,$E$22&lt;='COMISIONES ALDRO'!$C$19),'COMISIONES ALDRO'!E$19,IF(AND($D$18="3.0TD",$E$22&gt;'COMISIONES ALDRO'!$B$20,$E$22&lt;='COMISIONES ALDRO'!$C$20),'COMISIONES ALDRO'!E$20,IF(AND($D$18="3.0TD",$E$22&gt;'COMISIONES ALDRO'!$B$21,$E$22&lt;='COMISIONES ALDRO'!$C$21),'COMISIONES ALDRO'!E21,IF(AND($D$18="3.0TD",$E$22&gt;'COMISIONES ALDRO'!$B$22,$E$22&lt;='COMISIONES ALDRO'!$C$22),'COMISIONES ALDRO'!E$22,IF(AND($D$18="3.0TD",$E$22&gt;'COMISIONES ALDRO'!$B$23,$E$22&lt;='COMISIONES ALDRO'!$C$23),'COMISIONES ALDRO'!E$23,IF(AND($D$18="3.0TD",$E$22&gt;'COMISIONES ALDRO'!$B$24,$E$22&lt;='COMISIONES ALDRO'!$C$24),'COMISIONES ALDRO'!E$24,IF(AND($D$18="3.0TD",$E$22&gt;'COMISIONES ALDRO'!$B$25,$E$22&lt;='COMISIONES ALDRO'!$C$25),'COMISIONES ALDRO'!E$25,IF(AND($D$18="3.0TD",$E$22&gt;'COMISIONES ALDRO'!$B$26,$E$22&lt;='COMISIONES ALDRO'!$C$26),'COMISIONES ALDRO'!E$26,IF(AND($D$18="3.0TD",$E$22&gt;'COMISIONES ALDRO'!$B$27,$E$22&lt;='COMISIONES ALDRO'!$C$27),'COMISIONES ALDRO'!E$27,IF(AND($D$18="3.0TD",$E$22&gt;'COMISIONES ALDRO'!$B$28,$E$22&lt;='COMISIONES ALDRO'!$C$28),'COMISIONES ALDRO'!E$28,IF(AND($D$18="3.0TD",$E$22&gt;'COMISIONES ALDRO'!$B$29,$E$22&lt;='COMISIONES ALDRO'!$C$28),'COMISIONES ALDRO'!E$28,IF(AND($D$18="3.0TD",$E$22&gt;'COMISIONES ALDRO'!$B$29,$E$22&lt;='COMISIONES ALDRO'!$C$29),'COMISIONES ALDRO'!E$29,IF(AND($D$18="3.0TD",$E$22&gt;'COMISIONES ALDRO'!$B$30,$E$22&lt;='COMISIONES ALDRO'!$C$30),'COMISIONES ALDRO'!E$30,IF(AND($D$18="3.0TD",$E$22&gt;'COMISIONES ALDRO'!$B$31,$E$22&lt;='COMISIONES ALDRO'!$C$31),'COMISIONES ALDRO'!E$31,IF(AND($D$18="3.0TD",$E$22&gt;'COMISIONES ALDRO'!$B$32,$E$22&lt;='COMISIONES ALDRO'!$C$32),'COMISIONES ALDRO'!E$32,IF(AND($D$18="3.0TD",$E$22&gt;'COMISIONES ALDRO'!$B$33,$E$22&lt;='COMISIONES ALDRO'!$C$33),'COMISIONES ALDRO'!E$33,))))))))))))))))))))))))))))))))))))))))))))))))))))))*$C$1))))))))))))))))))))))))))))))))</f>
        <v>125</v>
      </c>
      <c r="M18" s="514" t="s">
        <v>36</v>
      </c>
      <c r="N18" s="515" t="str">
        <f>$D$18</f>
        <v>2.0TD</v>
      </c>
      <c r="O18" s="150" t="s">
        <v>37</v>
      </c>
      <c r="P18" s="516" t="str">
        <f>IF(D19="PRECIO FIJO",'IMPRIMIR PRECIO FIJO'!K181,"")</f>
        <v/>
      </c>
      <c r="Q18" s="510" t="str">
        <f>IF(D19="PRECIO FIJO",IF(P18="","",((IF(O18="E1",1*E22*0.5,IF(O18="E2",2*E22*0.5,IF(O18="E3",3*E22*0.5,IF(O18="E4",4*E22*0.5,IF(O18="E5",5*E22*0.5,IF(O18="E6",6*E22*0.5,IF(O18="E7",7*E22*0.5,IF(O18="E8",8*E22*0.5,IF(O18="E9",9*E22*0.5,IF(O18="E10",10*E22*0.5,IF(O18="E11",11*E22*0.5,IF(O18="E12",12*E22*0.5,IF(O18="E13",13*E22*0.5,IF(O18="E14",14*E22*0.5,IF(O18="E15",15*E22*0.5,)))))))))))))))))*C1),"")</f>
        <v/>
      </c>
      <c r="R18" s="357"/>
      <c r="S18" s="321"/>
      <c r="T18" s="321"/>
      <c r="U18" s="321"/>
      <c r="V18" s="321"/>
      <c r="W18" s="321"/>
      <c r="X18" s="321"/>
      <c r="Y18" s="321"/>
      <c r="Z18" s="321"/>
      <c r="AA18" s="321"/>
      <c r="AB18" s="321"/>
      <c r="AC18" s="321"/>
      <c r="AD18" s="321"/>
      <c r="AE18" s="321"/>
      <c r="AF18" s="321"/>
      <c r="AG18" s="321"/>
      <c r="AH18" s="321"/>
      <c r="AI18" s="321"/>
      <c r="AJ18" s="321"/>
      <c r="AK18" s="321"/>
      <c r="AL18" s="321"/>
      <c r="AM18" s="321"/>
      <c r="AN18" s="321"/>
      <c r="AO18" s="321"/>
      <c r="AP18" s="321"/>
      <c r="AQ18" s="321"/>
      <c r="AR18" s="321"/>
      <c r="AS18" s="321"/>
      <c r="AT18" s="321"/>
      <c r="AU18" s="321"/>
      <c r="AV18" s="321"/>
      <c r="AW18" s="321"/>
      <c r="AX18" s="321"/>
      <c r="AY18" s="321"/>
    </row>
    <row r="19" spans="1:51" ht="15.6">
      <c r="A19" s="321"/>
      <c r="B19" s="526" t="s">
        <v>38</v>
      </c>
      <c r="C19" s="527"/>
      <c r="D19" s="528" t="s">
        <v>39</v>
      </c>
      <c r="E19" s="529"/>
      <c r="F19" s="321"/>
      <c r="G19" s="248"/>
      <c r="H19" s="525"/>
      <c r="I19" s="424" t="s">
        <v>40</v>
      </c>
      <c r="J19" s="377">
        <f>IF(D19="PRECIO FIJO",IF($D$18="2.0TD",'RESULTADO PRECIO FIJO'!N45,IF($D$18="3.0TD",'RESULTADO PRECIO FIJO'!N69,"")))</f>
        <v>-31.167341613399969</v>
      </c>
      <c r="K19" s="354">
        <f>IF(J19="","",(((((((((((((((((((((((((((((((((((((((((((((((((((((IF(AND($D$18="2.0TD",$E$22&gt;'COMISIONES ALDRO'!$B$4,$E$22&lt;='COMISIONES ALDRO'!$C$4),'COMISIONES ALDRO'!F$4,IF(AND($D$18="2.0TD",$E$22&gt;'COMISIONES ALDRO'!$B$5,$E$22&lt;='COMISIONES ALDRO'!$C$5),'COMISIONES ALDRO'!F$5,IF(AND($D$18="2.0TD",$E$22&gt;'COMISIONES ALDRO'!$B$6,$E$22&lt;='COMISIONES ALDRO'!$C$6),'COMISIONES ALDRO'!F$6,IF(AND($D$18="2.0TD",$E$22&gt;'COMISIONES ALDRO'!$B$7,$E$22&lt;='COMISIONES ALDRO'!$C$7),'COMISIONES ALDRO'!F$7,IF(AND($D$18="2.0TD",$E$22&gt;'COMISIONES ALDRO'!$B$8,$E$22&lt;='COMISIONES ALDRO'!$C$8),'COMISIONES ALDRO'!F$8,IF(AND($D$18="2.0TD",$E$22&gt;'COMISIONES ALDRO'!$B$8,$E$22&lt;='COMISIONES ALDRO'!$C$8),'COMISIONES ALDRO'!F$8,IF(AND($D$18="2.0TD",$E$22&gt;'COMISIONES ALDRO'!$B$9,$E$22&lt;='COMISIONES ALDRO'!$C$9),'COMISIONES ALDRO'!F$9,IF(AND($D$18="2.0TD",$E$22&gt;'COMISIONES ALDRO'!$B$10,$E$22&lt;='COMISIONES ALDRO'!$C$10),'COMISIONES ALDRO'!F$10,IF(AND($D$18="2.0TD",$E$22&gt;'COMISIONES ALDRO'!$B$11,$E$22&lt;='COMISIONES ALDRO'!$C$11),'COMISIONES ALDRO'!F$11,IF(AND($D$18="2.0TD",$E$22&gt;'COMISIONES ALDRO'!$B$12,$E$22&lt;='COMISIONES ALDRO'!$C$12),'COMISIONES ALDRO'!F$12,IF(AND($D$18="2.0TD",$E$22&gt;'COMISIONES ALDRO'!$B$13,$E$22&lt;='COMISIONES ALDRO'!$C$13),'COMISIONES ALDRO'!F$13,IF(AND($D$18="2.0TD",$E$22&gt;'COMISIONES ALDRO'!$B$14,$E$22&lt;='COMISIONES ALDRO'!$C$14),'COMISIONES ALDRO'!F$14,IF(AND($D$18="3.0TD",$E$22&gt;'COMISIONES ALDRO'!$B$15,$E$22&lt;='COMISIONES ALDRO'!$C$15),'COMISIONES ALDRO'!F$15,IF(AND($D$18="3.0TD",$E$22&gt;'COMISIONES ALDRO'!$B$16,$E$22&lt;='COMISIONES ALDRO'!$C$16),'COMISIONES ALDRO'!F$16,IF(AND($D$18="3.0TD",$E$22&gt;'COMISIONES ALDRO'!$B$17,$E$22&lt;='COMISIONES ALDRO'!$C$17),'COMISIONES ALDRO'!F$17,IF(AND($D$18="3.0TD",$E$22&gt;'COMISIONES ALDRO'!$B$18,$E$22&lt;='COMISIONES ALDRO'!$C$18),'COMISIONES ALDRO'!F$18,IF(AND($D$18="3.0TD",$E$22&gt;'COMISIONES ALDRO'!$B$19,$E$22&lt;='COMISIONES ALDRO'!$C$19),'COMISIONES ALDRO'!F$19,IF(AND($D$18="3.0TD",$E$22&gt;'COMISIONES ALDRO'!$B$20,$E$22&lt;='COMISIONES ALDRO'!$C$20),'COMISIONES ALDRO'!F$20,IF(AND($D$18="3.0TD",$E$22&gt;'COMISIONES ALDRO'!$B$21,$E$22&lt;='COMISIONES ALDRO'!$C$21),'COMISIONES ALDRO'!F21,IF(AND($D$18="3.0TD",$E$22&gt;'COMISIONES ALDRO'!$B$22,$E$22&lt;='COMISIONES ALDRO'!$C$22),'COMISIONES ALDRO'!F$22,IF(AND($D$18="3.0TD",$E$22&gt;'COMISIONES ALDRO'!$B$23,$E$22&lt;='COMISIONES ALDRO'!$C$23),'COMISIONES ALDRO'!F$23,IF(AND($D$18="3.0TD",$E$22&gt;'COMISIONES ALDRO'!$B$24,$E$22&lt;='COMISIONES ALDRO'!$C$24),'COMISIONES ALDRO'!F$24,IF(AND($D$18="3.0TD",$E$22&gt;'COMISIONES ALDRO'!$B$25,$E$22&lt;='COMISIONES ALDRO'!$C$25),'COMISIONES ALDRO'!F$25,IF(AND($D$18="3.0TD",$E$22&gt;'COMISIONES ALDRO'!$B$26,$E$22&lt;='COMISIONES ALDRO'!$C$26),'COMISIONES ALDRO'!F$26,IF(AND($D$18="3.0TD",$E$22&gt;'COMISIONES ALDRO'!$B$27,$E$22&lt;='COMISIONES ALDRO'!$C$27),'COMISIONES ALDRO'!F$27,IF(AND($D$18="3.0TD",$E$22&gt;'COMISIONES ALDRO'!$B$28,$E$22&lt;='COMISIONES ALDRO'!$C$28),'COMISIONES ALDRO'!F$28,IF(AND($D$18="3.0TD",$E$22&gt;'COMISIONES ALDRO'!$B$29,$E$22&lt;='COMISIONES ALDRO'!$C$28),'COMISIONES ALDRO'!F$28,IF(AND($D$18="3.0TD",$E$22&gt;'COMISIONES ALDRO'!$B$29,$E$22&lt;='COMISIONES ALDRO'!$C$29),'COMISIONES ALDRO'!F$29,IF(AND($D$18="3.0TD",$E$22&gt;'COMISIONES ALDRO'!$B$30,$E$22&lt;='COMISIONES ALDRO'!$C$30),'COMISIONES ALDRO'!F$30,IF(AND($D$18="3.0TD",$E$22&gt;'COMISIONES ALDRO'!$B$31,$E$22&lt;='COMISIONES ALDRO'!$C$31),'COMISIONES ALDRO'!F$31,IF(AND($D$18="3.0TD",$E$22&gt;'COMISIONES ALDRO'!$B$32,$E$22&lt;='COMISIONES ALDRO'!$C$32),'COMISIONES ALDRO'!F$32,IF(AND($D$18="3.0TD",$E$22&gt;'COMISIONES ALDRO'!$B$33,$E$22&lt;='COMISIONES ALDRO'!$C$33),'COMISIONES ALDRO'!F$33,))))))))))))))))))))))))))))))))))))))))))))))))))))))*$C$1))))))))))))))))))))))))))))))))</f>
        <v>90</v>
      </c>
      <c r="M19" s="514"/>
      <c r="N19" s="515"/>
      <c r="O19" s="150" t="s">
        <v>41</v>
      </c>
      <c r="P19" s="516"/>
      <c r="Q19" s="511"/>
      <c r="R19" s="270"/>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c r="AS19" s="321"/>
      <c r="AT19" s="321"/>
      <c r="AU19" s="321"/>
      <c r="AV19" s="321"/>
      <c r="AW19" s="321"/>
      <c r="AX19" s="321"/>
      <c r="AY19" s="321"/>
    </row>
    <row r="20" spans="1:51" ht="15.6">
      <c r="A20" s="321"/>
      <c r="B20" s="526" t="s">
        <v>42</v>
      </c>
      <c r="C20" s="527"/>
      <c r="D20" s="528"/>
      <c r="E20" s="529"/>
      <c r="F20" s="321"/>
      <c r="G20" s="248"/>
      <c r="H20" s="525"/>
      <c r="I20" s="425" t="s">
        <v>43</v>
      </c>
      <c r="J20" s="377">
        <f>IF(D19="PRECIO FIJO",IF($D$18="2.0TD",'RESULTADO PRECIO FIJO'!N47,IF($D$18="3.0TD",'RESULTADO PRECIO FIJO'!N71,"")))</f>
        <v>-29.974396563399978</v>
      </c>
      <c r="K20" s="354">
        <f>IF(J20="","",(((((((((((((((((((((((((((((((((((((((((((((((((((((IF(AND($D$18="2.0TD",$E$22&gt;'COMISIONES ALDRO'!$B$4,$E$22&lt;='COMISIONES ALDRO'!$C$4),'COMISIONES ALDRO'!G$4,IF(AND($D$18="2.0TD",$E$22&gt;'COMISIONES ALDRO'!$B$5,$E$22&lt;='COMISIONES ALDRO'!$C$5),'COMISIONES ALDRO'!G$5,IF(AND($D$18="2.0TD",$E$22&gt;'COMISIONES ALDRO'!$B$6,$E$22&lt;='COMISIONES ALDRO'!$C$6),'COMISIONES ALDRO'!G$6,IF(AND($D$18="2.0TD",$E$22&gt;'COMISIONES ALDRO'!$B$7,$E$22&lt;='COMISIONES ALDRO'!$C$7),'COMISIONES ALDRO'!G$7,IF(AND($D$18="2.0TD",$E$22&gt;'COMISIONES ALDRO'!$B$8,$E$22&lt;='COMISIONES ALDRO'!$C$8),'COMISIONES ALDRO'!G$8,IF(AND($D$18="2.0TD",$E$22&gt;'COMISIONES ALDRO'!$B$8,$E$22&lt;='COMISIONES ALDRO'!$C$8),'COMISIONES ALDRO'!G$8,IF(AND($D$18="2.0TD",$E$22&gt;'COMISIONES ALDRO'!$B$9,$E$22&lt;='COMISIONES ALDRO'!$C$9),'COMISIONES ALDRO'!G$9,IF(AND($D$18="2.0TD",$E$22&gt;'COMISIONES ALDRO'!$B$10,$E$22&lt;='COMISIONES ALDRO'!$C$10),'COMISIONES ALDRO'!G$10,IF(AND($D$18="2.0TD",$E$22&gt;'COMISIONES ALDRO'!$B$11,$E$22&lt;='COMISIONES ALDRO'!$C$11),'COMISIONES ALDRO'!G$11,IF(AND($D$18="2.0TD",$E$22&gt;'COMISIONES ALDRO'!$B$12,$E$22&lt;='COMISIONES ALDRO'!$C$12),'COMISIONES ALDRO'!G$12,IF(AND($D$18="2.0TD",$E$22&gt;'COMISIONES ALDRO'!$B$13,$E$22&lt;='COMISIONES ALDRO'!$C$13),'COMISIONES ALDRO'!G$13,IF(AND($D$18="2.0TD",$E$22&gt;'COMISIONES ALDRO'!$B$14,$E$22&lt;='COMISIONES ALDRO'!$C$14),'COMISIONES ALDRO'!G$14,IF(AND($D$18="3.0TD",$E$22&gt;'COMISIONES ALDRO'!$B$15,$E$22&lt;='COMISIONES ALDRO'!$C$15),'COMISIONES ALDRO'!G$15,IF(AND($D$18="3.0TD",$E$22&gt;'COMISIONES ALDRO'!$B$16,$E$22&lt;='COMISIONES ALDRO'!$C$16),'COMISIONES ALDRO'!G$16,IF(AND($D$18="3.0TD",$E$22&gt;'COMISIONES ALDRO'!$B$17,$E$22&lt;='COMISIONES ALDRO'!$C$17),'COMISIONES ALDRO'!G$17,IF(AND($D$18="3.0TD",$E$22&gt;'COMISIONES ALDRO'!$B$18,$E$22&lt;='COMISIONES ALDRO'!$C$18),'COMISIONES ALDRO'!G$18,IF(AND($D$18="3.0TD",$E$22&gt;'COMISIONES ALDRO'!$B$19,$E$22&lt;='COMISIONES ALDRO'!$C$19),'COMISIONES ALDRO'!G$19,IF(AND($D$18="3.0TD",$E$22&gt;'COMISIONES ALDRO'!$B$20,$E$22&lt;='COMISIONES ALDRO'!$C$20),'COMISIONES ALDRO'!G$20,IF(AND($D$18="3.0TD",$E$22&gt;'COMISIONES ALDRO'!$B$21,$E$22&lt;='COMISIONES ALDRO'!$C$21),'COMISIONES ALDRO'!G21,IF(AND($D$18="3.0TD",$E$22&gt;'COMISIONES ALDRO'!$B$22,$E$22&lt;='COMISIONES ALDRO'!$C$22),'COMISIONES ALDRO'!G$22,IF(AND($D$18="3.0TD",$E$22&gt;'COMISIONES ALDRO'!$B$23,$E$22&lt;='COMISIONES ALDRO'!$C$23),'COMISIONES ALDRO'!G$23,IF(AND($D$18="3.0TD",$E$22&gt;'COMISIONES ALDRO'!$B$24,$E$22&lt;='COMISIONES ALDRO'!$C$24),'COMISIONES ALDRO'!G$24,IF(AND($D$18="3.0TD",$E$22&gt;'COMISIONES ALDRO'!$B$25,$E$22&lt;='COMISIONES ALDRO'!$C$25),'COMISIONES ALDRO'!G$25,IF(AND($D$18="3.0TD",$E$22&gt;'COMISIONES ALDRO'!$B$26,$E$22&lt;='COMISIONES ALDRO'!$C$26),'COMISIONES ALDRO'!G$26,IF(AND($D$18="3.0TD",$E$22&gt;'COMISIONES ALDRO'!$B$27,$E$22&lt;='COMISIONES ALDRO'!$C$27),'COMISIONES ALDRO'!G$27,IF(AND($D$18="3.0TD",$E$22&gt;'COMISIONES ALDRO'!$B$28,$E$22&lt;='COMISIONES ALDRO'!$C$28),'COMISIONES ALDRO'!G$28,IF(AND($D$18="3.0TD",$E$22&gt;'COMISIONES ALDRO'!$B$29,$E$22&lt;='COMISIONES ALDRO'!$C$28),'COMISIONES ALDRO'!G$28,IF(AND($D$18="3.0TD",$E$22&gt;'COMISIONES ALDRO'!$B$29,$E$22&lt;='COMISIONES ALDRO'!$C$29),'COMISIONES ALDRO'!G$29,IF(AND($D$18="3.0TD",$E$22&gt;'COMISIONES ALDRO'!$B$30,$E$22&lt;='COMISIONES ALDRO'!$C$30),'COMISIONES ALDRO'!G$30,IF(AND($D$18="3.0TD",$E$22&gt;'COMISIONES ALDRO'!$B$31,$E$22&lt;='COMISIONES ALDRO'!$C$31),'COMISIONES ALDRO'!G$31,IF(AND($D$18="3.0TD",$E$22&gt;'COMISIONES ALDRO'!$B$32,$E$22&lt;='COMISIONES ALDRO'!$C$32),'COMISIONES ALDRO'!G$32,IF(AND($D$18="3.0TD",$E$22&gt;'COMISIONES ALDRO'!$B$33,$E$22&lt;='COMISIONES ALDRO'!$C$33),'COMISIONES ALDRO'!G$33,))))))))))))))))))))))))))))))))))))))))))))))))))))))*$C$1))))))))))))))))))))))))))))))))</f>
        <v>50</v>
      </c>
      <c r="M20" s="408" t="s">
        <v>44</v>
      </c>
      <c r="N20" s="431" t="str">
        <f>$D$18</f>
        <v>2.0TD</v>
      </c>
      <c r="O20" s="150" t="s">
        <v>45</v>
      </c>
      <c r="P20" s="432">
        <f>IF(D19="PRECIO FIJO",'IMPRIMIR PRECIO FIJO'!K217,"")</f>
        <v>17.691976998649025</v>
      </c>
      <c r="Q20" s="354">
        <f>IF(O20=I44,K44,IF(O20=I45,K45,IF(O20=I46,K46,IF(O20=I47,K47,""))))</f>
        <v>43</v>
      </c>
      <c r="R20" s="270"/>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c r="AS20" s="321"/>
      <c r="AT20" s="321"/>
      <c r="AU20" s="321"/>
      <c r="AV20" s="321"/>
      <c r="AW20" s="321"/>
      <c r="AX20" s="321"/>
      <c r="AY20" s="321"/>
    </row>
    <row r="21" spans="1:51" ht="16.149999999999999" thickBot="1">
      <c r="A21" s="321"/>
      <c r="B21" s="530" t="s">
        <v>46</v>
      </c>
      <c r="C21" s="531"/>
      <c r="D21" s="519">
        <v>0.21</v>
      </c>
      <c r="E21" s="520"/>
      <c r="F21" s="321"/>
      <c r="G21" s="248"/>
      <c r="H21" s="525"/>
      <c r="I21" s="424" t="s">
        <v>47</v>
      </c>
      <c r="J21" s="377">
        <f>IF(D19="PRECIO FIJO",IF($D$18="2.0TD",'RESULTADO PRECIO FIJO'!N49,IF($D$18="3.0TD",'RESULTADO PRECIO FIJO'!N73,"")))</f>
        <v>-18.82678473804998</v>
      </c>
      <c r="K21" s="354">
        <f>IF(J21="","",(((((((((((((((((((((((((((((((((((((((((((((((((((((IF(AND($D$18="2.0TD",$E$22&gt;'COMISIONES ALDRO'!$B$4,$E$22&lt;='COMISIONES ALDRO'!$C$4),'COMISIONES ALDRO'!H$4,IF(AND($D$18="2.0TD",$E$22&gt;'COMISIONES ALDRO'!$B$5,$E$22&lt;='COMISIONES ALDRO'!$C$5),'COMISIONES ALDRO'!H$5,IF(AND($D$18="2.0TD",$E$22&gt;'COMISIONES ALDRO'!$B$6,$E$22&lt;='COMISIONES ALDRO'!$C$6),'COMISIONES ALDRO'!H$6,IF(AND($D$18="2.0TD",$E$22&gt;'COMISIONES ALDRO'!$B$7,$E$22&lt;='COMISIONES ALDRO'!$C$7),'COMISIONES ALDRO'!H$7,IF(AND($D$18="2.0TD",$E$22&gt;'COMISIONES ALDRO'!$B$8,$E$22&lt;='COMISIONES ALDRO'!$C$8),'COMISIONES ALDRO'!H$8,IF(AND($D$18="2.0TD",$E$22&gt;'COMISIONES ALDRO'!$B$8,$E$22&lt;='COMISIONES ALDRO'!$C$8),'COMISIONES ALDRO'!H$8,IF(AND($D$18="2.0TD",$E$22&gt;'COMISIONES ALDRO'!$B$9,$E$22&lt;='COMISIONES ALDRO'!$C$9),'COMISIONES ALDRO'!H$9,IF(AND($D$18="2.0TD",$E$22&gt;'COMISIONES ALDRO'!$B$10,$E$22&lt;='COMISIONES ALDRO'!$C$10),'COMISIONES ALDRO'!H$10,IF(AND($D$18="2.0TD",$E$22&gt;'COMISIONES ALDRO'!$B$11,$E$22&lt;='COMISIONES ALDRO'!$C$11),'COMISIONES ALDRO'!H$11,IF(AND($D$18="2.0TD",$E$22&gt;'COMISIONES ALDRO'!$B$12,$E$22&lt;='COMISIONES ALDRO'!$C$12),'COMISIONES ALDRO'!H$12,IF(AND($D$18="2.0TD",$E$22&gt;'COMISIONES ALDRO'!$B$13,$E$22&lt;='COMISIONES ALDRO'!$C$13),'COMISIONES ALDRO'!H$13,IF(AND($D$18="2.0TD",$E$22&gt;'COMISIONES ALDRO'!$B$14,$E$22&lt;='COMISIONES ALDRO'!$C$14),'COMISIONES ALDRO'!H$14,IF(AND($D$18="3.0TD",$E$22&gt;'COMISIONES ALDRO'!$B$15,$E$22&lt;='COMISIONES ALDRO'!$C$15),'COMISIONES ALDRO'!H$15,IF(AND($D$18="3.0TD",$E$22&gt;'COMISIONES ALDRO'!$B$16,$E$22&lt;='COMISIONES ALDRO'!$C$16),'COMISIONES ALDRO'!H$16,IF(AND($D$18="3.0TD",$E$22&gt;'COMISIONES ALDRO'!$B$17,$E$22&lt;='COMISIONES ALDRO'!$C$17),'COMISIONES ALDRO'!H$17,IF(AND($D$18="3.0TD",$E$22&gt;'COMISIONES ALDRO'!$B$18,$E$22&lt;='COMISIONES ALDRO'!$C$18),'COMISIONES ALDRO'!H$18,IF(AND($D$18="3.0TD",$E$22&gt;'COMISIONES ALDRO'!$B$19,$E$22&lt;='COMISIONES ALDRO'!$C$19),'COMISIONES ALDRO'!H$19,IF(AND($D$18="3.0TD",$E$22&gt;'COMISIONES ALDRO'!$B$20,$E$22&lt;='COMISIONES ALDRO'!$C$20),'COMISIONES ALDRO'!H$20,IF(AND($D$18="3.0TD",$E$22&gt;'COMISIONES ALDRO'!$B$21,$E$22&lt;='COMISIONES ALDRO'!$C$21),'COMISIONES ALDRO'!H25,IF(AND($D$18="3.0TD",$E$22&gt;'COMISIONES ALDRO'!$B$22,$E$22&lt;='COMISIONES ALDRO'!$C$22),'COMISIONES ALDRO'!H$22,IF(AND($D$18="3.0TD",$E$22&gt;'COMISIONES ALDRO'!$B$23,$E$22&lt;='COMISIONES ALDRO'!$C$23),'COMISIONES ALDRO'!H$23,IF(AND($D$18="3.0TD",$E$22&gt;'COMISIONES ALDRO'!$B$24,$E$22&lt;='COMISIONES ALDRO'!$C$24),'COMISIONES ALDRO'!H$24,IF(AND($D$18="3.0TD",$E$22&gt;'COMISIONES ALDRO'!$B$25,$E$22&lt;='COMISIONES ALDRO'!$C$25),'COMISIONES ALDRO'!H$25,IF(AND($D$18="3.0TD",$E$22&gt;'COMISIONES ALDRO'!$B$26,$E$22&lt;='COMISIONES ALDRO'!$C$26),'COMISIONES ALDRO'!H$26,IF(AND($D$18="3.0TD",$E$22&gt;'COMISIONES ALDRO'!$B$27,$E$22&lt;='COMISIONES ALDRO'!$C$27),'COMISIONES ALDRO'!H$27,IF(AND($D$18="3.0TD",$E$22&gt;'COMISIONES ALDRO'!$B$28,$E$22&lt;='COMISIONES ALDRO'!$C$28),'COMISIONES ALDRO'!H$28,IF(AND($D$18="3.0TD",$E$22&gt;'COMISIONES ALDRO'!$B$29,$E$22&lt;='COMISIONES ALDRO'!$C$28),'COMISIONES ALDRO'!H$28,IF(AND($D$18="3.0TD",$E$22&gt;'COMISIONES ALDRO'!$B$29,$E$22&lt;='COMISIONES ALDRO'!$C$29),'COMISIONES ALDRO'!H$29,IF(AND($D$18="3.0TD",$E$22&gt;'COMISIONES ALDRO'!$B$30,$E$22&lt;='COMISIONES ALDRO'!$C$30),'COMISIONES ALDRO'!H$30,IF(AND($D$18="3.0TD",$E$22&gt;'COMISIONES ALDRO'!$B$31,$E$22&lt;='COMISIONES ALDRO'!$C$31),'COMISIONES ALDRO'!H$31,IF(AND($D$18="3.0TD",$E$22&gt;'COMISIONES ALDRO'!$B$32,$E$22&lt;='COMISIONES ALDRO'!$C$32),'COMISIONES ALDRO'!H$32,IF(AND($D$18="3.0TD",$E$22&gt;'COMISIONES ALDRO'!$B$33,$E$22&lt;='COMISIONES ALDRO'!$C$33),'COMISIONES ALDRO'!H$33,))))))))))))))))))))))))))))))))))))))))))))))))))))))*$C$1))))))))))))))))))))))))))))))))</f>
        <v>165</v>
      </c>
      <c r="M21" s="449" t="s">
        <v>48</v>
      </c>
      <c r="N21" s="431" t="str">
        <f>$D$18</f>
        <v>2.0TD</v>
      </c>
      <c r="O21" s="150" t="s">
        <v>49</v>
      </c>
      <c r="P21" s="432">
        <f>IF(D19="PRECIO FIJO",'IMPRIMIR PRECIO FIJO'!K254,"")</f>
        <v>17.798396372555672</v>
      </c>
      <c r="Q21" s="354">
        <f>IF(O21=I41,K41,IF(O21=I42,K42,IF(O21=#REF!,#REF!,IF(O21=#REF!,#REF!,""))))</f>
        <v>60</v>
      </c>
      <c r="R21" s="270"/>
      <c r="S21" s="321"/>
      <c r="T21" s="321"/>
      <c r="U21" s="321"/>
      <c r="V21" s="321"/>
      <c r="W21" s="321"/>
      <c r="X21" s="321"/>
      <c r="Y21" s="321"/>
      <c r="Z21" s="321"/>
      <c r="AA21" s="321"/>
      <c r="AB21" s="321"/>
      <c r="AC21" s="321"/>
      <c r="AD21" s="321"/>
      <c r="AE21" s="321"/>
      <c r="AF21" s="321"/>
      <c r="AG21" s="321"/>
      <c r="AH21" s="321"/>
      <c r="AI21" s="321"/>
      <c r="AJ21" s="321"/>
      <c r="AK21" s="321"/>
      <c r="AL21" s="321"/>
      <c r="AM21" s="321"/>
      <c r="AN21" s="321"/>
      <c r="AO21" s="321"/>
      <c r="AP21" s="321"/>
      <c r="AQ21" s="321"/>
      <c r="AR21" s="321"/>
      <c r="AS21" s="321"/>
      <c r="AT21" s="321"/>
      <c r="AU21" s="321"/>
      <c r="AV21" s="321"/>
      <c r="AW21" s="321"/>
      <c r="AX21" s="321"/>
      <c r="AY21" s="321"/>
    </row>
    <row r="22" spans="1:51" ht="15" thickBot="1">
      <c r="A22" s="321"/>
      <c r="B22" s="321"/>
      <c r="C22" s="331"/>
      <c r="D22" s="313" t="s">
        <v>50</v>
      </c>
      <c r="E22" s="314">
        <v>5.6</v>
      </c>
      <c r="F22" s="321"/>
      <c r="G22" s="248"/>
      <c r="H22" s="525"/>
      <c r="I22" s="424" t="s">
        <v>51</v>
      </c>
      <c r="J22" s="377">
        <f>IF(D19="PRECIO FIJO",IF($D$18="2.0TD",'RESULTADO PRECIO FIJO'!N51,IF($D$18="3.0TD",'RESULTADO PRECIO FIJO'!N75,"")))</f>
        <v>-22.544278773249971</v>
      </c>
      <c r="K22" s="354">
        <f>IF(J22="","",(((((((((((((((((((((((((((((((((((((((((((((((((((((IF(AND($D$18="2.0TD",$E$22&gt;'COMISIONES ALDRO'!$B$4,$E$22&lt;='COMISIONES ALDRO'!$C$4),'COMISIONES ALDRO'!I$4,IF(AND($D$18="2.0TD",$E$22&gt;'COMISIONES ALDRO'!$B$5,$E$22&lt;='COMISIONES ALDRO'!$C$5),'COMISIONES ALDRO'!I$5,IF(AND($D$18="2.0TD",$E$22&gt;'COMISIONES ALDRO'!$B$6,$E$22&lt;='COMISIONES ALDRO'!$C$6),'COMISIONES ALDRO'!I$6,IF(AND($D$18="2.0TD",$E$22&gt;'COMISIONES ALDRO'!$B$7,$E$22&lt;='COMISIONES ALDRO'!$C$7),'COMISIONES ALDRO'!I$7,IF(AND($D$18="2.0TD",$E$22&gt;'COMISIONES ALDRO'!$B$8,$E$22&lt;='COMISIONES ALDRO'!$C$8),'COMISIONES ALDRO'!I$8,IF(AND($D$18="2.0TD",$E$22&gt;'COMISIONES ALDRO'!$B$8,$E$22&lt;='COMISIONES ALDRO'!$C$8),'COMISIONES ALDRO'!I$8,IF(AND($D$18="2.0TD",$E$22&gt;'COMISIONES ALDRO'!$B$9,$E$22&lt;='COMISIONES ALDRO'!$C$9),'COMISIONES ALDRO'!I$9,IF(AND($D$18="2.0TD",$E$22&gt;'COMISIONES ALDRO'!$B$10,$E$22&lt;='COMISIONES ALDRO'!$C$10),'COMISIONES ALDRO'!I$10,IF(AND($D$18="2.0TD",$E$22&gt;'COMISIONES ALDRO'!$B$11,$E$22&lt;='COMISIONES ALDRO'!$C$11),'COMISIONES ALDRO'!I$11,IF(AND($D$18="2.0TD",$E$22&gt;'COMISIONES ALDRO'!$B$12,$E$22&lt;='COMISIONES ALDRO'!$C$12),'COMISIONES ALDRO'!I$12,IF(AND($D$18="2.0TD",$E$22&gt;'COMISIONES ALDRO'!$B$13,$E$22&lt;='COMISIONES ALDRO'!$C$13),'COMISIONES ALDRO'!I$13,IF(AND($D$18="2.0TD",$E$22&gt;'COMISIONES ALDRO'!$B$14,$E$22&lt;='COMISIONES ALDRO'!$C$14),'COMISIONES ALDRO'!I$14,IF(AND($D$18="3.0TD",$E$22&gt;'COMISIONES ALDRO'!$B$15,$E$22&lt;='COMISIONES ALDRO'!$C$15),'COMISIONES ALDRO'!I$15,IF(AND($D$18="3.0TD",$E$22&gt;'COMISIONES ALDRO'!$B$16,$E$22&lt;='COMISIONES ALDRO'!$C$16),'COMISIONES ALDRO'!I$16,IF(AND($D$18="3.0TD",$E$22&gt;'COMISIONES ALDRO'!$B$17,$E$22&lt;='COMISIONES ALDRO'!$C$17),'COMISIONES ALDRO'!I$17,IF(AND($D$18="3.0TD",$E$22&gt;'COMISIONES ALDRO'!$B$18,$E$22&lt;='COMISIONES ALDRO'!$C$18),'COMISIONES ALDRO'!I$18,IF(AND($D$18="3.0TD",$E$22&gt;'COMISIONES ALDRO'!$B$19,$E$22&lt;='COMISIONES ALDRO'!$C$19),'COMISIONES ALDRO'!I$19,IF(AND($D$18="3.0TD",$E$22&gt;'COMISIONES ALDRO'!$B$20,$E$22&lt;='COMISIONES ALDRO'!$C$20),'COMISIONES ALDRO'!I$20,IF(AND($D$18="3.0TD",$E$22&gt;'COMISIONES ALDRO'!$B$21,$E$22&lt;='COMISIONES ALDRO'!$C$21),'COMISIONES ALDRO'!I26,IF(AND($D$18="3.0TD",$E$22&gt;'COMISIONES ALDRO'!$B$22,$E$22&lt;='COMISIONES ALDRO'!$C$22),'COMISIONES ALDRO'!I$22,IF(AND($D$18="3.0TD",$E$22&gt;'COMISIONES ALDRO'!$B$23,$E$22&lt;='COMISIONES ALDRO'!$C$23),'COMISIONES ALDRO'!I$23,IF(AND($D$18="3.0TD",$E$22&gt;'COMISIONES ALDRO'!$B$24,$E$22&lt;='COMISIONES ALDRO'!$C$24),'COMISIONES ALDRO'!I$24,IF(AND($D$18="3.0TD",$E$22&gt;'COMISIONES ALDRO'!$B$25,$E$22&lt;='COMISIONES ALDRO'!$C$25),'COMISIONES ALDRO'!I$25,IF(AND($D$18="3.0TD",$E$22&gt;'COMISIONES ALDRO'!$B$26,$E$22&lt;='COMISIONES ALDRO'!$C$26),'COMISIONES ALDRO'!I$26,IF(AND($D$18="3.0TD",$E$22&gt;'COMISIONES ALDRO'!$B$27,$E$22&lt;='COMISIONES ALDRO'!$C$27),'COMISIONES ALDRO'!I$27,IF(AND($D$18="3.0TD",$E$22&gt;'COMISIONES ALDRO'!$B$28,$E$22&lt;='COMISIONES ALDRO'!$C$28),'COMISIONES ALDRO'!I$28,IF(AND($D$18="3.0TD",$E$22&gt;'COMISIONES ALDRO'!$B$29,$E$22&lt;='COMISIONES ALDRO'!$C$28),'COMISIONES ALDRO'!I$28,IF(AND($D$18="3.0TD",$E$22&gt;'COMISIONES ALDRO'!$B$29,$E$22&lt;='COMISIONES ALDRO'!$C$29),'COMISIONES ALDRO'!I$29,IF(AND($D$18="3.0TD",$E$22&gt;'COMISIONES ALDRO'!$B$30,$E$22&lt;='COMISIONES ALDRO'!$C$30),'COMISIONES ALDRO'!I$30,IF(AND($D$18="3.0TD",$E$22&gt;'COMISIONES ALDRO'!$B$31,$E$22&lt;='COMISIONES ALDRO'!$C$31),'COMISIONES ALDRO'!I$31,IF(AND($D$18="3.0TD",$E$22&gt;'COMISIONES ALDRO'!$B$32,$E$22&lt;='COMISIONES ALDRO'!$C$32),'COMISIONES ALDRO'!I$32,IF(AND($D$18="3.0TD",$E$22&gt;'COMISIONES ALDRO'!$B$33,$E$22&lt;='COMISIONES ALDRO'!$C$33),'COMISIONES ALDRO'!I$33,))))))))))))))))))))))))))))))))))))))))))))))))))))))*$C$1))))))))))))))))))))))))))))))))</f>
        <v>125</v>
      </c>
      <c r="M22" s="450" t="s">
        <v>52</v>
      </c>
      <c r="N22" s="431" t="str">
        <f>$D$18</f>
        <v>2.0TD</v>
      </c>
      <c r="O22" s="150" t="s">
        <v>53</v>
      </c>
      <c r="P22" s="432">
        <f>IF(D19="PRECIO FIJO",'IMPRIMIR PRECIO FIJO'!K291,"")</f>
        <v>-37.186686965199982</v>
      </c>
      <c r="Q22" s="354">
        <f>IF(O22=I51,K51,IF(O22=I52,K52,IF(O22=I53,K53,IF(O22=I54,K54,IF(O22=I55,K55,"")))))</f>
        <v>55</v>
      </c>
      <c r="R22" s="270"/>
      <c r="S22" s="321"/>
      <c r="T22" s="321"/>
      <c r="U22" s="321"/>
      <c r="V22" s="321"/>
      <c r="W22" s="321"/>
      <c r="X22" s="321"/>
      <c r="Y22" s="321"/>
      <c r="Z22" s="321"/>
      <c r="AA22" s="321"/>
      <c r="AB22" s="321"/>
      <c r="AC22" s="321"/>
      <c r="AD22" s="321"/>
      <c r="AE22" s="321"/>
      <c r="AF22" s="321"/>
      <c r="AG22" s="321"/>
      <c r="AH22" s="321"/>
      <c r="AI22" s="321"/>
      <c r="AJ22" s="321"/>
      <c r="AK22" s="321"/>
      <c r="AL22" s="321"/>
      <c r="AM22" s="321"/>
      <c r="AN22" s="321"/>
      <c r="AO22" s="321"/>
      <c r="AP22" s="321"/>
      <c r="AQ22" s="321"/>
      <c r="AR22" s="321"/>
      <c r="AS22" s="321"/>
      <c r="AT22" s="321"/>
      <c r="AU22" s="321"/>
      <c r="AV22" s="321"/>
      <c r="AW22" s="321"/>
      <c r="AX22" s="321"/>
      <c r="AY22" s="321"/>
    </row>
    <row r="23" spans="1:51" ht="15" thickBot="1">
      <c r="A23" s="321"/>
      <c r="B23" s="321"/>
      <c r="C23" s="321"/>
      <c r="D23" s="321"/>
      <c r="E23" s="321"/>
      <c r="F23" s="321"/>
      <c r="G23" s="248"/>
      <c r="H23" s="525"/>
      <c r="I23" s="424" t="s">
        <v>54</v>
      </c>
      <c r="J23" s="377">
        <f>IF(D19="PRECIO FIJO",IF($D$18="2.0TD",'RESULTADO PRECIO FIJO'!N53,IF($D$18="3.0TD",'RESULTADO PRECIO FIJO'!N77,"")))</f>
        <v>-9.2486690612499842</v>
      </c>
      <c r="K23" s="354">
        <f>IF(J23="","",(((((((((((((((((((((((((((((((((((((((((((((((((((((IF(AND($D$18="2.0TD",$E$22&gt;'COMISIONES ALDRO'!$B$4,$E$22&lt;='COMISIONES ALDRO'!$C$4),'COMISIONES ALDRO'!J$4,IF(AND($D$18="2.0TD",$E$22&gt;'COMISIONES ALDRO'!$B$5,$E$22&lt;='COMISIONES ALDRO'!$C$5),'COMISIONES ALDRO'!J$5,IF(AND($D$18="2.0TD",$E$22&gt;'COMISIONES ALDRO'!$B$6,$E$22&lt;='COMISIONES ALDRO'!$C$6),'COMISIONES ALDRO'!J$6,IF(AND($D$18="2.0TD",$E$22&gt;'COMISIONES ALDRO'!$B$7,$E$22&lt;='COMISIONES ALDRO'!$C$7),'COMISIONES ALDRO'!J$7,IF(AND($D$18="2.0TD",$E$22&gt;'COMISIONES ALDRO'!$B$8,$E$22&lt;='COMISIONES ALDRO'!$C$8),'COMISIONES ALDRO'!J$8,IF(AND($D$18="2.0TD",$E$22&gt;'COMISIONES ALDRO'!$B$8,$E$22&lt;='COMISIONES ALDRO'!$C$8),'COMISIONES ALDRO'!J$8,IF(AND($D$18="2.0TD",$E$22&gt;'COMISIONES ALDRO'!$B$9,$E$22&lt;='COMISIONES ALDRO'!$C$9),'COMISIONES ALDRO'!J$9,IF(AND($D$18="2.0TD",$E$22&gt;'COMISIONES ALDRO'!$B$10,$E$22&lt;='COMISIONES ALDRO'!$C$10),'COMISIONES ALDRO'!J$10,IF(AND($D$18="2.0TD",$E$22&gt;'COMISIONES ALDRO'!$B$11,$E$22&lt;='COMISIONES ALDRO'!$C$11),'COMISIONES ALDRO'!J$11,IF(AND($D$18="2.0TD",$E$22&gt;'COMISIONES ALDRO'!$B$12,$E$22&lt;='COMISIONES ALDRO'!$C$12),'COMISIONES ALDRO'!J$12,IF(AND($D$18="2.0TD",$E$22&gt;'COMISIONES ALDRO'!$B$13,$E$22&lt;='COMISIONES ALDRO'!$C$13),'COMISIONES ALDRO'!J$13,IF(AND($D$18="2.0TD",$E$22&gt;'COMISIONES ALDRO'!$B$14,$E$22&lt;='COMISIONES ALDRO'!$C$14),'COMISIONES ALDRO'!J$14,IF(AND($D$18="3.0TD",$E$22&gt;'COMISIONES ALDRO'!$B$15,$E$22&lt;='COMISIONES ALDRO'!$C$15),'COMISIONES ALDRO'!J$15,IF(AND($D$18="3.0TD",$E$22&gt;'COMISIONES ALDRO'!$B$16,$E$22&lt;='COMISIONES ALDRO'!$C$16),'COMISIONES ALDRO'!J$16,IF(AND($D$18="3.0TD",$E$22&gt;'COMISIONES ALDRO'!$B$17,$E$22&lt;='COMISIONES ALDRO'!$C$17),'COMISIONES ALDRO'!J$17,IF(AND($D$18="3.0TD",$E$22&gt;'COMISIONES ALDRO'!$B$18,$E$22&lt;='COMISIONES ALDRO'!$C$18),'COMISIONES ALDRO'!J$18,IF(AND($D$18="3.0TD",$E$22&gt;'COMISIONES ALDRO'!$B$19,$E$22&lt;='COMISIONES ALDRO'!$C$19),'COMISIONES ALDRO'!J$19,IF(AND($D$18="3.0TD",$E$22&gt;'COMISIONES ALDRO'!$B$20,$E$22&lt;='COMISIONES ALDRO'!$C$20),'COMISIONES ALDRO'!J$20,IF(AND($D$18="3.0TD",$E$22&gt;'COMISIONES ALDRO'!$B$21,$E$22&lt;='COMISIONES ALDRO'!$C$21),'COMISIONES ALDRO'!J27,IF(AND($D$18="3.0TD",$E$22&gt;'COMISIONES ALDRO'!$B$22,$E$22&lt;='COMISIONES ALDRO'!$C$22),'COMISIONES ALDRO'!J$22,IF(AND($D$18="3.0TD",$E$22&gt;'COMISIONES ALDRO'!$B$23,$E$22&lt;='COMISIONES ALDRO'!$C$23),'COMISIONES ALDRO'!J$23,IF(AND($D$18="3.0TD",$E$22&gt;'COMISIONES ALDRO'!$B$24,$E$22&lt;='COMISIONES ALDRO'!$C$24),'COMISIONES ALDRO'!J$24,IF(AND($D$18="3.0TD",$E$22&gt;'COMISIONES ALDRO'!$B$25,$E$22&lt;='COMISIONES ALDRO'!$C$25),'COMISIONES ALDRO'!J$25,IF(AND($D$18="3.0TD",$E$22&gt;'COMISIONES ALDRO'!$B$26,$E$22&lt;='COMISIONES ALDRO'!$C$26),'COMISIONES ALDRO'!J$26,IF(AND($D$18="3.0TD",$E$22&gt;'COMISIONES ALDRO'!$B$27,$E$22&lt;='COMISIONES ALDRO'!$C$27),'COMISIONES ALDRO'!J$27,IF(AND($D$18="3.0TD",$E$22&gt;'COMISIONES ALDRO'!$B$28,$E$22&lt;='COMISIONES ALDRO'!$C$28),'COMISIONES ALDRO'!J$28,IF(AND($D$18="3.0TD",$E$22&gt;'COMISIONES ALDRO'!$B$29,$E$22&lt;='COMISIONES ALDRO'!$C$28),'COMISIONES ALDRO'!J$28,IF(AND($D$18="3.0TD",$E$22&gt;'COMISIONES ALDRO'!$B$29,$E$22&lt;='COMISIONES ALDRO'!$C$29),'COMISIONES ALDRO'!J$29,IF(AND($D$18="3.0TD",$E$22&gt;'COMISIONES ALDRO'!$B$30,$E$22&lt;='COMISIONES ALDRO'!$C$30),'COMISIONES ALDRO'!J$30,IF(AND($D$18="3.0TD",$E$22&gt;'COMISIONES ALDRO'!$B$31,$E$22&lt;='COMISIONES ALDRO'!$C$31),'COMISIONES ALDRO'!J$31,IF(AND($D$18="3.0TD",$E$22&gt;'COMISIONES ALDRO'!$B$32,$E$22&lt;='COMISIONES ALDRO'!$C$32),'COMISIONES ALDRO'!J$32,IF(AND($D$18="3.0TD",$E$22&gt;'COMISIONES ALDRO'!$B$33,$E$22&lt;='COMISIONES ALDRO'!$C$33),'COMISIONES ALDRO'!J$33,))))))))))))))))))))))))))))))))))))))))))))))))))))))*$C$1))))))))))))))))))))))))))))))))</f>
        <v>90</v>
      </c>
      <c r="M23" s="451" t="s">
        <v>55</v>
      </c>
      <c r="N23" s="272" t="str">
        <f>$D$18</f>
        <v>2.0TD</v>
      </c>
      <c r="O23" s="151" t="s">
        <v>56</v>
      </c>
      <c r="P23" s="273">
        <f>IF(D19="PRECIO FIJO",'IMPRIMIR PRECIO FIJO'!K328,"")</f>
        <v>20.647314595850006</v>
      </c>
      <c r="Q23" s="239">
        <f>IF(P23="","",IF($E$22&lt;2.5,40*$C$1,48*$C$1))</f>
        <v>48</v>
      </c>
      <c r="R23" s="270"/>
      <c r="S23" s="321"/>
      <c r="T23" s="321"/>
      <c r="U23" s="321"/>
      <c r="V23" s="321"/>
      <c r="W23" s="321"/>
      <c r="X23" s="321"/>
      <c r="Y23" s="321"/>
      <c r="Z23" s="321"/>
      <c r="AA23" s="321"/>
      <c r="AB23" s="321"/>
      <c r="AC23" s="321"/>
      <c r="AD23" s="321"/>
      <c r="AE23" s="321"/>
      <c r="AF23" s="321"/>
      <c r="AG23" s="321"/>
      <c r="AH23" s="321"/>
      <c r="AI23" s="321"/>
      <c r="AJ23" s="321"/>
      <c r="AK23" s="321"/>
      <c r="AL23" s="321"/>
      <c r="AM23" s="321"/>
      <c r="AN23" s="321"/>
      <c r="AO23" s="321"/>
      <c r="AP23" s="321"/>
      <c r="AQ23" s="321"/>
      <c r="AR23" s="321"/>
      <c r="AS23" s="321"/>
      <c r="AT23" s="321"/>
      <c r="AU23" s="321"/>
      <c r="AV23" s="321"/>
      <c r="AW23" s="321"/>
      <c r="AX23" s="321"/>
      <c r="AY23" s="321"/>
    </row>
    <row r="24" spans="1:51" ht="15" thickBot="1">
      <c r="A24" s="321"/>
      <c r="B24" s="321"/>
      <c r="C24" s="321"/>
      <c r="D24" s="517" t="s">
        <v>57</v>
      </c>
      <c r="E24" s="518"/>
      <c r="F24" s="321"/>
      <c r="G24" s="248"/>
      <c r="H24" s="525"/>
      <c r="I24" s="424" t="s">
        <v>58</v>
      </c>
      <c r="J24" s="377">
        <f>IF(D19="PRECIO FIJO",IF($D$18="2.0TD",'RESULTADO PRECIO FIJO'!N55,IF($D$18="3.0TD",'RESULTADO PRECIO FIJO'!N79,"")))</f>
        <v>-11.323590855249975</v>
      </c>
      <c r="K24" s="354">
        <f>IF(J24="","",(((((((((((((((((((((((((((((((((((((((((((((((((((((IF(AND($D$18="2.0TD",$E$22&gt;'COMISIONES ALDRO'!$B$4,$E$22&lt;='COMISIONES ALDRO'!$C$4),'COMISIONES ALDRO'!K$4,IF(AND($D$18="2.0TD",$E$22&gt;'COMISIONES ALDRO'!$B$5,$E$22&lt;='COMISIONES ALDRO'!$C$5),'COMISIONES ALDRO'!K$5,IF(AND($D$18="2.0TD",$E$22&gt;'COMISIONES ALDRO'!$B$6,$E$22&lt;='COMISIONES ALDRO'!$C$6),'COMISIONES ALDRO'!K$6,IF(AND($D$18="2.0TD",$E$22&gt;'COMISIONES ALDRO'!$B$7,$E$22&lt;='COMISIONES ALDRO'!$C$7),'COMISIONES ALDRO'!K$7,IF(AND($D$18="2.0TD",$E$22&gt;'COMISIONES ALDRO'!$B$8,$E$22&lt;='COMISIONES ALDRO'!$C$8),'COMISIONES ALDRO'!K$8,IF(AND($D$18="2.0TD",$E$22&gt;'COMISIONES ALDRO'!$B$8,$E$22&lt;='COMISIONES ALDRO'!$C$8),'COMISIONES ALDRO'!K$8,IF(AND($D$18="2.0TD",$E$22&gt;'COMISIONES ALDRO'!$B$9,$E$22&lt;='COMISIONES ALDRO'!$C$9),'COMISIONES ALDRO'!K$9,IF(AND($D$18="2.0TD",$E$22&gt;'COMISIONES ALDRO'!$B$10,$E$22&lt;='COMISIONES ALDRO'!$C$10),'COMISIONES ALDRO'!K$10,IF(AND($D$18="2.0TD",$E$22&gt;'COMISIONES ALDRO'!$B$11,$E$22&lt;='COMISIONES ALDRO'!$C$11),'COMISIONES ALDRO'!K$11,IF(AND($D$18="2.0TD",$E$22&gt;'COMISIONES ALDRO'!$B$12,$E$22&lt;='COMISIONES ALDRO'!$C$12),'COMISIONES ALDRO'!K$12,IF(AND($D$18="2.0TD",$E$22&gt;'COMISIONES ALDRO'!$B$13,$E$22&lt;='COMISIONES ALDRO'!$C$13),'COMISIONES ALDRO'!K$13,IF(AND($D$18="2.0TD",$E$22&gt;'COMISIONES ALDRO'!$B$14,$E$22&lt;='COMISIONES ALDRO'!$C$14),'COMISIONES ALDRO'!K$14,IF(AND($D$18="3.0TD",$E$22&gt;'COMISIONES ALDRO'!$B$15,$E$22&lt;='COMISIONES ALDRO'!$C$15),'COMISIONES ALDRO'!K$15,IF(AND($D$18="3.0TD",$E$22&gt;'COMISIONES ALDRO'!$B$16,$E$22&lt;='COMISIONES ALDRO'!$C$16),'COMISIONES ALDRO'!K$16,IF(AND($D$18="3.0TD",$E$22&gt;'COMISIONES ALDRO'!$B$17,$E$22&lt;='COMISIONES ALDRO'!$C$17),'COMISIONES ALDRO'!K$17,IF(AND($D$18="3.0TD",$E$22&gt;'COMISIONES ALDRO'!$B$18,$E$22&lt;='COMISIONES ALDRO'!$C$18),'COMISIONES ALDRO'!K$18,IF(AND($D$18="3.0TD",$E$22&gt;'COMISIONES ALDRO'!$B$19,$E$22&lt;='COMISIONES ALDRO'!$C$19),'COMISIONES ALDRO'!K$19,IF(AND($D$18="3.0TD",$E$22&gt;'COMISIONES ALDRO'!$B$20,$E$22&lt;='COMISIONES ALDRO'!$C$20),'COMISIONES ALDRO'!K$20,IF(AND($D$18="3.0TD",$E$22&gt;'COMISIONES ALDRO'!$B$21,$E$22&lt;='COMISIONES ALDRO'!$C$21),'COMISIONES ALDRO'!K28,IF(AND($D$18="3.0TD",$E$22&gt;'COMISIONES ALDRO'!$B$22,$E$22&lt;='COMISIONES ALDRO'!$C$22),'COMISIONES ALDRO'!K$22,IF(AND($D$18="3.0TD",$E$22&gt;'COMISIONES ALDRO'!$B$23,$E$22&lt;='COMISIONES ALDRO'!$C$23),'COMISIONES ALDRO'!K$23,IF(AND($D$18="3.0TD",$E$22&gt;'COMISIONES ALDRO'!$B$24,$E$22&lt;='COMISIONES ALDRO'!$C$24),'COMISIONES ALDRO'!K$24,IF(AND($D$18="3.0TD",$E$22&gt;'COMISIONES ALDRO'!$B$25,$E$22&lt;='COMISIONES ALDRO'!$C$25),'COMISIONES ALDRO'!K$25,IF(AND($D$18="3.0TD",$E$22&gt;'COMISIONES ALDRO'!$B$26,$E$22&lt;='COMISIONES ALDRO'!$C$26),'COMISIONES ALDRO'!K$26,IF(AND($D$18="3.0TD",$E$22&gt;'COMISIONES ALDRO'!$B$27,$E$22&lt;='COMISIONES ALDRO'!$C$27),'COMISIONES ALDRO'!K$27,IF(AND($D$18="3.0TD",$E$22&gt;'COMISIONES ALDRO'!$B$28,$E$22&lt;='COMISIONES ALDRO'!$C$28),'COMISIONES ALDRO'!K$28,IF(AND($D$18="3.0TD",$E$22&gt;'COMISIONES ALDRO'!$B$29,$E$22&lt;='COMISIONES ALDRO'!$C$28),'COMISIONES ALDRO'!K$28,IF(AND($D$18="3.0TD",$E$22&gt;'COMISIONES ALDRO'!$B$29,$E$22&lt;='COMISIONES ALDRO'!$C$29),'COMISIONES ALDRO'!K$29,IF(AND($D$18="3.0TD",$E$22&gt;'COMISIONES ALDRO'!$B$30,$E$22&lt;='COMISIONES ALDRO'!$C$30),'COMISIONES ALDRO'!K$30,IF(AND($D$18="3.0TD",$E$22&gt;'COMISIONES ALDRO'!$B$31,$E$22&lt;='COMISIONES ALDRO'!$C$31),'COMISIONES ALDRO'!K$31,IF(AND($D$18="3.0TD",$E$22&gt;'COMISIONES ALDRO'!$B$32,$E$22&lt;='COMISIONES ALDRO'!$C$32),'COMISIONES ALDRO'!K$32,IF(AND($D$18="3.0TD",$E$22&gt;'COMISIONES ALDRO'!$B$33,$E$22&lt;='COMISIONES ALDRO'!$C$33),'COMISIONES ALDRO'!K$33,))))))))))))))))))))))))))))))))))))))))))))))))))))))*$C$1))))))))))))))))))))))))))))))))</f>
        <v>50</v>
      </c>
      <c r="R24" s="270"/>
      <c r="S24" s="321"/>
      <c r="T24" s="321"/>
      <c r="U24" s="321"/>
      <c r="V24" s="321"/>
      <c r="W24" s="321"/>
      <c r="X24" s="321"/>
      <c r="Y24" s="321"/>
      <c r="Z24" s="321"/>
      <c r="AA24" s="321"/>
      <c r="AB24" s="321"/>
      <c r="AC24" s="321"/>
      <c r="AD24" s="321"/>
      <c r="AE24" s="321"/>
      <c r="AF24" s="321"/>
      <c r="AG24" s="321"/>
      <c r="AH24" s="321"/>
      <c r="AI24" s="321"/>
      <c r="AJ24" s="321"/>
      <c r="AK24" s="321"/>
      <c r="AL24" s="321"/>
      <c r="AM24" s="321"/>
      <c r="AN24" s="321"/>
      <c r="AO24" s="321"/>
      <c r="AP24" s="321"/>
      <c r="AQ24" s="321"/>
      <c r="AR24" s="321"/>
      <c r="AS24" s="321"/>
      <c r="AT24" s="321"/>
      <c r="AU24" s="321"/>
      <c r="AV24" s="321"/>
      <c r="AW24" s="321"/>
      <c r="AX24" s="321"/>
      <c r="AY24" s="321"/>
    </row>
    <row r="25" spans="1:51" ht="15" customHeight="1">
      <c r="A25" s="321"/>
      <c r="B25" s="321"/>
      <c r="C25" s="321"/>
      <c r="D25" s="409" t="str">
        <f>IF(D18="2.0TD","P1",IF(AND(OR(D18="3.0TD",D18="6.1TD")),IF(OR(D20="ENERO",D20="FEBRERO",D20="JULIO",D20="DICIEMBRE"),"P1",""),""))</f>
        <v>P1</v>
      </c>
      <c r="E25" s="332">
        <v>6</v>
      </c>
      <c r="F25" s="321"/>
      <c r="G25" s="248"/>
      <c r="H25" s="525"/>
      <c r="I25" s="424" t="s">
        <v>59</v>
      </c>
      <c r="J25" s="377">
        <f>IF(D19="PRECIO FIJO",IF($D$18="2.0TD",'RESULTADO PRECIO FIJO'!N57,IF($D$18="3.0TD",'RESULTADO PRECIO FIJO'!N81,"")))</f>
        <v>-24.632133258999971</v>
      </c>
      <c r="K25" s="354">
        <f>IF(J25="","",(((((((((((((((((((((((((((((((((((((((((((((((((((((IF(AND($D$18="2.0TD",$E$22&gt;'COMISIONES ALDRO'!$B$4,$E$22&lt;='COMISIONES ALDRO'!$C$4),'COMISIONES ALDRO'!L$4,IF(AND($D$18="2.0TD",$E$22&gt;'COMISIONES ALDRO'!$B$5,$E$22&lt;='COMISIONES ALDRO'!$C$5),'COMISIONES ALDRO'!L$5,IF(AND($D$18="2.0TD",$E$22&gt;'COMISIONES ALDRO'!$B$6,$E$22&lt;='COMISIONES ALDRO'!$C$6),'COMISIONES ALDRO'!L$6,IF(AND($D$18="2.0TD",$E$22&gt;'COMISIONES ALDRO'!$B$7,$E$22&lt;='COMISIONES ALDRO'!$C$7),'COMISIONES ALDRO'!L$7,IF(AND($D$18="2.0TD",$E$22&gt;'COMISIONES ALDRO'!$B$8,$E$22&lt;='COMISIONES ALDRO'!$C$8),'COMISIONES ALDRO'!L$8,IF(AND($D$18="2.0TD",$E$22&gt;'COMISIONES ALDRO'!$B$8,$E$22&lt;='COMISIONES ALDRO'!$C$8),'COMISIONES ALDRO'!L$8,IF(AND($D$18="2.0TD",$E$22&gt;'COMISIONES ALDRO'!$B$9,$E$22&lt;='COMISIONES ALDRO'!$C$9),'COMISIONES ALDRO'!L$9,IF(AND($D$18="2.0TD",$E$22&gt;'COMISIONES ALDRO'!$B$10,$E$22&lt;='COMISIONES ALDRO'!$C$10),'COMISIONES ALDRO'!L$10,IF(AND($D$18="2.0TD",$E$22&gt;'COMISIONES ALDRO'!$B$11,$E$22&lt;='COMISIONES ALDRO'!$C$11),'COMISIONES ALDRO'!L$11,IF(AND($D$18="2.0TD",$E$22&gt;'COMISIONES ALDRO'!$B$12,$E$22&lt;='COMISIONES ALDRO'!$C$12),'COMISIONES ALDRO'!L$12,IF(AND($D$18="2.0TD",$E$22&gt;'COMISIONES ALDRO'!$B$13,$E$22&lt;='COMISIONES ALDRO'!$C$13),'COMISIONES ALDRO'!L$13,IF(AND($D$18="2.0TD",$E$22&gt;'COMISIONES ALDRO'!$B$14,$E$22&lt;='COMISIONES ALDRO'!$C$14),'COMISIONES ALDRO'!L$14,IF(AND($D$18="3.0TD",$E$22&gt;'COMISIONES ALDRO'!$B$15,$E$22&lt;='COMISIONES ALDRO'!$C$15),'COMISIONES ALDRO'!L$15,IF(AND($D$18="3.0TD",$E$22&gt;'COMISIONES ALDRO'!$B$16,$E$22&lt;='COMISIONES ALDRO'!$C$16),'COMISIONES ALDRO'!L$16,IF(AND($D$18="3.0TD",$E$22&gt;'COMISIONES ALDRO'!$B$17,$E$22&lt;='COMISIONES ALDRO'!$C$17),'COMISIONES ALDRO'!L$17,IF(AND($D$18="3.0TD",$E$22&gt;'COMISIONES ALDRO'!$B$18,$E$22&lt;='COMISIONES ALDRO'!$C$18),'COMISIONES ALDRO'!L$18,IF(AND($D$18="3.0TD",$E$22&gt;'COMISIONES ALDRO'!$B$19,$E$22&lt;='COMISIONES ALDRO'!$C$19),'COMISIONES ALDRO'!L$19,IF(AND($D$18="3.0TD",$E$22&gt;'COMISIONES ALDRO'!$B$20,$E$22&lt;='COMISIONES ALDRO'!$C$20),'COMISIONES ALDRO'!L$20,IF(AND($D$18="3.0TD",$E$22&gt;'COMISIONES ALDRO'!$B$21,$E$22&lt;='COMISIONES ALDRO'!$C$21),'COMISIONES ALDRO'!L29,IF(AND($D$18="3.0TD",$E$22&gt;'COMISIONES ALDRO'!$B$22,$E$22&lt;='COMISIONES ALDRO'!$C$22),'COMISIONES ALDRO'!L$22,IF(AND($D$18="3.0TD",$E$22&gt;'COMISIONES ALDRO'!$B$23,$E$22&lt;='COMISIONES ALDRO'!$C$23),'COMISIONES ALDRO'!L$23,IF(AND($D$18="3.0TD",$E$22&gt;'COMISIONES ALDRO'!$B$24,$E$22&lt;='COMISIONES ALDRO'!$C$24),'COMISIONES ALDRO'!L$24,IF(AND($D$18="3.0TD",$E$22&gt;'COMISIONES ALDRO'!$B$25,$E$22&lt;='COMISIONES ALDRO'!$C$25),'COMISIONES ALDRO'!L$25,IF(AND($D$18="3.0TD",$E$22&gt;'COMISIONES ALDRO'!$B$26,$E$22&lt;='COMISIONES ALDRO'!$C$26),'COMISIONES ALDRO'!L$26,IF(AND($D$18="3.0TD",$E$22&gt;'COMISIONES ALDRO'!$B$27,$E$22&lt;='COMISIONES ALDRO'!$C$27),'COMISIONES ALDRO'!L$27,IF(AND($D$18="3.0TD",$E$22&gt;'COMISIONES ALDRO'!$B$28,$E$22&lt;='COMISIONES ALDRO'!$C$28),'COMISIONES ALDRO'!L$28,IF(AND($D$18="3.0TD",$E$22&gt;'COMISIONES ALDRO'!$B$29,$E$22&lt;='COMISIONES ALDRO'!$C$28),'COMISIONES ALDRO'!L$28,IF(AND($D$18="3.0TD",$E$22&gt;'COMISIONES ALDRO'!$B$29,$E$22&lt;='COMISIONES ALDRO'!$C$29),'COMISIONES ALDRO'!L$29,IF(AND($D$18="3.0TD",$E$22&gt;'COMISIONES ALDRO'!$B$30,$E$22&lt;='COMISIONES ALDRO'!$C$30),'COMISIONES ALDRO'!L$30,IF(AND($D$18="3.0TD",$E$22&gt;'COMISIONES ALDRO'!$B$31,$E$22&lt;='COMISIONES ALDRO'!$C$31),'COMISIONES ALDRO'!L$31,IF(AND($D$18="3.0TD",$E$22&gt;'COMISIONES ALDRO'!$B$32,$E$22&lt;='COMISIONES ALDRO'!$C$32),'COMISIONES ALDRO'!L$32,IF(AND($D$18="3.0TD",$E$22&gt;'COMISIONES ALDRO'!$B$33,$E$22&lt;='COMISIONES ALDRO'!$C$33),'COMISIONES ALDRO'!L$33,))))))))))))))))))))))))))))))))))))))))))))))))))))))*$C$1))))))))))))))))))))))))))))))))</f>
        <v>0</v>
      </c>
      <c r="R25" s="270"/>
      <c r="S25" s="321"/>
      <c r="T25" s="321"/>
      <c r="U25" s="321"/>
      <c r="V25" s="321"/>
      <c r="W25" s="321"/>
      <c r="X25" s="321"/>
      <c r="Y25" s="321"/>
      <c r="Z25" s="321"/>
      <c r="AA25" s="321"/>
      <c r="AB25" s="321"/>
      <c r="AC25" s="321"/>
      <c r="AD25" s="321"/>
      <c r="AE25" s="321"/>
      <c r="AF25" s="321"/>
      <c r="AG25" s="321"/>
      <c r="AH25" s="321"/>
      <c r="AI25" s="321"/>
      <c r="AJ25" s="321"/>
      <c r="AK25" s="321"/>
      <c r="AL25" s="321"/>
      <c r="AM25" s="321"/>
      <c r="AN25" s="321"/>
      <c r="AO25" s="321"/>
      <c r="AP25" s="321"/>
      <c r="AQ25" s="321"/>
      <c r="AR25" s="321"/>
      <c r="AS25" s="321"/>
      <c r="AT25" s="321"/>
      <c r="AU25" s="321"/>
      <c r="AV25" s="321"/>
      <c r="AW25" s="321"/>
      <c r="AX25" s="321"/>
      <c r="AY25" s="321"/>
    </row>
    <row r="26" spans="1:51" ht="15" customHeight="1" thickBot="1">
      <c r="A26" s="321"/>
      <c r="B26" s="321"/>
      <c r="C26" s="321"/>
      <c r="D26" s="240" t="str">
        <f>IF(D18="2.0TD","P2",IF(AND(OR(D18="3.0TD",D18="6.1TD")),IF(OR(D20="ENERO",D20="FEBRERO",D20="MARZO",D20="JULIO",D20="DICIEMBRE",D20="NOVIEMBRE"),"P2",""),""))</f>
        <v>P2</v>
      </c>
      <c r="E26" s="333">
        <v>6</v>
      </c>
      <c r="F26" s="321"/>
      <c r="G26" s="248"/>
      <c r="H26" s="413"/>
      <c r="I26" s="424" t="str">
        <f>IF(D18="3.0TD","CUSTOM 80","")</f>
        <v/>
      </c>
      <c r="J26" s="377" t="str">
        <f>IF(D19="PRECIO FIJO",IF($D$18="3.0TD",'RESULTADO PRECIO FIJO'!N59,""))</f>
        <v/>
      </c>
      <c r="K26" s="354" t="str">
        <f>IF(J26="","",(((((((((((((((((((((((((((((((((((((((((((((((((((((IF(AND($D$18="2.0TD",$E$22&gt;'COMISIONES ALDRO'!$B$4,$E$22&lt;='COMISIONES ALDRO'!$C$4),'COMISIONES ALDRO'!M$4,IF(AND($D$18="2.0TD",$E$22&gt;'COMISIONES ALDRO'!$B$5,$E$22&lt;='COMISIONES ALDRO'!$C$5),'COMISIONES ALDRO'!M$5,IF(AND($D$18="2.0TD",$E$22&gt;'COMISIONES ALDRO'!$B$6,$E$22&lt;='COMISIONES ALDRO'!$C$6),'COMISIONES ALDRO'!M$6,IF(AND($D$18="2.0TD",$E$22&gt;'COMISIONES ALDRO'!$B$7,$E$22&lt;='COMISIONES ALDRO'!$C$7),'COMISIONES ALDRO'!M$7,IF(AND($D$18="2.0TD",$E$22&gt;'COMISIONES ALDRO'!$B$8,$E$22&lt;='COMISIONES ALDRO'!$C$8),'COMISIONES ALDRO'!M$8,IF(AND($D$18="2.0TD",$E$22&gt;'COMISIONES ALDRO'!$B$8,$E$22&lt;='COMISIONES ALDRO'!$C$8),'COMISIONES ALDRO'!M$8,IF(AND($D$18="2.0TD",$E$22&gt;'COMISIONES ALDRO'!$B$9,$E$22&lt;='COMISIONES ALDRO'!$C$9),'COMISIONES ALDRO'!M$9,IF(AND($D$18="2.0TD",$E$22&gt;'COMISIONES ALDRO'!$B$10,$E$22&lt;='COMISIONES ALDRO'!$C$10),'COMISIONES ALDRO'!M$10,IF(AND($D$18="2.0TD",$E$22&gt;'COMISIONES ALDRO'!$B$11,$E$22&lt;='COMISIONES ALDRO'!$C$11),'COMISIONES ALDRO'!M$11,IF(AND($D$18="2.0TD",$E$22&gt;'COMISIONES ALDRO'!$B$12,$E$22&lt;='COMISIONES ALDRO'!$C$12),'COMISIONES ALDRO'!M$12,IF(AND($D$18="2.0TD",$E$22&gt;'COMISIONES ALDRO'!$B$13,$E$22&lt;='COMISIONES ALDRO'!$C$13),'COMISIONES ALDRO'!M$13,IF(AND($D$18="2.0TD",$E$22&gt;'COMISIONES ALDRO'!$B$14,$E$22&lt;='COMISIONES ALDRO'!$C$14),'COMISIONES ALDRO'!M$14,IF(AND($D$18="3.0TD",$E$22&gt;'COMISIONES ALDRO'!$B$15,$E$22&lt;='COMISIONES ALDRO'!$C$15),'COMISIONES ALDRO'!M$15,IF(AND($D$18="3.0TD",$E$22&gt;'COMISIONES ALDRO'!$B$16,$E$22&lt;='COMISIONES ALDRO'!$C$16),'COMISIONES ALDRO'!M$16,IF(AND($D$18="3.0TD",$E$22&gt;'COMISIONES ALDRO'!$B$17,$E$22&lt;='COMISIONES ALDRO'!$C$17),'COMISIONES ALDRO'!M$17,IF(AND($D$18="3.0TD",$E$22&gt;'COMISIONES ALDRO'!$B$18,$E$22&lt;='COMISIONES ALDRO'!$C$18),'COMISIONES ALDRO'!M$18,IF(AND($D$18="3.0TD",$E$22&gt;'COMISIONES ALDRO'!$B$19,$E$22&lt;='COMISIONES ALDRO'!$C$19),'COMISIONES ALDRO'!M$19,IF(AND($D$18="3.0TD",$E$22&gt;'COMISIONES ALDRO'!$B$20,$E$22&lt;='COMISIONES ALDRO'!$C$20),'COMISIONES ALDRO'!M$20,IF(AND($D$18="3.0TD",$E$22&gt;'COMISIONES ALDRO'!$B$21,$E$22&lt;='COMISIONES ALDRO'!$C$21),'COMISIONES ALDRO'!M30,IF(AND($D$18="3.0TD",$E$22&gt;'COMISIONES ALDRO'!$B$22,$E$22&lt;='COMISIONES ALDRO'!$C$22),'COMISIONES ALDRO'!M$22,IF(AND($D$18="3.0TD",$E$22&gt;'COMISIONES ALDRO'!$B$23,$E$22&lt;='COMISIONES ALDRO'!$C$23),'COMISIONES ALDRO'!M$23,IF(AND($D$18="3.0TD",$E$22&gt;'COMISIONES ALDRO'!$B$24,$E$22&lt;='COMISIONES ALDRO'!$C$24),'COMISIONES ALDRO'!M$24,IF(AND($D$18="3.0TD",$E$22&gt;'COMISIONES ALDRO'!$B$25,$E$22&lt;='COMISIONES ALDRO'!$C$25),'COMISIONES ALDRO'!M$25,IF(AND($D$18="3.0TD",$E$22&gt;'COMISIONES ALDRO'!$B$26,$E$22&lt;='COMISIONES ALDRO'!$C$26),'COMISIONES ALDRO'!M$26,IF(AND($D$18="3.0TD",$E$22&gt;'COMISIONES ALDRO'!$B$27,$E$22&lt;='COMISIONES ALDRO'!$C$27),'COMISIONES ALDRO'!M$27,IF(AND($D$18="3.0TD",$E$22&gt;'COMISIONES ALDRO'!$B$28,$E$22&lt;='COMISIONES ALDRO'!$C$28),'COMISIONES ALDRO'!M$28,IF(AND($D$18="3.0TD",$E$22&gt;'COMISIONES ALDRO'!$B$29,$E$22&lt;='COMISIONES ALDRO'!$C$28),'COMISIONES ALDRO'!M$28,IF(AND($D$18="3.0TD",$E$22&gt;'COMISIONES ALDRO'!$B$29,$E$22&lt;='COMISIONES ALDRO'!$C$29),'COMISIONES ALDRO'!M$29,IF(AND($D$18="3.0TD",$E$22&gt;'COMISIONES ALDRO'!$B$30,$E$22&lt;='COMISIONES ALDRO'!$C$30),'COMISIONES ALDRO'!M$30,IF(AND($D$18="3.0TD",$E$22&gt;'COMISIONES ALDRO'!$B$31,$E$22&lt;='COMISIONES ALDRO'!$C$31),'COMISIONES ALDRO'!M$31,IF(AND($D$18="3.0TD",$E$22&gt;'COMISIONES ALDRO'!$B$32,$E$22&lt;='COMISIONES ALDRO'!$C$32),'COMISIONES ALDRO'!M$32,IF(AND($D$18="3.0TD",$E$22&gt;'COMISIONES ALDRO'!$B$33,$E$22&lt;='COMISIONES ALDRO'!$C$33),'COMISIONES ALDRO'!M$33,))))))))))))))))))))))))))))))))))))))))))))))))))))))*$C$1))))))))))))))))))))))))))))))))</f>
        <v/>
      </c>
      <c r="R26" s="270"/>
      <c r="S26" s="321"/>
      <c r="T26" s="321"/>
      <c r="U26" s="321"/>
      <c r="V26" s="321"/>
      <c r="W26" s="321"/>
      <c r="X26" s="321"/>
      <c r="Y26" s="321"/>
      <c r="Z26" s="321"/>
      <c r="AA26" s="321"/>
      <c r="AB26" s="321"/>
      <c r="AC26" s="321"/>
      <c r="AD26" s="321"/>
      <c r="AE26" s="321"/>
      <c r="AF26" s="321"/>
      <c r="AG26" s="321"/>
      <c r="AH26" s="321"/>
      <c r="AI26" s="321"/>
      <c r="AJ26" s="321"/>
      <c r="AK26" s="321"/>
      <c r="AL26" s="321"/>
      <c r="AM26" s="321"/>
      <c r="AN26" s="321"/>
      <c r="AO26" s="321"/>
      <c r="AP26" s="321"/>
      <c r="AQ26" s="321"/>
      <c r="AR26" s="321"/>
      <c r="AS26" s="321"/>
      <c r="AT26" s="321"/>
      <c r="AU26" s="321"/>
      <c r="AV26" s="321"/>
      <c r="AW26" s="321"/>
      <c r="AX26" s="321"/>
      <c r="AY26" s="321"/>
    </row>
    <row r="27" spans="1:51" ht="15" customHeight="1" thickBot="1">
      <c r="A27" s="321"/>
      <c r="B27" s="321"/>
      <c r="C27" s="321"/>
      <c r="D27" s="240" t="s">
        <v>60</v>
      </c>
      <c r="E27" s="241"/>
      <c r="F27" s="321"/>
      <c r="G27" s="248"/>
      <c r="H27" s="413"/>
      <c r="I27" s="424" t="str">
        <f>IF(D18="3.0TD","CUSTOM 90","")</f>
        <v/>
      </c>
      <c r="J27" s="377" t="str">
        <f>IF(D19="PRECIO FIJO",IF($D$18="3.0TD",'RESULTADO PRECIO FIJO'!N61,""))</f>
        <v/>
      </c>
      <c r="K27" s="354" t="str">
        <f>IF(J27="","",(((((((((((((((((((((((((((((((((((((((((((((((((((((IF(AND($D$18="2.0TD",$E$22&gt;'COMISIONES ALDRO'!$B$4,$E$22&lt;='COMISIONES ALDRO'!$C$4),'COMISIONES ALDRO'!N$4,IF(AND($D$18="2.0TD",$E$22&gt;'COMISIONES ALDRO'!$B$5,$E$22&lt;='COMISIONES ALDRO'!$C$5),'COMISIONES ALDRO'!N$5,IF(AND($D$18="2.0TD",$E$22&gt;'COMISIONES ALDRO'!$B$6,$E$22&lt;='COMISIONES ALDRO'!$C$6),'COMISIONES ALDRO'!N$6,IF(AND($D$18="2.0TD",$E$22&gt;'COMISIONES ALDRO'!$B$7,$E$22&lt;='COMISIONES ALDRO'!$C$7),'COMISIONES ALDRO'!N$7,IF(AND($D$18="2.0TD",$E$22&gt;'COMISIONES ALDRO'!$B$8,$E$22&lt;='COMISIONES ALDRO'!$C$8),'COMISIONES ALDRO'!N$8,IF(AND($D$18="2.0TD",$E$22&gt;'COMISIONES ALDRO'!$B$8,$E$22&lt;='COMISIONES ALDRO'!$C$8),'COMISIONES ALDRO'!N$8,IF(AND($D$18="2.0TD",$E$22&gt;'COMISIONES ALDRO'!$B$9,$E$22&lt;='COMISIONES ALDRO'!$C$9),'COMISIONES ALDRO'!N$9,IF(AND($D$18="2.0TD",$E$22&gt;'COMISIONES ALDRO'!$B$10,$E$22&lt;='COMISIONES ALDRO'!$C$10),'COMISIONES ALDRO'!N$10,IF(AND($D$18="2.0TD",$E$22&gt;'COMISIONES ALDRO'!$B$11,$E$22&lt;='COMISIONES ALDRO'!$C$11),'COMISIONES ALDRO'!N$11,IF(AND($D$18="2.0TD",$E$22&gt;'COMISIONES ALDRO'!$B$12,$E$22&lt;='COMISIONES ALDRO'!$C$12),'COMISIONES ALDRO'!N$12,IF(AND($D$18="2.0TD",$E$22&gt;'COMISIONES ALDRO'!$B$13,$E$22&lt;='COMISIONES ALDRO'!$C$13),'COMISIONES ALDRO'!N$13,IF(AND($D$18="2.0TD",$E$22&gt;'COMISIONES ALDRO'!$B$14,$E$22&lt;='COMISIONES ALDRO'!$C$14),'COMISIONES ALDRO'!N$14,IF(AND($D$18="3.0TD",$E$22&gt;'COMISIONES ALDRO'!$B$15,$E$22&lt;='COMISIONES ALDRO'!$C$15),'COMISIONES ALDRO'!N$15,IF(AND($D$18="3.0TD",$E$22&gt;'COMISIONES ALDRO'!$B$16,$E$22&lt;='COMISIONES ALDRO'!$C$16),'COMISIONES ALDRO'!N$16,IF(AND($D$18="3.0TD",$E$22&gt;'COMISIONES ALDRO'!$B$17,$E$22&lt;='COMISIONES ALDRO'!$C$17),'COMISIONES ALDRO'!N$17,IF(AND($D$18="3.0TD",$E$22&gt;'COMISIONES ALDRO'!$B$18,$E$22&lt;='COMISIONES ALDRO'!$C$18),'COMISIONES ALDRO'!N$18,IF(AND($D$18="3.0TD",$E$22&gt;'COMISIONES ALDRO'!$B$19,$E$22&lt;='COMISIONES ALDRO'!$C$19),'COMISIONES ALDRO'!N$19,IF(AND($D$18="3.0TD",$E$22&gt;'COMISIONES ALDRO'!$B$20,$E$22&lt;='COMISIONES ALDRO'!$C$20),'COMISIONES ALDRO'!N$20,IF(AND($D$18="3.0TD",$E$22&gt;'COMISIONES ALDRO'!$B$21,$E$22&lt;='COMISIONES ALDRO'!$C$21),'COMISIONES ALDRO'!N31,IF(AND($D$18="3.0TD",$E$22&gt;'COMISIONES ALDRO'!$B$22,$E$22&lt;='COMISIONES ALDRO'!$C$22),'COMISIONES ALDRO'!N$22,IF(AND($D$18="3.0TD",$E$22&gt;'COMISIONES ALDRO'!$B$23,$E$22&lt;='COMISIONES ALDRO'!$C$23),'COMISIONES ALDRO'!N$23,IF(AND($D$18="3.0TD",$E$22&gt;'COMISIONES ALDRO'!$B$24,$E$22&lt;='COMISIONES ALDRO'!$C$24),'COMISIONES ALDRO'!N$24,IF(AND($D$18="3.0TD",$E$22&gt;'COMISIONES ALDRO'!$B$25,$E$22&lt;='COMISIONES ALDRO'!$C$25),'COMISIONES ALDRO'!N$25,IF(AND($D$18="3.0TD",$E$22&gt;'COMISIONES ALDRO'!$B$26,$E$22&lt;='COMISIONES ALDRO'!$C$26),'COMISIONES ALDRO'!N$26,IF(AND($D$18="3.0TD",$E$22&gt;'COMISIONES ALDRO'!$B$27,$E$22&lt;='COMISIONES ALDRO'!$C$27),'COMISIONES ALDRO'!N$27,IF(AND($D$18="3.0TD",$E$22&gt;'COMISIONES ALDRO'!$B$28,$E$22&lt;='COMISIONES ALDRO'!$C$28),'COMISIONES ALDRO'!N$28,IF(AND($D$18="3.0TD",$E$22&gt;'COMISIONES ALDRO'!$B$29,$E$22&lt;='COMISIONES ALDRO'!$C$28),'COMISIONES ALDRO'!N$28,IF(AND($D$18="3.0TD",$E$22&gt;'COMISIONES ALDRO'!$B$29,$E$22&lt;='COMISIONES ALDRO'!$C$29),'COMISIONES ALDRO'!N$29,IF(AND($D$18="3.0TD",$E$22&gt;'COMISIONES ALDRO'!$B$30,$E$22&lt;='COMISIONES ALDRO'!$C$30),'COMISIONES ALDRO'!N$30,IF(AND($D$18="3.0TD",$E$22&gt;'COMISIONES ALDRO'!$B$31,$E$22&lt;='COMISIONES ALDRO'!$C$31),'COMISIONES ALDRO'!N$31,IF(AND($D$18="3.0TD",$E$22&gt;'COMISIONES ALDRO'!$B$32,$E$22&lt;='COMISIONES ALDRO'!$C$32),'COMISIONES ALDRO'!N$32,IF(AND($D$18="3.0TD",$E$22&gt;'COMISIONES ALDRO'!$B$33,$E$22&lt;='COMISIONES ALDRO'!$C$33),'COMISIONES ALDRO'!N$33,))))))))))))))))))))))))))))))))))))))))))))))))))))))*$C$1))))))))))))))))))))))))))))))))</f>
        <v/>
      </c>
      <c r="O27" s="492" t="s">
        <v>61</v>
      </c>
      <c r="P27" s="493"/>
      <c r="Q27" s="494"/>
      <c r="R27" s="270"/>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c r="AS27" s="321"/>
      <c r="AT27" s="321"/>
      <c r="AU27" s="321"/>
      <c r="AV27" s="321"/>
      <c r="AW27" s="321"/>
      <c r="AX27" s="321"/>
      <c r="AY27" s="321"/>
    </row>
    <row r="28" spans="1:51" ht="15" customHeight="1" thickBot="1">
      <c r="A28" s="321"/>
      <c r="B28" s="321"/>
      <c r="C28" s="321"/>
      <c r="D28" s="240" t="s">
        <v>62</v>
      </c>
      <c r="E28" s="334"/>
      <c r="F28" s="321"/>
      <c r="G28" s="248"/>
      <c r="H28" s="413"/>
      <c r="I28" s="426" t="str">
        <f>IF(D18="3.0TD","CUSTOM 100","")</f>
        <v/>
      </c>
      <c r="J28" s="378" t="str">
        <f>IF(D19="PRECIO FIJO",IF($D$18="3.0TD",'RESULTADO PRECIO FIJO'!N63,""))</f>
        <v/>
      </c>
      <c r="K28" s="239" t="str">
        <f>IF(J28="","",(((((((((((((((((((((((((((((((((((((((((((((((((((((IF(AND($D$18="2.0TD",$E$22&gt;'COMISIONES ALDRO'!$B$4,$E$22&lt;='COMISIONES ALDRO'!$C$4),'COMISIONES ALDRO'!O$4,IF(AND($D$18="2.0TD",$E$22&gt;'COMISIONES ALDRO'!$B$5,$E$22&lt;='COMISIONES ALDRO'!$C$5),'COMISIONES ALDRO'!O$5,IF(AND($D$18="2.0TD",$E$22&gt;'COMISIONES ALDRO'!$B$6,$E$22&lt;='COMISIONES ALDRO'!$C$6),'COMISIONES ALDRO'!O$6,IF(AND($D$18="2.0TD",$E$22&gt;'COMISIONES ALDRO'!$B$7,$E$22&lt;='COMISIONES ALDRO'!$C$7),'COMISIONES ALDRO'!O$7,IF(AND($D$18="2.0TD",$E$22&gt;'COMISIONES ALDRO'!$B$8,$E$22&lt;='COMISIONES ALDRO'!$C$8),'COMISIONES ALDRO'!O$8,IF(AND($D$18="2.0TD",$E$22&gt;'COMISIONES ALDRO'!$B$8,$E$22&lt;='COMISIONES ALDRO'!$C$8),'COMISIONES ALDRO'!O$8,IF(AND($D$18="2.0TD",$E$22&gt;'COMISIONES ALDRO'!$B$9,$E$22&lt;='COMISIONES ALDRO'!$C$9),'COMISIONES ALDRO'!O$9,IF(AND($D$18="2.0TD",$E$22&gt;'COMISIONES ALDRO'!$B$10,$E$22&lt;='COMISIONES ALDRO'!$C$10),'COMISIONES ALDRO'!O$10,IF(AND($D$18="2.0TD",$E$22&gt;'COMISIONES ALDRO'!$B$11,$E$22&lt;='COMISIONES ALDRO'!$C$11),'COMISIONES ALDRO'!O$11,IF(AND($D$18="2.0TD",$E$22&gt;'COMISIONES ALDRO'!$B$12,$E$22&lt;='COMISIONES ALDRO'!$C$12),'COMISIONES ALDRO'!O$12,IF(AND($D$18="2.0TD",$E$22&gt;'COMISIONES ALDRO'!$B$13,$E$22&lt;='COMISIONES ALDRO'!$C$13),'COMISIONES ALDRO'!O$13,IF(AND($D$18="2.0TD",$E$22&gt;'COMISIONES ALDRO'!$B$14,$E$22&lt;='COMISIONES ALDRO'!$C$14),'COMISIONES ALDRO'!O$14,IF(AND($D$18="3.0TD",$E$22&gt;'COMISIONES ALDRO'!$B$15,$E$22&lt;='COMISIONES ALDRO'!$C$15),'COMISIONES ALDRO'!O$15,IF(AND($D$18="3.0TD",$E$22&gt;'COMISIONES ALDRO'!$B$16,$E$22&lt;='COMISIONES ALDRO'!$C$16),'COMISIONES ALDRO'!O$16,IF(AND($D$18="3.0TD",$E$22&gt;'COMISIONES ALDRO'!$B$17,$E$22&lt;='COMISIONES ALDRO'!$C$17),'COMISIONES ALDRO'!O$17,IF(AND($D$18="3.0TD",$E$22&gt;'COMISIONES ALDRO'!$B$18,$E$22&lt;='COMISIONES ALDRO'!$C$18),'COMISIONES ALDRO'!O$18,IF(AND($D$18="3.0TD",$E$22&gt;'COMISIONES ALDRO'!$B$19,$E$22&lt;='COMISIONES ALDRO'!$C$19),'COMISIONES ALDRO'!O$19,IF(AND($D$18="3.0TD",$E$22&gt;'COMISIONES ALDRO'!$B$20,$E$22&lt;='COMISIONES ALDRO'!$C$20),'COMISIONES ALDRO'!O$20,IF(AND($D$18="3.0TD",$E$22&gt;'COMISIONES ALDRO'!$B$21,$E$22&lt;='COMISIONES ALDRO'!$C$21),'COMISIONES ALDRO'!O32,IF(AND($D$18="3.0TD",$E$22&gt;'COMISIONES ALDRO'!$B$22,$E$22&lt;='COMISIONES ALDRO'!$C$22),'COMISIONES ALDRO'!O$22,IF(AND($D$18="3.0TD",$E$22&gt;'COMISIONES ALDRO'!$B$23,$E$22&lt;='COMISIONES ALDRO'!$C$23),'COMISIONES ALDRO'!O$23,IF(AND($D$18="3.0TD",$E$22&gt;'COMISIONES ALDRO'!$B$24,$E$22&lt;='COMISIONES ALDRO'!$C$24),'COMISIONES ALDRO'!O$24,IF(AND($D$18="3.0TD",$E$22&gt;'COMISIONES ALDRO'!$B$25,$E$22&lt;='COMISIONES ALDRO'!$C$25),'COMISIONES ALDRO'!O$25,IF(AND($D$18="3.0TD",$E$22&gt;'COMISIONES ALDRO'!$B$26,$E$22&lt;='COMISIONES ALDRO'!$C$26),'COMISIONES ALDRO'!O$26,IF(AND($D$18="3.0TD",$E$22&gt;'COMISIONES ALDRO'!$B$27,$E$22&lt;='COMISIONES ALDRO'!$C$27),'COMISIONES ALDRO'!O$27,IF(AND($D$18="3.0TD",$E$22&gt;'COMISIONES ALDRO'!$B$28,$E$22&lt;='COMISIONES ALDRO'!$C$28),'COMISIONES ALDRO'!O$28,IF(AND($D$18="3.0TD",$E$22&gt;'COMISIONES ALDRO'!$B$29,$E$22&lt;='COMISIONES ALDRO'!$C$28),'COMISIONES ALDRO'!O$28,IF(AND($D$18="3.0TD",$E$22&gt;'COMISIONES ALDRO'!$B$29,$E$22&lt;='COMISIONES ALDRO'!$C$29),'COMISIONES ALDRO'!O$29,IF(AND($D$18="3.0TD",$E$22&gt;'COMISIONES ALDRO'!$B$30,$E$22&lt;='COMISIONES ALDRO'!$C$30),'COMISIONES ALDRO'!O$30,IF(AND($D$18="3.0TD",$E$22&gt;'COMISIONES ALDRO'!$B$31,$E$22&lt;='COMISIONES ALDRO'!$C$31),'COMISIONES ALDRO'!O$31,IF(AND($D$18="3.0TD",$E$22&gt;'COMISIONES ALDRO'!$B$32,$E$22&lt;='COMISIONES ALDRO'!$C$32),'COMISIONES ALDRO'!O$32,IF(AND($D$18="3.0TD",$E$22&gt;'COMISIONES ALDRO'!$B$33,$E$22&lt;='COMISIONES ALDRO'!$C$33),'COMISIONES ALDRO'!O$33,))))))))))))))))))))))))))))))))))))))))))))))))))))))*$C$1))))))))))))))))))))))))))))))))</f>
        <v/>
      </c>
      <c r="O28" s="305" t="s">
        <v>10</v>
      </c>
      <c r="P28" s="361" t="s">
        <v>11</v>
      </c>
      <c r="Q28" s="362" t="s">
        <v>12</v>
      </c>
      <c r="R28" s="270"/>
      <c r="S28" s="321"/>
      <c r="T28" s="321"/>
      <c r="U28" s="321"/>
      <c r="V28" s="321"/>
      <c r="W28" s="321"/>
      <c r="X28" s="321"/>
      <c r="Y28" s="321"/>
      <c r="Z28" s="321"/>
      <c r="AA28" s="321"/>
      <c r="AB28" s="321"/>
      <c r="AC28" s="321"/>
      <c r="AD28" s="321"/>
      <c r="AE28" s="321"/>
      <c r="AF28" s="321"/>
      <c r="AG28" s="321"/>
      <c r="AH28" s="321"/>
      <c r="AI28" s="321"/>
      <c r="AJ28" s="321"/>
      <c r="AK28" s="321"/>
      <c r="AL28" s="321"/>
      <c r="AM28" s="321"/>
      <c r="AN28" s="321"/>
      <c r="AO28" s="321"/>
      <c r="AP28" s="321"/>
      <c r="AQ28" s="321"/>
      <c r="AR28" s="321"/>
      <c r="AS28" s="321"/>
      <c r="AT28" s="321"/>
      <c r="AU28" s="321"/>
      <c r="AV28" s="321"/>
      <c r="AW28" s="321"/>
      <c r="AX28" s="321"/>
      <c r="AY28" s="321"/>
    </row>
    <row r="29" spans="1:51" ht="15" customHeight="1">
      <c r="A29" s="321"/>
      <c r="B29" s="321"/>
      <c r="C29" s="321"/>
      <c r="D29" s="240" t="s">
        <v>63</v>
      </c>
      <c r="E29" s="241"/>
      <c r="F29" s="321"/>
      <c r="G29" s="248"/>
      <c r="H29" s="521" t="s">
        <v>32</v>
      </c>
      <c r="I29" s="372" t="s">
        <v>64</v>
      </c>
      <c r="J29" s="366">
        <f>IF($D$19="PRECIO FIJO",IF($D$18="2.0TD",'RESULTADO PRECIO FIJO'!N89,IF($D$18="3.0TD",'RESULTADO PRECIO FIJO'!N113,IF($D$18="6.1TD",""))),"")</f>
        <v>-21.554429881899978</v>
      </c>
      <c r="K29" s="304">
        <f>IF(J29="","",(((((((((((((((((((((((((((((((((((((((((((((((((((((((((IF(AND($D$18="2.0TD",$E$22&lt;='COMISIONES TOTAL'!$C$4),'COMISIONES TOTAL'!D$4,IF(AND($D$18="2.0TD",$E$22&gt;'COMISIONES TOTAL'!$B$5,$E$22&lt;='COMISIONES TOTAL'!$C$5),'COMISIONES TOTAL'!D$5,IF(AND($D$18="2.0TD",$E$22&gt;'COMISIONES TOTAL'!$B$6,$E$22&lt;='COMISIONES TOTAL'!$C$6),'COMISIONES TOTAL'!D$6,IF(AND($D$18="2.0TD",$E$22&gt;'COMISIONES TOTAL'!$B$7,$E$22&lt;='COMISIONES TOTAL'!$C$7),'COMISIONES TOTAL'!D$7,IF(AND($D$18="2.0TD",$E$22&gt;'COMISIONES TOTAL'!$B$8,$E$22&lt;='COMISIONES TOTAL'!$C$8),'COMISIONES TOTAL'!D$8,IF(AND($D$18="2.0TD",$E$22&lt;='COMISIONES TOTAL'!$C$9),'COMISIONES TOTAL'!D$9,IF(AND($D$18="2.0TD",$E$22&gt;'COMISIONES TOTAL'!$B$10,$E$22&lt;='COMISIONES TOTAL'!$C$10),'COMISIONES TOTAL'!D$10,IF(AND($D$18="2.0TD",$E$22&gt;'COMISIONES TOTAL'!$B$11,$E$22&lt;='COMISIONES TOTAL'!$C$11),'COMISIONES TOTAL'!D$11,IF(AND($D$18="2.0TD",$E$22&gt;'COMISIONES TOTAL'!$B$12,$E$22&lt;='COMISIONES TOTAL'!$C$12),'COMISIONES TOTAL'!D$12,IF(AND($D$18="2.0TD",$E$22&gt;'COMISIONES TOTAL'!$B$13,$E$22&lt;='COMISIONES TOTAL'!$C$13),'COMISIONES TOTAL'!D$13,IF(AND($D$18="3.0TD",$E$22&lt;='COMISIONES TOTAL'!$C$14),'COMISIONES TOTAL'!D$14,IF(AND($D$18="3.0TD",$E$22&gt;'COMISIONES TOTAL'!$B$15,$E$22&lt;='COMISIONES TOTAL'!$C$15,),'COMISIONES TOTAL'!D$15,IF(AND($D$18="3.0TD",$E$22&gt;'COMISIONES TOTAL'!$B$16,$E$22&lt;='COMISIONES TOTAL'!$C$16),'COMISIONES TOTAL'!D$16,IF(AND($D$18="3.0TD",$E$22&gt;'COMISIONES TOTAL'!$B$17,$E$22&lt;='COMISIONES TOTAL'!$C$17),'COMISIONES TOTAL'!D$17,IF(AND($D$18="3.0TD",$E$22&gt;'COMISIONES TOTAL'!$B$18,$E$22&lt;='COMISIONES TOTAL'!$C$18),'COMISIONES TOTAL'!D$18,IF(AND($D$18="3.0TD",$E$22&gt;'COMISIONES TOTAL'!$B$19,$E$22&lt;='COMISIONES TOTAL'!$C$19),'COMISIONES TOTAL'!D$19,IF(AND($D$18="3.0TD",$E$22&gt;'COMISIONES TOTAL'!$B$20,$E$22&lt;='COMISIONES TOTAL'!$C$20),'COMISIONES TOTAL'!D$20,IF(AND($D$18="3.0TD",$E$22&gt;'COMISIONES TOTAL'!$B$21,$E$22&lt;='COMISIONES TOTAL'!$C$21),'COMISIONES TOTAL'!D$21,IF(AND($D$18="3.0TD",$E$22&gt;'COMISIONES TOTAL'!$B$22,$E$22&lt;='COMISIONES TOTAL'!$C$22),'COMISIONES TOTAL'!D$22,IF(AND($D$18="3.0TD",$E$22&gt;'COMISIONES TOTAL'!$B$23,$E$22&lt;='COMISIONES TOTAL'!$C$23),'COMISIONES TOTAL'!D$23,IF(AND($D$18="3.0TD",$E$22&gt;'COMISIONES TOTAL'!$B$24,$E$22&lt;='COMISIONES TOTAL'!$C$24),'COMISIONES TOTAL'!D$24,IF(AND($D$18="3.0TD",$E$22&gt;'COMISIONES TOTAL'!$B$25,$E$22&lt;='COMISIONES TOTAL'!$C$25),'COMISIONES TOTAL'!D$25,IF(AND($D$18="3.0TD",$E$22&gt;'COMISIONES TOTAL'!$B$26,$E$22&lt;='COMISIONES TOTAL'!$C$26),'COMISIONES TOTAL'!D$26,IF(AND($D$18="3.0TD",$E$22&gt;'COMISIONES TOTAL'!$B$27,$E$22&lt;='COMISIONES TOTAL'!$C$27),'COMISIONES TOTAL'!D$27,IF(AND($D$18="3.0TD",$E$22&gt;'COMISIONES TOTAL'!$B$28,$E$22&lt;='COMISIONES TOTAL'!$C$28),'COMISIONES TOTAL'!D$28,IF(AND($D$18="3.0TD",$E$22&gt;'COMISIONES TOTAL'!$B$29,$E$22&lt;='COMISIONES TOTAL'!$C$29),'COMISIONES TOTAL'!D$29,IF(AND($D$18="6.1TD",$E$22&lt;='COMISIONES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86.1</v>
      </c>
      <c r="N29" s="433" t="s">
        <v>17</v>
      </c>
      <c r="O29" s="360" t="s">
        <v>18</v>
      </c>
      <c r="P29" s="303" t="str">
        <f>IF(D19="INDEXADO",IF($D$18="2.0TD",'RESULTADO INDEXADO'!L3,IF($D$18="3.0TD",'RESULTADO INDEXADO'!L23,IF($D$18="6.1TD",""))),"")</f>
        <v/>
      </c>
      <c r="Q29" s="304" t="str">
        <f>IF(P29="","",(((((((((((((((((((((((((((((((((((((((((((((((((((((IF(AND($D$18="2.0TD",$E$22&lt;='COMISIONES AUDAX'!$C$4,$E$25&lt;10),'COMISIONES AUDAX'!I$4,IF(AND($D$18="2.0TD",$E$22&gt;'COMISIONES AUDAX'!$B$5,$E$22&lt;'COMISIONES AUDAX'!$C$5,$E$25&lt;10),'COMISIONES AUDAX'!I$5,IF(AND($D$18="2.0TD",$E$22&gt;'COMISIONES AUDAX'!$B$6,$E$22&lt;='COMISIONES AUDAX'!$C$6,$E$25&lt;10),'COMISIONES AUDAX'!I$6,IF(AND($D$18="2.0TD",$E$22&gt;'COMISIONES AUDAX'!$B$7,$E$22&lt;='COMISIONES AUDAX'!$C$7,$E$25&lt;10),'COMISIONES AUDAX'!I$7,IF(AND($D$18="2.0TD",$E$22&gt;'COMISIONES AUDAX'!$B$8,$E$22&lt;='COMISIONES AUDAX'!$C$8,$E$25&lt;10),'COMISIONES AUDAX'!I$8,IF(AND($D$18="2.0TD",$E$22&lt;='COMISIONES AUDAX'!$C$9,$E$25&gt;10),'COMISIONES AUDAX'!I$9,IF(AND($D$18="2.0TD",$E$22&gt;'COMISIONES AUDAX'!$B$10,$E$22&lt;='COMISIONES AUDAX'!$C$10,$E$25&gt;10),'COMISIONES AUDAX'!I$10,IF(AND($D$18="2.0TD",$E$22&gt;'COMISIONES AUDAX'!$B$11,$E$22&lt;='COMISIONES AUDAX'!$C$11,$E$25&gt;10),'COMISIONES AUDAX'!I$11,IF(AND($D$18="2.0TD",$E$22&gt;'COMISIONES AUDAX'!$B$12,$E$22&lt;='COMISIONES AUDAX'!$C$12,$E$25&gt;10),'COMISIONES AUDAX'!I$12,IF(AND($D$18="2.0TD",$E$22&gt;'COMISIONES AUDAX'!$B$13,$E$22&lt;='COMISIONES AUDAX'!$C$13,$E$25&gt;10),'COMISIONES AUDAX'!I$13,IF(AND($D$18="2.0TD",$E$22&gt;'COMISIONES AUDAX'!$B$14,$E$22&lt;='COMISIONES AUDAX'!$C$14,$E$25&gt;10),'COMISIONES AUDAX'!I$14,IF(AND($D$18="2.0TD",$E$22&gt;'COMISIONES AUDAX'!$B$15,$E$22&lt;='COMISIONES AUDAX'!$C$15,$E$25&gt;10),'COMISIONES AUDAX'!I$15,IF(AND($D$18="2.0TD",$E$22&gt;'COMISIONES AUDAX'!$B$16,$E$22&lt;='COMISIONES AUDAX'!$C$16,$E$25&gt;10),'COMISIONES AUDAX'!I$16,IF(AND($D$18="3.0TD",$E$22&lt;='COMISIONES AUDAX'!$C$17),'COMISIONES AUDAX'!I$17,IF(AND($D$18="3.0TD",$E$22&gt;'COMISIONES AUDAX'!$B$18,$E$22&lt;='COMISIONES AUDAX'!$C$18),'COMISIONES AUDAX'!I$18,IF(AND($D$18="3.0TD",$E$22&gt;'COMISIONES AUDAX'!$B$19,$E$22&lt;='COMISIONES AUDAX'!$C$19),'COMISIONES AUDAX'!I$19,IF(AND($D$18="3.0TD",$E$22&gt;'COMISIONES AUDAX'!$B$20,$E$22&lt;='COMISIONES AUDAX'!$C$20),'COMISIONES AUDAX'!I$20,IF(AND($D$18="3.0TD",$E$22&gt;'COMISIONES AUDAX'!$B$21,$E$22&lt;='COMISIONES AUDAX'!$C$21),'COMISIONES AUDAX'!I$21,IF(AND($D$18="3.0TD",$E$22&gt;'COMISIONES AUDAX'!$B$22,$E$22&lt;='COMISIONES AUDAX'!$C$22),'COMISIONES AUDAX'!I$22,IF(AND($D$18="3.0TD",$E$22&gt;'COMISIONES AUDAX'!$B$23,$E$22&lt;='COMISIONES AUDAX'!$C$23),'COMISIONES AUDAX'!I$23,IF(AND($D$18="3.0TD",$E$22&gt;'COMISIONES AUDAX'!$B$24,$E$22&lt;='COMISIONES AUDAX'!$C$24),'COMISIONES AUDAX'!I$24,IF(AND($D$18="3.0TD",$E$22&gt;'COMISIONES AUDAX'!$B$25,$E$22&lt;='COMISIONES AUDAX'!$C$25),'COMISIONES AUDAX'!I$25,IF(AND($D$18="3.0TD",$E$22&gt;'COMISIONES AUDAX'!$B$26,$E$22&lt;='COMISIONES AUDAX'!$C$26),'COMISIONES AUDAX'!I$26,IF(AND($D$18="3.0TD",$E$22&gt;'COMISIONES AUDAX'!$B$27,$E$22&lt;='COMISIONES AUDAX'!$C$27),'COMISIONES AUDAX'!I$27,IF(AND($D$18="3.0TD",$E$22&gt;'COMISIONES AUDAX'!$B$28,$E$22&lt;='COMISIONES AUDAX'!$C$28),'COMISIONES AUDAX'!I$28,IF(AND($D$18="3.0TD",$E$22&gt;'COMISIONES AUDAX'!$B$29,$E$22&lt;='COMISIONES AUDAX'!$C$29),'COMISIONES AUDAX'!I$29,IF(AND($D$18="3.0TD",$E$22&gt;'COMISIONES AUDAX'!$B$30,$E$22&lt;='COMISIONES AUDAX'!$C$30),'COMISIONES AUDAX'!I$30,IF(AND($D$18="6.1TD",$E$22&lt;='COMISIONES AUDAX'!$C$31),'COMISIONES AUDAX'!I$31,IF(AND($D$18="6.1TD",$E$22&gt;'COMISIONES AUDAX'!$B$32,$E$22&lt;='COMISIONES AUDAX'!$C$32),'COMISIONES AUDAX'!I$32,IF(AND($D$18="6.1TD",$E$22&gt;'COMISIONES AUDAX'!$B$33,$E$22&lt;='COMISIONES AUDAX'!$C$33),'COMISIONES AUDAX'!I$33,IF(AND($D$18="6.1TD",$E$22&gt;'COMISIONES AUDAX'!$B$34,$E$22&lt;='COMISIONES AUDAX'!$C$34),'COMISIONES AUDAX'!I$34,IF(AND($D$18="6.1TD",$E$22&gt;'COMISIONES AUDAX'!$B$35,$E$22&lt;='COMISIONES AUDAX'!$C$35),'COMISIONES AUDAX'!I$35,IF(AND($D$18="6.1TD",$E$22&gt;'COMISIONES AUDAX'!$B$36,$E$22&lt;='COMISIONES AUDAX'!$C$36),'COMISIONES AUDAX'!I$36,IF(AND($D$18="6.1TD",$E$22&gt;'COMISIONES AUDAX'!$B$37,$E$22&lt;='COMISIONES AUDAX'!$C$37),'COMISIONES AUDAX'!I$37,IF(AND($D$18="6.1TD",$E$22&gt;'COMISIONES AUDAX'!$B$38,$E$22&lt;='COMISIONES AUDAX'!$C$38),'COMISIONES AUDAX'!I$38,IF(AND($D$18="6.1TD",$E$22&gt;'COMISIONES AUDAX'!$B$39,$E$22&lt;='COMISIONES AUDAX'!$C$39),'COMISIONES AUDAX'!I$39,IF(AND($D$18="6.1TD",$E$22&gt;'COMISIONES AUDAX'!$B$40,$E$22&lt;='COMISIONES AUDAX'!$C$40),'COMISIONES AUDAX'!I$40,IF(AND($D$18="6.1TD",$E$22&gt;'COMISIONES AUDAX'!$B$41,$E$22&lt;='COMISIONES AUDAX'!$C$41),'COMISIONES AUDAX'!I$41,IF(AND($D$18="6.1TD",$E$22&gt;'COMISIONES AUDAX'!$B$42,$E$22&lt;='COMISIONES AUDAX'!$C$42),'COMISIONES AUDAX'!I$42,IF(AND($D$18="6.1TD",$E$22&gt;'COMISIONES AUDAX'!$B$43,$E$22&lt;='COMISIONES AUDAX'!$C$43),'COMISIONES AUDAX'!I$43,IF(AND($D$18="6.1TD",$E$22&gt;'COMISIONES AUDAX'!$B$44,$E$22&lt;='COMISIONES AUDAX'!$C$44),'COMISIONES AUDAX'!I$44,IF(AND($D$18="6.1TD",$E$22&gt;'COMISIONES AUDAX'!I$45),'COMISIONES AUDAX'!I$45))))))))))))))))))))))))))))))))))))))))))))*C1))))))))))))))))))))))))))))))))))))))))))))))))))))</f>
        <v/>
      </c>
      <c r="R29" s="270"/>
      <c r="S29" s="321"/>
      <c r="T29" s="321"/>
      <c r="U29" s="321"/>
      <c r="V29" s="321"/>
      <c r="W29" s="321"/>
      <c r="X29" s="321"/>
      <c r="Y29" s="321"/>
      <c r="Z29" s="321"/>
      <c r="AA29" s="321"/>
      <c r="AB29" s="321"/>
      <c r="AC29" s="321"/>
      <c r="AD29" s="321"/>
      <c r="AE29" s="321"/>
      <c r="AF29" s="321"/>
      <c r="AG29" s="321"/>
      <c r="AH29" s="321"/>
      <c r="AI29" s="321"/>
      <c r="AJ29" s="321"/>
      <c r="AK29" s="321"/>
      <c r="AL29" s="321"/>
      <c r="AM29" s="321"/>
      <c r="AN29" s="321"/>
      <c r="AO29" s="321"/>
      <c r="AP29" s="321"/>
      <c r="AQ29" s="321"/>
      <c r="AR29" s="321"/>
      <c r="AS29" s="321"/>
      <c r="AT29" s="321"/>
      <c r="AU29" s="321"/>
      <c r="AV29" s="321"/>
      <c r="AW29" s="321"/>
      <c r="AX29" s="321"/>
      <c r="AY29" s="321"/>
    </row>
    <row r="30" spans="1:51" ht="15.75" customHeight="1" thickBot="1">
      <c r="A30" s="321"/>
      <c r="B30" s="321"/>
      <c r="C30" s="321"/>
      <c r="D30" s="240" t="s">
        <v>65</v>
      </c>
      <c r="E30" s="334"/>
      <c r="F30" s="321"/>
      <c r="G30" s="248"/>
      <c r="H30" s="522"/>
      <c r="I30" s="370" t="s">
        <v>66</v>
      </c>
      <c r="J30" s="364">
        <f>IF($D$19="PRECIO FIJO",IF($D$18="2.0TD",'RESULTADO PRECIO FIJO'!N91,IF($D$18="3.0TD",'RESULTADO PRECIO FIJO'!N115,IF($D$18="6.1TD",""))),"")</f>
        <v>-25.082190931899987</v>
      </c>
      <c r="K30" s="354">
        <f>IF(J30="","",(((((((((((((((((((((((((((((((((((((((((((((((((((((((((IF(AND($D$18="2.0TD",$E$22&lt;='COMISIONES TOTAL'!$C$4),'COMISIONES TOTAL'!E$4,IF(AND($D$18="2.0TD",$E$22&gt;'COMISIONES TOTAL'!$B$5,$E$22&lt;='COMISIONES TOTAL'!$C$5),'COMISIONES TOTAL'!E$5,IF(AND($D$18="2.0TD",$E$22&gt;'COMISIONES TOTAL'!$B$6,$E$22&lt;='COMISIONES TOTAL'!$C$6),'COMISIONES TOTAL'!E$6,IF(AND($D$18="2.0TD",$E$22&gt;'COMISIONES TOTAL'!$B$7,$E$22&lt;='COMISIONES TOTAL'!$C$7),'COMISIONES TOTAL'!E$7,IF(AND($D$18="2.0TD",$E$22&gt;'COMISIONES TOTAL'!$B$8,$E$22&lt;='COMISIONES TOTAL'!$C$8),'COMISIONES TOTAL'!E$8,IF(AND($D$18="2.0TD",$E$22&lt;='COMISIONES TOTAL'!$C$9),'COMISIONES TOTAL'!E$9,IF(AND($D$18="2.0TD",$E$22&gt;'COMISIONES TOTAL'!$B$10,$E$22&lt;='COMISIONES TOTAL'!$C$10),'COMISIONES TOTAL'!E$10,IF(AND($D$18="2.0TD",$E$22&gt;'COMISIONES TOTAL'!$B$11,$E$22&lt;='COMISIONES TOTAL'!$C$11),'COMISIONES TOTAL'!E$11,IF(AND($D$18="2.0TD",$E$22&gt;'COMISIONES TOTAL'!$B$12,$E$22&lt;='COMISIONES TOTAL'!$C$12),'COMISIONES TOTAL'!E$12,IF(AND($D$18="2.0TD",$E$22&gt;'COMISIONES TOTAL'!$B$13,$E$22&lt;='COMISIONES TOTAL'!$C$13),'COMISIONES TOTAL'!E$13,IF(AND($D$18="3.0TD",$E$22&lt;='COMISIONES TOTAL'!$C$14),'COMISIONES TOTAL'!E$14,IF(AND($D$18="3.0TD",$E$22&gt;'COMISIONES TOTAL'!$B$15,$E$22&lt;='COMISIONES TOTAL'!$C$15,),'COMISIONES TOTAL'!E$15,IF(AND($D$18="3.0TD",$E$22&gt;'COMISIONES TOTAL'!$B$16,$E$22&lt;='COMISIONES TOTAL'!$C$16),'COMISIONES TOTAL'!E$16,IF(AND($D$18="3.0TD",$E$22&gt;'COMISIONES TOTAL'!$B$17,$E$22&lt;='COMISIONES TOTAL'!$C$17),'COMISIONES TOTAL'!E$17,IF(AND($D$18="3.0TD",$E$22&gt;'COMISIONES TOTAL'!$B$18,$E$22&lt;='COMISIONES TOTAL'!$C$18),'COMISIONES TOTAL'!E$18,IF(AND($D$18="3.0TD",$E$22&gt;'COMISIONES TOTAL'!$B$19,$E$22&lt;='COMISIONES TOTAL'!$C$19),'COMISIONES TOTAL'!E$19,IF(AND($D$18="3.0TD",$E$22&gt;'COMISIONES TOTAL'!$B$20,$E$22&lt;='COMISIONES TOTAL'!$C$20),'COMISIONES TOTAL'!E$20,IF(AND($D$18="3.0TD",$E$22&gt;'COMISIONES TOTAL'!$B$21,$E$22&lt;='COMISIONES TOTAL'!$C$21),'COMISIONES TOTAL'!E$21,IF(AND($D$18="3.0TD",$E$22&gt;'COMISIONES TOTAL'!$B$22,$E$22&lt;='COMISIONES TOTAL'!$C$22),'COMISIONES TOTAL'!E$22,IF(AND($D$18="3.0TD",$E$22&gt;'COMISIONES TOTAL'!$B$23,$E$22&lt;='COMISIONES TOTAL'!$C$23),'COMISIONES TOTAL'!E$23,IF(AND($D$18="3.0TD",$E$22&gt;'COMISIONES TOTAL'!$B$24,$E$22&lt;='COMISIONES TOTAL'!$C$24),'COMISIONES TOTAL'!E$24,IF(AND($D$18="3.0TD",$E$22&gt;'COMISIONES TOTAL'!$B$25,$E$22&lt;='COMISIONES TOTAL'!$C$25),'COMISIONES TOTAL'!E$25,IF(AND($D$18="3.0TD",$E$22&gt;'COMISIONES TOTAL'!$B$26,$E$22&lt;='COMISIONES TOTAL'!$C$26),'COMISIONES TOTAL'!E$26,IF(AND($D$18="3.0TD",$E$22&gt;'COMISIONES TOTAL'!$B$27,$E$22&lt;='COMISIONES TOTAL'!$C$27),'COMISIONES TOTAL'!E$27,IF(AND($D$18="3.0TD",$E$22&gt;'COMISIONES TOTAL'!$B$28,$E$22&lt;='COMISIONES TOTAL'!$C$28),'COMISIONES TOTAL'!E$28,IF(AND($D$18="3.0TD",$E$22&gt;'COMISIONES TOTAL'!$B$29,$E$22&lt;='COMISIONES TOTAL'!$C$29),'COMISIONES TOTAL'!E$29,IF(AND($D$18="6.1TD",$E$22&lt;='COMISIONES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119.72</v>
      </c>
      <c r="N30" s="434"/>
      <c r="O30" s="235" t="s">
        <v>20</v>
      </c>
      <c r="P30" s="432" t="str">
        <f>IF(D19="INDEXADO",IF($D$18="2.0TD",'RESULTADO INDEXADO'!L7,IF($D$18="3.0TD",'RESULTADO INDEXADO'!L25,"")),"")</f>
        <v/>
      </c>
      <c r="Q30" s="354" t="str">
        <f>IF(P30="","",(((((((((((((((((((((((((((((((((((((((((((((((((((((IF(AND($D$18="2.0TD",$E$22&lt;='COMISIONES AUDAX'!$C$4,$E$25&lt;10),'COMISIONES AUDAX'!J$4,IF(AND($D$18="2.0TD",$E$22&gt;'COMISIONES AUDAX'!$B$5,$E$22&lt;='COMISIONES AUDAX'!$C$5,$E$25&lt;10),'COMISIONES AUDAX'!J$5,IF(AND($D$18="2.0TD",$E$22&gt;'COMISIONES AUDAX'!$B$6,$E$22&lt;='COMISIONES AUDAX'!$C$6,$E$25&lt;10),'COMISIONES AUDAX'!J$6,IF(AND($D$18="2.0TD",$E$22&gt;'COMISIONES AUDAX'!$B$7,$E$22&lt;='COMISIONES AUDAX'!$C$7,$E$25&lt;10),'COMISIONES AUDAX'!J$7,IF(AND($D$18="2.0TD",$E$22&gt;'COMISIONES AUDAX'!$B$8,$E$22&lt;='COMISIONES AUDAX'!$C$8,$E$25&lt;10),'COMISIONES AUDAX'!J$8,IF(AND($D$18="2.0TD",$E$22&lt;='COMISIONES AUDAX'!$C$9,$E$25&gt;10),'COMISIONES AUDAX'!J$9,IF(AND($D$18="2.0TD",$E$22&gt;'COMISIONES AUDAX'!$B$10,$E$22&lt;='COMISIONES AUDAX'!$C$10,$E$25&gt;10),'COMISIONES AUDAX'!J$10,IF(AND($D$18="2.0TD",$E$22&gt;'COMISIONES AUDAX'!$B$11,$E$22&lt;='COMISIONES AUDAX'!$C$11,$E$25&gt;10),'COMISIONES AUDAX'!J$11,IF(AND($D$18="2.0TD",$E$22&gt;'COMISIONES AUDAX'!$B$12,$E$22&lt;='COMISIONES AUDAX'!$C$12,$E$25&gt;10),'COMISIONES AUDAX'!J$12,IF(AND($D$18="2.0TD",$E$22&gt;'COMISIONES AUDAX'!$B$13,$E$22&lt;='COMISIONES AUDAX'!$C$13,$E$25&gt;10),'COMISIONES AUDAX'!J$13,IF(AND($D$18="2.0TD",$E$22&gt;'COMISIONES AUDAX'!$B$14,$E$22&lt;='COMISIONES AUDAX'!$C$14,$E$25&gt;10),'COMISIONES AUDAX'!J$14,IF(AND($D$18="2.0TD",$E$22&gt;'COMISIONES AUDAX'!$B$15,$E$22&lt;='COMISIONES AUDAX'!$C$15,$E$25&gt;10),'COMISIONES AUDAX'!J$15,IF(AND($D$18="2.0TD",$E$22&gt;'COMISIONES AUDAX'!$B$16,$E$22&lt;='COMISIONES AUDAX'!$C$16,$E$25&gt;10),'COMISIONES AUDAX'!J$16,IF(AND($D$18="3.0TD",$E$22&lt;='COMISIONES AUDAX'!$C$17),'COMISIONES AUDAX'!J$17,IF(AND($D$18="3.0TD",$E$22&gt;'COMISIONES AUDAX'!$B$18,$E$22&lt;='COMISIONES AUDAX'!$C$18),'COMISIONES AUDAX'!J$18,IF(AND($D$18="3.0TD",$E$22&gt;'COMISIONES AUDAX'!$B$19,$E$22&lt;='COMISIONES AUDAX'!$C$19),'COMISIONES AUDAX'!J$19,IF(AND($D$18="3.0TD",$E$22&gt;'COMISIONES AUDAX'!$B$20,$E$22&lt;='COMISIONES AUDAX'!$C$20),'COMISIONES AUDAX'!J$20,IF(AND($D$18="3.0TD",$E$22&gt;'COMISIONES AUDAX'!$B$21,$E$22&lt;='COMISIONES AUDAX'!$C$21),'COMISIONES AUDAX'!J$21,IF(AND($D$18="3.0TD",$E$22&gt;'COMISIONES AUDAX'!$B$22,$E$22&lt;='COMISIONES AUDAX'!$C$22),'COMISIONES AUDAX'!J$22,IF(AND($D$18="3.0TD",$E$22&gt;'COMISIONES AUDAX'!$B$23,$E$22&lt;='COMISIONES AUDAX'!$C$23),'COMISIONES AUDAX'!J$23,IF(AND($D$18="3.0TD",$E$22&gt;'COMISIONES AUDAX'!$B$24,$E$22&lt;='COMISIONES AUDAX'!$C$24),'COMISIONES AUDAX'!J$24,IF(AND($D$18="3.0TD",$E$22&gt;'COMISIONES AUDAX'!$B$25,$E$22&lt;='COMISIONES AUDAX'!$C$25),'COMISIONES AUDAX'!J$25,IF(AND($D$18="3.0TD",$E$22&gt;'COMISIONES AUDAX'!$B$26,$E$22&lt;='COMISIONES AUDAX'!$C$26),'COMISIONES AUDAX'!J$26,IF(AND($D$18="3.0TD",$E$22&gt;'COMISIONES AUDAX'!$B$27,$E$22&lt;='COMISIONES AUDAX'!$C$27),'COMISIONES AUDAX'!J$27,IF(AND($D$18="3.0TD",$E$22&gt;'COMISIONES AUDAX'!$B$28,$E$22&lt;='COMISIONES AUDAX'!$C$28),'COMISIONES AUDAX'!J$28,IF(AND($D$18="3.0TD",$E$22&gt;'COMISIONES AUDAX'!$B$29,$E$22&lt;='COMISIONES AUDAX'!$C$29),'COMISIONES AUDAX'!J$29,IF(AND($D$18="3.0TD",$E$22&gt;'COMISIONES AUDAX'!$B$30,$E$22&lt;='COMISIONES AUDAX'!$C$30),'COMISIONES AUDAX'!J$30,IF(AND($D$18="6.1TD",$E$22&lt;='COMISIONES AUDAX'!$C$31),'COMISIONES AUDAX'!J$31,IF(AND($D$18="6.1TD",$E$22&gt;'COMISIONES AUDAX'!$B$32,$E$22&lt;='COMISIONES AUDAX'!$C$32),'COMISIONES AUDAX'!J$32,IF(AND($D$18="6.1TD",$E$22&gt;'COMISIONES AUDAX'!$B$33,$E$22&lt;='COMISIONES AUDAX'!$C$33),'COMISIONES AUDAX'!J$33,IF(AND($D$18="6.1TD",$E$22&gt;'COMISIONES AUDAX'!$B$34,$E$22&lt;='COMISIONES AUDAX'!$C$34),'COMISIONES AUDAX'!J$34,IF(AND($D$18="6.1TD",$E$22&gt;'COMISIONES AUDAX'!$B$35,$E$22&lt;='COMISIONES AUDAX'!$C$35),'COMISIONES AUDAX'!J$35,IF(AND($D$18="6.1TD",$E$22&gt;'COMISIONES AUDAX'!$B$36,$E$22&lt;='COMISIONES AUDAX'!$C$36),'COMISIONES AUDAX'!J$36,IF(AND($D$18="6.1TD",$E$22&gt;'COMISIONES AUDAX'!$B$37,$E$22&lt;='COMISIONES AUDAX'!$C$37),'COMISIONES AUDAX'!J$37,IF(AND($D$18="6.1TD",$E$22&gt;'COMISIONES AUDAX'!$B$38,$E$22&lt;='COMISIONES AUDAX'!$C$38),'COMISIONES AUDAX'!J$38,IF(AND($D$18="6.1TD",$E$22&gt;'COMISIONES AUDAX'!$B$39,$E$22&lt;='COMISIONES AUDAX'!$C$39),'COMISIONES AUDAX'!J$39,IF(AND($D$18="6.1TD",$E$22&gt;'COMISIONES AUDAX'!$B$40,$E$22&lt;='COMISIONES AUDAX'!$C$40),'COMISIONES AUDAX'!J$40,IF(AND($D$18="6.1TD",$E$22&gt;'COMISIONES AUDAX'!$B$41,$E$22&lt;='COMISIONES AUDAX'!$C$41),'COMISIONES AUDAX'!J$41,IF(AND($D$18="6.1TD",$E$22&gt;'COMISIONES AUDAX'!$B$42,$E$22&lt;='COMISIONES AUDAX'!$C$42),'COMISIONES AUDAX'!J$42,IF(AND($D$18="6.1TD",$E$22&gt;'COMISIONES AUDAX'!$B$43,$E$22&lt;='COMISIONES AUDAX'!$C$43),'COMISIONES AUDAX'!J$43,IF(AND($D$18="6.1TD",$E$22&gt;'COMISIONES AUDAX'!$B$44,$E$22&lt;='COMISIONES AUDAX'!$C$44),'COMISIONES AUDAX'!J$44,IF(AND($D$18="6.1TD",$E$22&gt;'COMISIONES AUDAX'!J$45),'COMISIONES AUDAX'!J$45)))))))))))))))))))))))))))))))))))))))))))*C1)))))))))))))))))))))))))))))))))))))))))))))))))))))</f>
        <v/>
      </c>
      <c r="R30" s="270"/>
      <c r="S30" s="321"/>
      <c r="T30" s="321"/>
      <c r="U30" s="321"/>
      <c r="V30" s="321"/>
      <c r="W30" s="321"/>
      <c r="X30" s="321"/>
      <c r="Y30" s="321"/>
      <c r="Z30" s="321"/>
      <c r="AA30" s="321"/>
      <c r="AB30" s="321"/>
      <c r="AC30" s="321"/>
      <c r="AD30" s="321"/>
      <c r="AE30" s="321"/>
      <c r="AF30" s="321"/>
      <c r="AG30" s="321"/>
      <c r="AH30" s="321"/>
      <c r="AI30" s="321"/>
      <c r="AJ30" s="321"/>
      <c r="AK30" s="321"/>
      <c r="AL30" s="321"/>
      <c r="AM30" s="321"/>
      <c r="AN30" s="321"/>
      <c r="AO30" s="321"/>
      <c r="AP30" s="321"/>
      <c r="AQ30" s="321"/>
      <c r="AR30" s="321"/>
      <c r="AS30" s="321"/>
      <c r="AT30" s="321"/>
      <c r="AU30" s="321"/>
      <c r="AV30" s="321"/>
      <c r="AW30" s="321"/>
      <c r="AX30" s="321"/>
      <c r="AY30" s="321"/>
    </row>
    <row r="31" spans="1:51" ht="15.75" customHeight="1" thickBot="1">
      <c r="A31" s="321"/>
      <c r="B31" s="321"/>
      <c r="C31" s="321"/>
      <c r="D31" s="517" t="s">
        <v>67</v>
      </c>
      <c r="E31" s="518"/>
      <c r="F31" s="321"/>
      <c r="G31" s="248"/>
      <c r="H31" s="522"/>
      <c r="I31" s="370" t="s">
        <v>68</v>
      </c>
      <c r="J31" s="364">
        <f>IF($D$19="PRECIO FIJO",IF($D$18="2.0TD",'RESULTADO PRECIO FIJO'!N93,IF($D$18="3.0TD",'RESULTADO PRECIO FIJO'!N117,IF($D$18="6.1TD",""))),"")</f>
        <v>-26.880728881899984</v>
      </c>
      <c r="K31" s="354">
        <f>IF(J31="","",(((((((((((((((((((((((((((((((((((((((((((((((((((((((((IF(AND($D$18="2.0TD",$E$22&lt;='COMISIONES TOTAL'!$C$4),'COMISIONES TOTAL'!F$4,IF(AND($D$18="2.0TD",$E$22&gt;'COMISIONES TOTAL'!$B$5,$E$22&lt;='COMISIONES TOTAL'!$C$5),'COMISIONES TOTAL'!F$5,IF(AND($D$18="2.0TD",$E$22&gt;'COMISIONES TOTAL'!$B$6,$E$22&lt;='COMISIONES TOTAL'!$C$6),'COMISIONES TOTAL'!F$6,IF(AND($D$18="2.0TD",$E$22&gt;'COMISIONES TOTAL'!$B$7,$E$22&lt;='COMISIONES TOTAL'!$C$7),'COMISIONES TOTAL'!F$7,IF(AND($D$18="2.0TD",$E$22&gt;'COMISIONES TOTAL'!$B$8,$E$22&lt;='COMISIONES TOTAL'!$C$8),'COMISIONES TOTAL'!F$8,IF(AND($D$18="2.0TD",$E$22&lt;='COMISIONES TOTAL'!$C$9),'COMISIONES TOTAL'!F$9,IF(AND($D$18="2.0TD",$E$22&gt;'COMISIONES TOTAL'!$B$10,$E$22&lt;='COMISIONES TOTAL'!$C$10),'COMISIONES TOTAL'!F$10,IF(AND($D$18="2.0TD",$E$22&gt;'COMISIONES TOTAL'!$B$11,$E$22&lt;='COMISIONES TOTAL'!$C$11),'COMISIONES TOTAL'!F$11,IF(AND($D$18="2.0TD",$E$22&gt;'COMISIONES TOTAL'!$B$12,$E$22&lt;='COMISIONES TOTAL'!$C$12),'COMISIONES TOTAL'!F$12,IF(AND($D$18="2.0TD",$E$22&gt;'COMISIONES TOTAL'!$B$13,$E$22&lt;='COMISIONES TOTAL'!$C$13),'COMISIONES TOTAL'!F$13,IF(AND($D$18="3.0TD",$E$22&lt;='COMISIONES TOTAL'!$C$14),'COMISIONES TOTAL'!F$14,IF(AND($D$18="3.0TD",$E$22&gt;'COMISIONES TOTAL'!$B$15,$E$22&lt;='COMISIONES TOTAL'!$C$15,),'COMISIONES TOTAL'!F$15,IF(AND($D$18="3.0TD",$E$22&gt;'COMISIONES TOTAL'!$B$16,$E$22&lt;='COMISIONES TOTAL'!$C$16),'COMISIONES TOTAL'!F$16,IF(AND($D$18="3.0TD",$E$22&gt;'COMISIONES TOTAL'!$B$17,$E$22&lt;='COMISIONES TOTAL'!$C$17),'COMISIONES TOTAL'!F$17,IF(AND($D$18="3.0TD",$E$22&gt;'COMISIONES TOTAL'!$B$18,$E$22&lt;='COMISIONES TOTAL'!$C$18),'COMISIONES TOTAL'!F$18,IF(AND($D$18="3.0TD",$E$22&gt;'COMISIONES TOTAL'!$B$19,$E$22&lt;='COMISIONES TOTAL'!$C$19),'COMISIONES TOTAL'!F$19,IF(AND($D$18="3.0TD",$E$22&gt;'COMISIONES TOTAL'!$B$20,$E$22&lt;='COMISIONES TOTAL'!$C$20),'COMISIONES TOTAL'!F$20,IF(AND($D$18="3.0TD",$E$22&gt;'COMISIONES TOTAL'!$B$21,$E$22&lt;='COMISIONES TOTAL'!$C$21),'COMISIONES TOTAL'!F$21,IF(AND($D$18="3.0TD",$E$22&gt;'COMISIONES TOTAL'!$B$22,$E$22&lt;='COMISIONES TOTAL'!$C$22),'COMISIONES TOTAL'!F$22,IF(AND($D$18="3.0TD",$E$22&gt;'COMISIONES TOTAL'!$B$23,$E$22&lt;='COMISIONES TOTAL'!$C$23),'COMISIONES TOTAL'!F$23,IF(AND($D$18="3.0TD",$E$22&gt;'COMISIONES TOTAL'!$B$24,$E$22&lt;='COMISIONES TOTAL'!$C$24),'COMISIONES TOTAL'!F$24,IF(AND($D$18="3.0TD",$E$22&gt;'COMISIONES TOTAL'!$B$25,$E$22&lt;='COMISIONES TOTAL'!$C$25),'COMISIONES TOTAL'!F$25,IF(AND($D$18="3.0TD",$E$22&gt;'COMISIONES TOTAL'!$B$26,$E$22&lt;='COMISIONES TOTAL'!$C$26),'COMISIONES TOTAL'!F$26,IF(AND($D$18="3.0TD",$E$22&gt;'COMISIONES TOTAL'!$B$27,$E$22&lt;='COMISIONES TOTAL'!$C$27),'COMISIONES TOTAL'!F$27,IF(AND($D$18="3.0TD",$E$22&gt;'COMISIONES TOTAL'!$B$28,$E$22&lt;='COMISIONES TOTAL'!$C$28),'COMISIONES TOTAL'!F$28,IF(AND($D$18="3.0TD",$E$22&gt;'COMISIONES TOTAL'!$B$29,$E$22&lt;='COMISIONES TOTAL'!$C$29),'COMISIONES TOTAL'!F$29,IF(AND($D$18="6.1TD",$E$22&lt;='COMISIONES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135.30000000000001</v>
      </c>
      <c r="N31" s="434"/>
      <c r="O31" s="235" t="s">
        <v>24</v>
      </c>
      <c r="P31" s="432" t="str">
        <f>IF(D19="INDEXADO",IF($D$18="2.0TD",'RESULTADO INDEXADO'!L11,IF($D$18="3.0TD",'RESULTADO INDEXADO'!L27,"")),"")</f>
        <v/>
      </c>
      <c r="Q31" s="354" t="str">
        <f>IF(P31="","",(((((((((((((((((((((((((((((((((((((((((((((((((((((IF(AND($D$18="2.0TD",$E$22&lt;='COMISIONES AUDAX'!$C$4,$E$25&lt;10),'COMISIONES AUDAX'!K$4,IF(AND($D$18="2.0TD",$E$22&gt;'COMISIONES AUDAX'!$B$5,$E$22&lt;='COMISIONES AUDAX'!$C$5,$E$25&lt;10),'COMISIONES AUDAX'!K$5,IF(AND($D$18="2.0TD",$E$22&gt;'COMISIONES AUDAX'!$B$6,$E$22&lt;='COMISIONES AUDAX'!$C$6,$E$25&lt;10),'COMISIONES AUDAX'!K$6,IF(AND($D$18="2.0TD",$E$22&gt;'COMISIONES AUDAX'!$B$7,$E$22&lt;='COMISIONES AUDAX'!$C$7,$E$25&lt;10),'COMISIONES AUDAX'!K$7,IF(AND($D$18="2.0TD",$E$22&gt;'COMISIONES AUDAX'!$B$8,$E$22&lt;='COMISIONES AUDAX'!$C$8,$E$25&lt;10),'COMISIONES AUDAX'!K$8,IF(AND($D$18="2.0TD",$E$22&lt;='COMISIONES AUDAX'!$C$9,$E$25&gt;10),'COMISIONES AUDAX'!K$9,IF(AND($D$18="2.0TD",$E$22&gt;'COMISIONES AUDAX'!$B$10,$E$22&lt;='COMISIONES AUDAX'!$C$10,$E$25&gt;10),'COMISIONES AUDAX'!K$10,IF(AND($D$18="2.0TD",$E$22&gt;'COMISIONES AUDAX'!$B$11,$E$22&lt;='COMISIONES AUDAX'!$C$11,$E$25&gt;10),'COMISIONES AUDAX'!K$11,IF(AND($D$18="2.0TD",$E$22&gt;'COMISIONES AUDAX'!$B$12,$E$22&lt;='COMISIONES AUDAX'!$C$12,$E$25&gt;10),'COMISIONES AUDAX'!K$12,IF(AND($D$18="2.0TD",$E$22&gt;'COMISIONES AUDAX'!$B$13,$E$22&lt;='COMISIONES AUDAX'!$C$13,$E$25&gt;10),'COMISIONES AUDAX'!K$13,IF(AND($D$18="2.0TD",$E$22&gt;'COMISIONES AUDAX'!$B$14,$E$22&lt;='COMISIONES AUDAX'!$C$14,$E$25&gt;10),'COMISIONES AUDAX'!K$14,IF(AND($D$18="2.0TD",$E$22&gt;'COMISIONES AUDAX'!$B$15,$E$22&lt;='COMISIONES AUDAX'!$C$15,$E$25&gt;10),'COMISIONES AUDAX'!K$15,IF(AND($D$18="2.0TD",$E$22&gt;'COMISIONES AUDAX'!$B$16,$E$22&lt;='COMISIONES AUDAX'!$C$16,$E$25&gt;10),'COMISIONES AUDAX'!K$16,IF(AND($D$18="3.0TD",$E$22&lt;='COMISIONES AUDAX'!$C$17),'COMISIONES AUDAX'!K$17,IF(AND($D$18="3.0TD",$E$22&gt;'COMISIONES AUDAX'!$B$18,$E$22&lt;='COMISIONES AUDAX'!$C$18),'COMISIONES AUDAX'!K$18,IF(AND($D$18="3.0TD",$E$22&gt;'COMISIONES AUDAX'!$B$19,$E$22&lt;='COMISIONES AUDAX'!$C$19),'COMISIONES AUDAX'!K$19,IF(AND($D$18="3.0TD",$E$22&gt;'COMISIONES AUDAX'!$B$20,$E$22&lt;='COMISIONES AUDAX'!$C$20),'COMISIONES AUDAX'!K$20,IF(AND($D$18="3.0TD",$E$22&gt;'COMISIONES AUDAX'!$B$21,$E$22&lt;='COMISIONES AUDAX'!$C$21),'COMISIONES AUDAX'!K$21,IF(AND($D$18="3.0TD",$E$22&gt;'COMISIONES AUDAX'!$B$22,$E$22&lt;='COMISIONES AUDAX'!$C$22),'COMISIONES AUDAX'!K$22,IF(AND($D$18="3.0TD",$E$22&gt;'COMISIONES AUDAX'!$B$23,$E$22&lt;='COMISIONES AUDAX'!$C$23),'COMISIONES AUDAX'!K$23,IF(AND($D$18="3.0TD",$E$22&gt;'COMISIONES AUDAX'!$B$24,$E$22&lt;='COMISIONES AUDAX'!$C$24),'COMISIONES AUDAX'!K$24,IF(AND($D$18="3.0TD",$E$22&gt;'COMISIONES AUDAX'!$B$25,$E$22&lt;='COMISIONES AUDAX'!$C$25),'COMISIONES AUDAX'!K$25,IF(AND($D$18="3.0TD",$E$22&gt;'COMISIONES AUDAX'!$B$26,$E$22&lt;='COMISIONES AUDAX'!$C$26),'COMISIONES AUDAX'!K$26,IF(AND($D$18="3.0TD",$E$22&gt;'COMISIONES AUDAX'!$B$27,$E$22&lt;='COMISIONES AUDAX'!$C$27),'COMISIONES AUDAX'!K$27,IF(AND($D$18="3.0TD",$E$22&gt;'COMISIONES AUDAX'!$B$28,$E$22&lt;='COMISIONES AUDAX'!$C$28),'COMISIONES AUDAX'!K$28,IF(AND($D$18="3.0TD",$E$22&gt;'COMISIONES AUDAX'!$B$29,$E$22&lt;='COMISIONES AUDAX'!$C$29),'COMISIONES AUDAX'!K$29,IF(AND($D$18="3.0TD",$E$22&gt;'COMISIONES AUDAX'!$B$30,$E$22&lt;='COMISIONES AUDAX'!$C$30),'COMISIONES AUDAX'!K$30,IF(AND($D$18="6.1TD",$E$22&lt;='COMISIONES AUDAX'!$C$31),'COMISIONES AUDAX'!K$31,IF(AND($D$18="6.1TD",$E$22&gt;'COMISIONES AUDAX'!$B$32,$E$22&lt;='COMISIONES AUDAX'!$C$32),'COMISIONES AUDAX'!K$32,IF(AND($D$18="6.1TD",$E$22&gt;'COMISIONES AUDAX'!$B$33,$E$22&lt;='COMISIONES AUDAX'!$C$33),'COMISIONES AUDAX'!K$33,IF(AND($D$18="6.1TD",$E$22&gt;'COMISIONES AUDAX'!$B$34,$E$22&lt;='COMISIONES AUDAX'!$C$34),'COMISIONES AUDAX'!K$34,IF(AND($D$18="6.1TD",$E$22&gt;'COMISIONES AUDAX'!$B$35,$E$22&lt;='COMISIONES AUDAX'!$C$35),'COMISIONES AUDAX'!K$35,IF(AND($D$18="6.1TD",$E$22&gt;'COMISIONES AUDAX'!$B$36,$E$22&lt;='COMISIONES AUDAX'!$C$36),'COMISIONES AUDAX'!K$36,IF(AND($D$18="6.1TD",$E$22&gt;'COMISIONES AUDAX'!$B$37,$E$22&lt;='COMISIONES AUDAX'!$C$37),'COMISIONES AUDAX'!K$37,IF(AND($D$18="6.1TD",$E$22&gt;'COMISIONES AUDAX'!$B$38,$E$22&lt;='COMISIONES AUDAX'!$C$38),'COMISIONES AUDAX'!K$38,IF(AND($D$18="6.1TD",$E$22&gt;'COMISIONES AUDAX'!$B$39,$E$22&lt;='COMISIONES AUDAX'!$C$39),'COMISIONES AUDAX'!K$39,IF(AND($D$18="6.1TD",$E$22&gt;'COMISIONES AUDAX'!$B$40,$E$22&lt;='COMISIONES AUDAX'!$C$40),'COMISIONES AUDAX'!K$40,IF(AND($D$18="6.1TD",$E$22&gt;'COMISIONES AUDAX'!$B$41,$E$22&lt;='COMISIONES AUDAX'!$C$41),'COMISIONES AUDAX'!K$41,IF(AND($D$18="6.1TD",$E$22&gt;'COMISIONES AUDAX'!$B$42,$E$22&lt;='COMISIONES AUDAX'!$C$42),'COMISIONES AUDAX'!K$42,IF(AND($D$18="6.1TD",$E$22&gt;'COMISIONES AUDAX'!$B$43,$E$22&lt;='COMISIONES AUDAX'!$C$43),'COMISIONES AUDAX'!K$43,IF(AND($D$18="6.1TD",$E$22&gt;'COMISIONES AUDAX'!$B$44,$E$22&lt;='COMISIONES AUDAX'!$C$44),'COMISIONES AUDAX'!K$44,IF(AND($D$18="6.1TD",$E$22&gt;'COMISIONES AUDAX'!K$45),'COMISIONES AUDAX'!K$45))))))))))))))))))))))))))))))))))))))))))*C1))))))))))))))))))))))))))))))))))))))))))))))))))))))</f>
        <v/>
      </c>
      <c r="R31" s="270"/>
      <c r="S31" s="321"/>
      <c r="T31" s="321"/>
      <c r="U31" s="321"/>
      <c r="V31" s="321"/>
      <c r="W31" s="321"/>
      <c r="X31" s="321"/>
      <c r="Y31" s="321"/>
      <c r="Z31" s="321"/>
      <c r="AA31" s="321"/>
      <c r="AB31" s="321"/>
      <c r="AC31" s="321"/>
      <c r="AD31" s="321"/>
      <c r="AE31" s="321"/>
      <c r="AF31" s="321"/>
      <c r="AG31" s="321"/>
      <c r="AH31" s="321"/>
      <c r="AI31" s="321"/>
      <c r="AJ31" s="321"/>
      <c r="AK31" s="321"/>
      <c r="AL31" s="321"/>
      <c r="AM31" s="321"/>
      <c r="AN31" s="321"/>
      <c r="AO31" s="321"/>
      <c r="AP31" s="321"/>
      <c r="AQ31" s="321"/>
      <c r="AR31" s="321"/>
      <c r="AS31" s="321"/>
      <c r="AT31" s="321"/>
      <c r="AU31" s="321"/>
      <c r="AV31" s="321"/>
      <c r="AW31" s="321"/>
      <c r="AX31" s="321"/>
      <c r="AY31" s="321"/>
    </row>
    <row r="32" spans="1:51" ht="15" customHeight="1">
      <c r="A32" s="321"/>
      <c r="B32" s="321"/>
      <c r="C32" s="321"/>
      <c r="D32" s="242" t="str">
        <f>IF(D18="2.0TD","E1",IF(AND(OR(D18="3.0TD",D18="6.1TD")),IF(OR(D20="ENERO",D20="FEBRERO",D20="JULIO",D20="DICIEMBRE"),"E1",""),""))</f>
        <v>E1</v>
      </c>
      <c r="E32" s="469">
        <v>327</v>
      </c>
      <c r="F32" s="321"/>
      <c r="G32" s="248"/>
      <c r="H32" s="522"/>
      <c r="I32" s="371" t="s">
        <v>69</v>
      </c>
      <c r="J32" s="364">
        <f>IF($D$19="PRECIO FIJO",IF($D$18="2.0TD",'RESULTADO PRECIO FIJO'!N101,IF($D$18="3.0TD",'RESULTADO PRECIO FIJO'!N125,IF($D$18="6.1TD",""))),"")</f>
        <v>-16.236038866334951</v>
      </c>
      <c r="K32" s="354">
        <f>IF(J32="","",(((((((((((((((((((((((((((((((((((((((((((((((((((((((((IF(AND($D$18="2.0TD",$E$22&lt;='COMISIONES TOTAL'!$C$4),'COMISIONES TOTAL'!G$4,IF(AND($D$18="2.0TD",$E$22&gt;'COMISIONES TOTAL'!$B$5,$E$22&lt;='COMISIONES TOTAL'!$C$5),'COMISIONES TOTAL'!G$5,IF(AND($D$18="2.0TD",$E$22&gt;'COMISIONES TOTAL'!$B$6,$E$22&lt;='COMISIONES TOTAL'!$C$6),'COMISIONES TOTAL'!G$6,IF(AND($D$18="2.0TD",$E$22&gt;'COMISIONES TOTAL'!$B$7,$E$22&lt;='COMISIONES TOTAL'!$C$7),'COMISIONES TOTAL'!G$7,IF(AND($D$18="2.0TD",$E$22&gt;'COMISIONES TOTAL'!$B$8,$E$22&lt;='COMISIONES TOTAL'!$C$8),'COMISIONES TOTAL'!G$8,IF(AND($D$18="2.0TD",$E$22&lt;='COMISIONES TOTAL'!$C$9),'COMISIONES TOTAL'!G$9,IF(AND($D$18="2.0TD",$E$22&gt;'COMISIONES TOTAL'!$B$10,$E$22&lt;='COMISIONES TOTAL'!$C$10),'COMISIONES TOTAL'!G$10,IF(AND($D$18="2.0TD",$E$22&gt;'COMISIONES TOTAL'!$B$11,$E$22&lt;='COMISIONES TOTAL'!$C$11),'COMISIONES TOTAL'!G$11,IF(AND($D$18="2.0TD",$E$22&gt;'COMISIONES TOTAL'!$B$12,$E$22&lt;='COMISIONES TOTAL'!$C$12),'COMISIONES TOTAL'!G$12,IF(AND($D$18="2.0TD",$E$22&gt;'COMISIONES TOTAL'!$B$13,$E$22&lt;='COMISIONES TOTAL'!$C$13),'COMISIONES TOTAL'!G$13,IF(AND($D$18="3.0TD",$E$22&lt;='COMISIONES TOTAL'!$C$14),'COMISIONES TOTAL'!G$14,IF(AND($D$18="3.0TD",$E$22&gt;'COMISIONES TOTAL'!$B$15,$E$22&lt;='COMISIONES TOTAL'!$C$15,),'COMISIONES TOTAL'!G$15,IF(AND($D$18="3.0TD",$E$22&gt;'COMISIONES TOTAL'!$B$16,$E$22&lt;='COMISIONES TOTAL'!$C$16),'COMISIONES TOTAL'!G$16,IF(AND($D$18="3.0TD",$E$22&gt;'COMISIONES TOTAL'!$B$17,$E$22&lt;='COMISIONES TOTAL'!$C$17),'COMISIONES TOTAL'!G$17,IF(AND($D$18="3.0TD",$E$22&gt;'COMISIONES TOTAL'!$B$18,$E$22&lt;='COMISIONES TOTAL'!$C$18),'COMISIONES TOTAL'!G$18,IF(AND($D$18="3.0TD",$E$22&gt;'COMISIONES TOTAL'!$B$19,$E$22&lt;='COMISIONES TOTAL'!$C$19),'COMISIONES TOTAL'!G$19,IF(AND($D$18="3.0TD",$E$22&gt;'COMISIONES TOTAL'!$B$20,$E$22&lt;='COMISIONES TOTAL'!$C$20),'COMISIONES TOTAL'!G$20,IF(AND($D$18="3.0TD",$E$22&gt;'COMISIONES TOTAL'!$B$21,$E$22&lt;='COMISIONES TOTAL'!$C$21),'COMISIONES TOTAL'!G$21,IF(AND($D$18="3.0TD",$E$22&gt;'COMISIONES TOTAL'!$B$22,$E$22&lt;='COMISIONES TOTAL'!$C$22),'COMISIONES TOTAL'!G$22,IF(AND($D$18="3.0TD",$E$22&gt;'COMISIONES TOTAL'!$B$23,$E$22&lt;='COMISIONES TOTAL'!$C$23),'COMISIONES TOTAL'!G$23,IF(AND($D$18="3.0TD",$E$22&gt;'COMISIONES TOTAL'!$B$24,$E$22&lt;='COMISIONES TOTAL'!$C$24),'COMISIONES TOTAL'!G$24,IF(AND($D$18="3.0TD",$E$22&gt;'COMISIONES TOTAL'!$B$25,$E$22&lt;='COMISIONES TOTAL'!$C$25),'COMISIONES TOTAL'!G$25,IF(AND($D$18="3.0TD",$E$22&gt;'COMISIONES TOTAL'!$B$26,$E$22&lt;='COMISIONES TOTAL'!$C$26),'COMISIONES TOTAL'!G$26,IF(AND($D$18="3.0TD",$E$22&gt;'COMISIONES TOTAL'!$B$27,$E$22&lt;='COMISIONES TOTAL'!$C$27),'COMISIONES TOTAL'!G$27,IF(AND($D$18="3.0TD",$E$22&gt;'COMISIONES TOTAL'!$B$28,$E$22&lt;='COMISIONES TOTAL'!$C$28),'COMISIONES TOTAL'!G$28,IF(AND($D$18="3.0TD",$E$22&gt;'COMISIONES TOTAL'!$B$29,$E$22&lt;='COMISIONES TOTAL'!$C$29),'COMISIONES TOTAL'!G$29,IF(AND($D$18="6.1TD",$E$22&lt;='COMISIONES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37.72</v>
      </c>
      <c r="N32" s="434"/>
      <c r="O32" s="235" t="s">
        <v>27</v>
      </c>
      <c r="P32" s="432" t="str">
        <f>IF(D19="INDEXADO",IF($D$18="2.0TD",'RESULTADO INDEXADO'!L15,IF($D$18="3.0TD",'RESULTADO INDEXADO'!L29,"")),"")</f>
        <v/>
      </c>
      <c r="Q32" s="354" t="str">
        <f>IF(P32="","",(((((((((((((((((((((((((((((((((((((((((((((((((((((IF(AND($D$18="2.0TD",$E$22&lt;='COMISIONES AUDAX'!$C$4,$E$25&lt;10),'COMISIONES AUDAX'!L$4,IF(AND($D$18="2.0TD",$E$22&gt;'COMISIONES AUDAX'!$B$5,$E$22&lt;='COMISIONES AUDAX'!$C$5,$E$25&lt;10),'COMISIONES AUDAX'!L$5,IF(AND($D$18="2.0TD",$E$22&gt;'COMISIONES AUDAX'!$B$6,$E$22&lt;='COMISIONES AUDAX'!$C$6,$E$25&lt;10),'COMISIONES AUDAX'!L$6,IF(AND($D$18="2.0TD",$E$22&gt;'COMISIONES AUDAX'!$B$7,$E$22&lt;='COMISIONES AUDAX'!$C$7,$E$25&lt;10),'COMISIONES AUDAX'!L$7,IF(AND($D$18="2.0TD",$E$22&gt;'COMISIONES AUDAX'!$B$8,$E$22&lt;='COMISIONES AUDAX'!$C$8,$E$25&lt;10),'COMISIONES AUDAX'!L$8,IF(AND($D$18="2.0TD",$E$22&lt;='COMISIONES AUDAX'!$C$9,$E$25&gt;10),'COMISIONES AUDAX'!L$9,IF(AND($D$18="2.0TD",$E$22&gt;'COMISIONES AUDAX'!$B$10,$E$22&lt;='COMISIONES AUDAX'!$C$10,$E$25&gt;10),'COMISIONES AUDAX'!L$10,IF(AND($D$18="2.0TD",$E$22&gt;'COMISIONES AUDAX'!$B$11,$E$22&lt;='COMISIONES AUDAX'!$C$11,$E$25&gt;10),'COMISIONES AUDAX'!L$11,IF(AND($D$18="2.0TD",$E$22&gt;'COMISIONES AUDAX'!$B$12,$E$22&lt;='COMISIONES AUDAX'!$C$12,$E$25&gt;10),'COMISIONES AUDAX'!L$12,IF(AND($D$18="2.0TD",$E$22&gt;'COMISIONES AUDAX'!$B$13,$E$22&lt;='COMISIONES AUDAX'!$C$13,$E$25&gt;10),'COMISIONES AUDAX'!L$13,IF(AND($D$18="2.0TD",$E$22&gt;'COMISIONES AUDAX'!$B$14,$E$22&lt;='COMISIONES AUDAX'!$C$14,$E$25&gt;10),'COMISIONES AUDAX'!L$14,IF(AND($D$18="2.0TD",$E$22&gt;'COMISIONES AUDAX'!$B$15,$E$22&lt;='COMISIONES AUDAX'!$C$15,$E$25&gt;10),'COMISIONES AUDAX'!L$15,IF(AND($D$18="2.0TD",$E$22&gt;'COMISIONES AUDAX'!$B$16,$E$22&lt;='COMISIONES AUDAX'!$C$16,$E$25&gt;10),'COMISIONES AUDAX'!L$16,IF(AND($D$18="3.0TD",$E$22&lt;='COMISIONES AUDAX'!$C$17),'COMISIONES AUDAX'!L$17,IF(AND($D$18="3.0TD",$E$22&gt;'COMISIONES AUDAX'!$B$18,$E$22&lt;='COMISIONES AUDAX'!$C$18),'COMISIONES AUDAX'!L$18,IF(AND($D$18="3.0TD",$E$22&gt;'COMISIONES AUDAX'!$B$19,$E$22&lt;='COMISIONES AUDAX'!$C$19),'COMISIONES AUDAX'!L$19,IF(AND($D$18="3.0TD",$E$22&gt;'COMISIONES AUDAX'!$B$20,$E$22&lt;='COMISIONES AUDAX'!$C$20),'COMISIONES AUDAX'!L$20,IF(AND($D$18="3.0TD",$E$22&gt;'COMISIONES AUDAX'!$B$21,$E$22&lt;='COMISIONES AUDAX'!$C$21),'COMISIONES AUDAX'!L$21,IF(AND($D$18="3.0TD",$E$22&gt;'COMISIONES AUDAX'!$B$22,$E$22&lt;='COMISIONES AUDAX'!$C$22),'COMISIONES AUDAX'!L$22,IF(AND($D$18="3.0TD",$E$22&gt;'COMISIONES AUDAX'!$B$23,$E$22&lt;='COMISIONES AUDAX'!$C$23),'COMISIONES AUDAX'!L$23,IF(AND($D$18="3.0TD",$E$22&gt;'COMISIONES AUDAX'!$B$24,$E$22&lt;='COMISIONES AUDAX'!$C$24),'COMISIONES AUDAX'!L$24,IF(AND($D$18="3.0TD",$E$22&gt;'COMISIONES AUDAX'!$B$25,$E$22&lt;='COMISIONES AUDAX'!$C$25),'COMISIONES AUDAX'!L$25,IF(AND($D$18="3.0TD",$E$22&gt;'COMISIONES AUDAX'!$B$26,$E$22&lt;='COMISIONES AUDAX'!$C$26),'COMISIONES AUDAX'!L$26,IF(AND($D$18="3.0TD",$E$22&gt;'COMISIONES AUDAX'!$B$27,$E$22&lt;='COMISIONES AUDAX'!$C$27),'COMISIONES AUDAX'!L$27,IF(AND($D$18="3.0TD",$E$22&gt;'COMISIONES AUDAX'!$B$28,$E$22&lt;='COMISIONES AUDAX'!$C$28),'COMISIONES AUDAX'!L$28,IF(AND($D$18="3.0TD",$E$22&gt;'COMISIONES AUDAX'!$B$29,$E$22&lt;='COMISIONES AUDAX'!$C$29),'COMISIONES AUDAX'!L$29,IF(AND($D$18="3.0TD",$E$22&gt;'COMISIONES AUDAX'!$B$30,$E$22&lt;='COMISIONES AUDAX'!$C$30),'COMISIONES AUDAX'!L$30,IF(AND($D$18="6.1TD",$E$22&lt;='COMISIONES AUDAX'!$C$31),'COMISIONES AUDAX'!L$31,IF(AND($D$18="6.1TD",$E$22&gt;'COMISIONES AUDAX'!$B$32,$E$22&lt;='COMISIONES AUDAX'!$C$32),'COMISIONES AUDAX'!L$32,IF(AND($D$18="6.1TD",$E$22&gt;'COMISIONES AUDAX'!$B$33,$E$22&lt;='COMISIONES AUDAX'!$C$33),'COMISIONES AUDAX'!L$33,IF(AND($D$18="6.1TD",$E$22&gt;'COMISIONES AUDAX'!$B$34,$E$22&lt;='COMISIONES AUDAX'!$C$34),'COMISIONES AUDAX'!L$34,IF(AND($D$18="6.1TD",$E$22&gt;'COMISIONES AUDAX'!$B$35,$E$22&lt;='COMISIONES AUDAX'!$C$35),'COMISIONES AUDAX'!L$35,IF(AND($D$18="6.1TD",$E$22&gt;'COMISIONES AUDAX'!$B$36,$E$22&lt;='COMISIONES AUDAX'!$C$36),'COMISIONES AUDAX'!L$36,IF(AND($D$18="6.1TD",$E$22&gt;'COMISIONES AUDAX'!$B$37,$E$22&lt;='COMISIONES AUDAX'!$C$37),'COMISIONES AUDAX'!L$37,IF(AND($D$18="6.1TD",$E$22&gt;'COMISIONES AUDAX'!$B$38,$E$22&lt;='COMISIONES AUDAX'!$C$38),'COMISIONES AUDAX'!L$38,IF(AND($D$18="6.1TD",$E$22&gt;'COMISIONES AUDAX'!$B$39,$E$22&lt;='COMISIONES AUDAX'!$C$39),'COMISIONES AUDAX'!L$39,IF(AND($D$18="6.1TD",$E$22&gt;'COMISIONES AUDAX'!$B$40,$E$22&lt;='COMISIONES AUDAX'!$C$40),'COMISIONES AUDAX'!L$40,IF(AND($D$18="6.1TD",$E$22&gt;'COMISIONES AUDAX'!$B$41,$E$22&lt;='COMISIONES AUDAX'!$C$41),'COMISIONES AUDAX'!L$41,IF(AND($D$18="6.1TD",$E$22&gt;'COMISIONES AUDAX'!$B$42,$E$22&lt;='COMISIONES AUDAX'!$C$42),'COMISIONES AUDAX'!L$42,IF(AND($D$18="6.1TD",$E$22&gt;'COMISIONES AUDAX'!$B$43,$E$22&lt;='COMISIONES AUDAX'!$C$43),'COMISIONES AUDAX'!L$43,IF(AND($D$18="6.1TD",$E$22&gt;'COMISIONES AUDAX'!$B$44,$E$22&lt;='COMISIONES AUDAX'!$C$44),'COMISIONES AUDAX'!L$44,IF(AND($D$18="6.1TD",$E$22&gt;'COMISIONES AUDAX'!L$45),'COMISIONES AUDAX'!L$45)))))))))))))))))))))))))))))))))))))))))))*C1)))))))))))))))))))))))))))))))))))))))))))))))))))))</f>
        <v/>
      </c>
      <c r="R32" s="270"/>
      <c r="S32" s="321"/>
      <c r="T32" s="321"/>
      <c r="U32" s="321"/>
      <c r="V32" s="321"/>
      <c r="W32" s="321"/>
      <c r="X32" s="321"/>
      <c r="Y32" s="321"/>
      <c r="Z32" s="321"/>
      <c r="AA32" s="321"/>
      <c r="AB32" s="321"/>
      <c r="AC32" s="321"/>
      <c r="AD32" s="321"/>
      <c r="AE32" s="321"/>
      <c r="AF32" s="321"/>
      <c r="AG32" s="321"/>
      <c r="AH32" s="321"/>
      <c r="AI32" s="321"/>
      <c r="AJ32" s="321"/>
      <c r="AK32" s="321"/>
      <c r="AL32" s="321"/>
      <c r="AM32" s="321"/>
      <c r="AN32" s="321"/>
      <c r="AO32" s="321"/>
      <c r="AP32" s="321"/>
      <c r="AQ32" s="321"/>
      <c r="AR32" s="321"/>
      <c r="AS32" s="321"/>
      <c r="AT32" s="321"/>
      <c r="AU32" s="321"/>
      <c r="AV32" s="321"/>
      <c r="AW32" s="321"/>
      <c r="AX32" s="321"/>
      <c r="AY32" s="321"/>
    </row>
    <row r="33" spans="1:51" ht="15" customHeight="1" thickBot="1">
      <c r="A33" s="321"/>
      <c r="B33" s="321"/>
      <c r="C33" s="321"/>
      <c r="D33" s="243" t="str">
        <f>IF(D18="2.0TD","E2",IF(AND(OR(D18="3.0TD",D18="6.1TD")),IF(OR(D20="ENERO",D20="FEBRERO",D20="MARZO",D20="JULIO",D20="DICIEMBRE",D20="NOVIEMBRE"),"E2",""),""))</f>
        <v>E2</v>
      </c>
      <c r="E33" s="244"/>
      <c r="F33" s="321"/>
      <c r="G33" s="248"/>
      <c r="H33" s="522"/>
      <c r="I33" s="371" t="s">
        <v>70</v>
      </c>
      <c r="J33" s="364">
        <f>IF($D$19="PRECIO FIJO",IF($D$18="2.0TD",'RESULTADO PRECIO FIJO'!N103,IF($D$18="3.0TD",'RESULTADO PRECIO FIJO'!N127,IF($D$18="6.1TD",""))),"")</f>
        <v>-17.428983918669758</v>
      </c>
      <c r="K33" s="354">
        <f>IF(J33="","",(((((((((((((((((((((((((((((((((((((((((((((((((((((((((IF(AND($D$18="2.0TD",$E$22&lt;='COMISIONES TOTAL'!$C$4),'COMISIONES TOTAL'!H$4,IF(AND($D$18="2.0TD",$E$22&gt;'COMISIONES TOTAL'!$B$5,$E$22&lt;='COMISIONES TOTAL'!$C$5),'COMISIONES TOTAL'!H$5,IF(AND($D$18="2.0TD",$E$22&gt;'COMISIONES TOTAL'!$B$6,$E$22&lt;='COMISIONES TOTAL'!$C$6),'COMISIONES TOTAL'!H$6,IF(AND($D$18="2.0TD",$E$22&gt;'COMISIONES TOTAL'!$B$7,$E$22&lt;='COMISIONES TOTAL'!$C$7),'COMISIONES TOTAL'!H$7,IF(AND($D$18="2.0TD",$E$22&gt;'COMISIONES TOTAL'!$B$8,$E$22&lt;='COMISIONES TOTAL'!$C$8),'COMISIONES TOTAL'!H$8,IF(AND($D$18="2.0TD",$E$22&lt;='COMISIONES TOTAL'!$C$9),'COMISIONES TOTAL'!H$9,IF(AND($D$18="2.0TD",$E$22&gt;'COMISIONES TOTAL'!$B$10,$E$22&lt;='COMISIONES TOTAL'!$C$10),'COMISIONES TOTAL'!H$10,IF(AND($D$18="2.0TD",$E$22&gt;'COMISIONES TOTAL'!$B$11,$E$22&lt;='COMISIONES TOTAL'!$C$11),'COMISIONES TOTAL'!H$11,IF(AND($D$18="2.0TD",$E$22&gt;'COMISIONES TOTAL'!$B$12,$E$22&lt;='COMISIONES TOTAL'!$C$12),'COMISIONES TOTAL'!H$12,IF(AND($D$18="2.0TD",$E$22&gt;'COMISIONES TOTAL'!$B$13,$E$22&lt;='COMISIONES TOTAL'!$C$13),'COMISIONES TOTAL'!H$13,IF(AND($D$18="3.0TD",$E$22&lt;='COMISIONES TOTAL'!$C$14),'COMISIONES TOTAL'!H$14,IF(AND($D$18="3.0TD",$E$22&gt;'COMISIONES TOTAL'!$B$15,$E$22&lt;='COMISIONES TOTAL'!$C$15,),'COMISIONES TOTAL'!H$15,IF(AND($D$18="3.0TD",$E$22&gt;'COMISIONES TOTAL'!$B$16,$E$22&lt;='COMISIONES TOTAL'!$C$16),'COMISIONES TOTAL'!H$16,IF(AND($D$18="3.0TD",$E$22&gt;'COMISIONES TOTAL'!$B$17,$E$22&lt;='COMISIONES TOTAL'!$C$17),'COMISIONES TOTAL'!H$17,IF(AND($D$18="3.0TD",$E$22&gt;'COMISIONES TOTAL'!$B$18,$E$22&lt;='COMISIONES TOTAL'!$C$18),'COMISIONES TOTAL'!H$18,IF(AND($D$18="3.0TD",$E$22&gt;'COMISIONES TOTAL'!$B$19,$E$22&lt;='COMISIONES TOTAL'!$C$19),'COMISIONES TOTAL'!H$19,IF(AND($D$18="3.0TD",$E$22&gt;'COMISIONES TOTAL'!$B$20,$E$22&lt;='COMISIONES TOTAL'!$C$20),'COMISIONES TOTAL'!H$20,IF(AND($D$18="3.0TD",$E$22&gt;'COMISIONES TOTAL'!$B$21,$E$22&lt;='COMISIONES TOTAL'!$C$21),'COMISIONES TOTAL'!H$21,IF(AND($D$18="3.0TD",$E$22&gt;'COMISIONES TOTAL'!$B$22,$E$22&lt;='COMISIONES TOTAL'!$C$22),'COMISIONES TOTAL'!H$22,IF(AND($D$18="3.0TD",$E$22&gt;'COMISIONES TOTAL'!$B$23,$E$22&lt;='COMISIONES TOTAL'!$C$23),'COMISIONES TOTAL'!H$23,IF(AND($D$18="3.0TD",$E$22&gt;'COMISIONES TOTAL'!$B$24,$E$22&lt;='COMISIONES TOTAL'!$C$24),'COMISIONES TOTAL'!H$24,IF(AND($D$18="3.0TD",$E$22&gt;'COMISIONES TOTAL'!$B$25,$E$22&lt;='COMISIONES TOTAL'!$C$25),'COMISIONES TOTAL'!H$25,IF(AND($D$18="3.0TD",$E$22&gt;'COMISIONES TOTAL'!$B$26,$E$22&lt;='COMISIONES TOTAL'!$C$26),'COMISIONES TOTAL'!H$26,IF(AND($D$18="3.0TD",$E$22&gt;'COMISIONES TOTAL'!$B$27,$E$22&lt;='COMISIONES TOTAL'!$C$27),'COMISIONES TOTAL'!H$27,IF(AND($D$18="3.0TD",$E$22&gt;'COMISIONES TOTAL'!$B$28,$E$22&lt;='COMISIONES TOTAL'!$C$28),'COMISIONES TOTAL'!H$28,IF(AND($D$18="3.0TD",$E$22&gt;'COMISIONES TOTAL'!$B$29,$E$22&lt;='COMISIONES TOTAL'!$C$29),'COMISIONES TOTAL'!H$29,IF(AND($D$18="6.1TD",$E$22&lt;='COMISIONES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48.38</v>
      </c>
      <c r="N33" s="435"/>
      <c r="O33" s="238" t="s">
        <v>29</v>
      </c>
      <c r="P33" s="273" t="str">
        <f>IF(D19="INDEXADO",IF($D$18="2.0TD",'RESULTADO INDEXADO'!L19,IF($D$18="3.0TD",'RESULTADO INDEXADO'!L31,"")),"")</f>
        <v/>
      </c>
      <c r="Q33" s="239" t="str">
        <f>IF(P33="","",(((((((((((((((((((((((((((((((((((((((((((((((((((((IF(AND($D$18="2.0TD",$E$22&lt;='COMISIONES AUDAX'!$C$4,$E$25&lt;10),'COMISIONES AUDAX'!M$4,IF(AND($D$18="2.0TD",$E$22&gt;'COMISIONES AUDAX'!$B$5,$E$22&lt;='COMISIONES AUDAX'!$C$5,$E$25&lt;10),'COMISIONES AUDAX'!M$5,IF(AND($D$18="2.0TD",$E$22&gt;'COMISIONES AUDAX'!$B$6,$E$22&lt;='COMISIONES AUDAX'!$C$6,$E$25&lt;10),'COMISIONES AUDAX'!M$6,IF(AND($D$18="2.0TD",$E$22&gt;'COMISIONES AUDAX'!$B$7,$E$22&lt;='COMISIONES AUDAX'!$C$7,$E$25&lt;10),'COMISIONES AUDAX'!M$7,IF(AND($D$18="2.0TD",$E$22&gt;'COMISIONES AUDAX'!$B$8,$E$22&lt;='COMISIONES AUDAX'!$C$8,$E$25&lt;10),'COMISIONES AUDAX'!M$8,IF(AND($D$18="2.0TD",$E$22&lt;='COMISIONES AUDAX'!$C$9,$E$25&gt;10),'COMISIONES AUDAX'!M$9,IF(AND($D$18="2.0TD",$E$22&gt;'COMISIONES AUDAX'!$B$10,$E$22&lt;='COMISIONES AUDAX'!$C$10,$E$25&gt;10),'COMISIONES AUDAX'!M$10,IF(AND($D$18="2.0TD",$E$22&gt;'COMISIONES AUDAX'!$B$11,$E$22&lt;='COMISIONES AUDAX'!$C$11,$E$25&gt;10),'COMISIONES AUDAX'!M$11,IF(AND($D$18="2.0TD",$E$22&gt;'COMISIONES AUDAX'!$B$12,$E$22&lt;='COMISIONES AUDAX'!$C$12,$E$25&gt;10),'COMISIONES AUDAX'!M$12,IF(AND($D$18="2.0TD",$E$22&gt;'COMISIONES AUDAX'!$B$13,$E$22&lt;='COMISIONES AUDAX'!$C$13,$E$25&gt;10),'COMISIONES AUDAX'!M$13,IF(AND($D$18="2.0TD",$E$22&gt;'COMISIONES AUDAX'!$B$14,$E$22&lt;='COMISIONES AUDAX'!$C$14,$E$25&gt;10),'COMISIONES AUDAX'!M$14,IF(AND($D$18="2.0TD",$E$22&gt;'COMISIONES AUDAX'!$B$15,$E$22&lt;='COMISIONES AUDAX'!$C$15,$E$25&gt;10),'COMISIONES AUDAX'!M$15,IF(AND($D$18="2.0TD",$E$22&gt;'COMISIONES AUDAX'!$B$16,$E$22&lt;='COMISIONES AUDAX'!$C$16,$E$25&gt;10),'COMISIONES AUDAX'!M$16,IF(AND($D$18="3.0TD",$E$22&lt;='COMISIONES AUDAX'!$C$17),'COMISIONES AUDAX'!M$17,IF(AND($D$18="3.0TD",$E$22&gt;'COMISIONES AUDAX'!$B$18,$E$22&lt;='COMISIONES AUDAX'!$C$18),'COMISIONES AUDAX'!M$18,IF(AND($D$18="3.0TD",$E$22&gt;'COMISIONES AUDAX'!$B$19,$E$22&lt;='COMISIONES AUDAX'!$C$19),'COMISIONES AUDAX'!M$19,IF(AND($D$18="3.0TD",$E$22&gt;'COMISIONES AUDAX'!$B$20,$E$22&lt;='COMISIONES AUDAX'!$C$20),'COMISIONES AUDAX'!M$20,IF(AND($D$18="3.0TD",$E$22&gt;'COMISIONES AUDAX'!$B$21,$E$22&lt;='COMISIONES AUDAX'!$C$21),'COMISIONES AUDAX'!M$21,IF(AND($D$18="3.0TD",$E$22&gt;'COMISIONES AUDAX'!$B$22,$E$22&lt;='COMISIONES AUDAX'!$C$22),'COMISIONES AUDAX'!M$22,IF(AND($D$18="3.0TD",$E$22&gt;'COMISIONES AUDAX'!$B$23,$E$22&lt;='COMISIONES AUDAX'!$C$23),'COMISIONES AUDAX'!M$23,IF(AND($D$18="3.0TD",$E$22&gt;'COMISIONES AUDAX'!$B$24,$E$22&lt;='COMISIONES AUDAX'!$C$24),'COMISIONES AUDAX'!M$24,IF(AND($D$18="3.0TD",$E$22&gt;'COMISIONES AUDAX'!$B$25,$E$22&lt;='COMISIONES AUDAX'!$C$25),'COMISIONES AUDAX'!M$25,IF(AND($D$18="3.0TD",$E$22&gt;'COMISIONES AUDAX'!$B$26,$E$22&lt;='COMISIONES AUDAX'!$C$26),'COMISIONES AUDAX'!M$26,IF(AND($D$18="3.0TD",$E$22&gt;'COMISIONES AUDAX'!$B$27,$E$22&lt;='COMISIONES AUDAX'!$C$27),'COMISIONES AUDAX'!M$27,IF(AND($D$18="3.0TD",$E$22&gt;'COMISIONES AUDAX'!$B$28,$E$22&lt;='COMISIONES AUDAX'!$C$28),'COMISIONES AUDAX'!M$28,IF(AND($D$18="3.0TD",$E$22&gt;'COMISIONES AUDAX'!$B$29,$E$22&lt;='COMISIONES AUDAX'!$C$29),'COMISIONES AUDAX'!M$29,IF(AND($D$18="3.0TD",$E$22&gt;'COMISIONES AUDAX'!$B$30,$E$22&lt;='COMISIONES AUDAX'!$C$30),'COMISIONES AUDAX'!M$30,IF(AND($D$18="6.1TD",$E$22&lt;='COMISIONES AUDAX'!$C$31),'COMISIONES AUDAX'!M$31,IF(AND($D$18="6.1TD",$E$22&gt;'COMISIONES AUDAX'!$B$32,$E$22&lt;='COMISIONES AUDAX'!$C$32),'COMISIONES AUDAX'!M$32,IF(AND($D$18="6.1TD",$E$22&gt;'COMISIONES AUDAX'!$B$33,$E$22&lt;='COMISIONES AUDAX'!$C$33),'COMISIONES AUDAX'!M$33,IF(AND($D$18="6.1TD",$E$22&gt;'COMISIONES AUDAX'!$B$34,$E$22&lt;='COMISIONES AUDAX'!$C$34),'COMISIONES AUDAX'!M$34,IF(AND($D$18="6.1TD",$E$22&gt;'COMISIONES AUDAX'!$B$35,$E$22&lt;='COMISIONES AUDAX'!$C$35),'COMISIONES AUDAX'!M$35,IF(AND($D$18="6.1TD",$E$22&gt;'COMISIONES AUDAX'!$B$36,$E$22&lt;='COMISIONES AUDAX'!$C$36),'COMISIONES AUDAX'!M$36,IF(AND($D$18="6.1TD",$E$22&gt;'COMISIONES AUDAX'!$B$37,$E$22&lt;='COMISIONES AUDAX'!$C$37),'COMISIONES AUDAX'!M$37,IF(AND($D$18="6.1TD",$E$22&gt;'COMISIONES AUDAX'!$B$38,$E$22&lt;='COMISIONES AUDAX'!$C$38),'COMISIONES AUDAX'!M$38,IF(AND($D$18="6.1TD",$E$22&gt;'COMISIONES AUDAX'!$B$39,$E$22&lt;='COMISIONES AUDAX'!$C$39),'COMISIONES AUDAX'!M$39,IF(AND($D$18="6.1TD",$E$22&gt;'COMISIONES AUDAX'!$B$40,$E$22&lt;='COMISIONES AUDAX'!$C$40),'COMISIONES AUDAX'!M$40,IF(AND($D$18="6.1TD",$E$22&gt;'COMISIONES AUDAX'!$B$41,$E$22&lt;='COMISIONES AUDAX'!$C$41),'COMISIONES AUDAX'!M$41,IF(AND($D$18="6.1TD",$E$22&gt;'COMISIONES AUDAX'!$B$42,$E$22&lt;='COMISIONES AUDAX'!$C$42),'COMISIONES AUDAX'!M$42,IF(AND($D$18="6.1TD",$E$22&gt;'COMISIONES AUDAX'!$B$43,$E$22&lt;='COMISIONES AUDAX'!$C$43),'COMISIONES AUDAX'!M$43,IF(AND($D$18="6.1TD",$E$22&gt;'COMISIONES AUDAX'!$B$44,$E$22&lt;='COMISIONES AUDAX'!$C$44),'COMISIONES AUDAX'!M$44,IF(AND($D$18="6.1TD",$E$22&gt;'COMISIONES AUDAX'!M$45),'COMISIONES AUDAX'!M$45)))))))))))))))))))))))))))))))))))))))))))*C1)))))))))))))))))))))))))))))))))))))))))))))))))))))</f>
        <v/>
      </c>
      <c r="R33" s="270"/>
      <c r="S33" s="321"/>
      <c r="T33" s="321"/>
      <c r="U33" s="321"/>
      <c r="V33" s="321"/>
      <c r="W33" s="321"/>
      <c r="X33" s="321"/>
      <c r="Y33" s="321"/>
      <c r="Z33" s="321"/>
      <c r="AA33" s="321"/>
      <c r="AB33" s="321"/>
      <c r="AC33" s="321"/>
      <c r="AD33" s="321"/>
      <c r="AE33" s="321"/>
      <c r="AF33" s="321"/>
      <c r="AG33" s="321"/>
      <c r="AH33" s="321"/>
      <c r="AI33" s="321"/>
      <c r="AJ33" s="321"/>
      <c r="AK33" s="321"/>
      <c r="AL33" s="321"/>
      <c r="AM33" s="321"/>
      <c r="AN33" s="321"/>
      <c r="AO33" s="321"/>
      <c r="AP33" s="321"/>
      <c r="AQ33" s="321"/>
      <c r="AR33" s="321"/>
      <c r="AS33" s="321"/>
      <c r="AT33" s="321"/>
      <c r="AU33" s="321"/>
      <c r="AV33" s="321"/>
      <c r="AW33" s="321"/>
      <c r="AX33" s="321"/>
      <c r="AY33" s="321"/>
    </row>
    <row r="34" spans="1:51" ht="15" customHeight="1">
      <c r="A34" s="321"/>
      <c r="B34" s="321"/>
      <c r="C34" s="321"/>
      <c r="D34" s="240" t="s">
        <v>71</v>
      </c>
      <c r="E34" s="334"/>
      <c r="F34" s="321"/>
      <c r="G34" s="248"/>
      <c r="H34" s="522"/>
      <c r="I34" s="371" t="s">
        <v>72</v>
      </c>
      <c r="J34" s="364">
        <f>IF($D$19="PRECIO FIJO",IF($D$18="2.0TD",'RESULTADO PRECIO FIJO'!N105,IF($D$18="3.0TD",'RESULTADO PRECIO FIJO'!N129,IF($D$18="6.1TD",""))),"")</f>
        <v>-17.826632268669755</v>
      </c>
      <c r="K34" s="354">
        <f>IF(J34="","",(((((((((((((((((((((((((((((((((((((((((((((((((((((((((IF(AND($D$18="2.0TD",$E$22&lt;='COMISIONES TOTAL'!$C$4),'COMISIONES TOTAL'!I$4,IF(AND($D$18="2.0TD",$E$22&gt;'COMISIONES TOTAL'!$B$5,$E$22&lt;='COMISIONES TOTAL'!$C$5),'COMISIONES TOTAL'!I$5,IF(AND($D$18="2.0TD",$E$22&gt;'COMISIONES TOTAL'!$B$6,$E$22&lt;='COMISIONES TOTAL'!$C$6),'COMISIONES TOTAL'!I$6,IF(AND($D$18="2.0TD",$E$22&gt;'COMISIONES TOTAL'!$B$7,$E$22&lt;='COMISIONES TOTAL'!$C$7),'COMISIONES TOTAL'!I$7,IF(AND($D$18="2.0TD",$E$22&gt;'COMISIONES TOTAL'!$B$8,$E$22&lt;='COMISIONES TOTAL'!$C$8),'COMISIONES TOTAL'!I$8,IF(AND($D$18="2.0TD",$E$22&lt;='COMISIONES TOTAL'!$C$9),'COMISIONES TOTAL'!I$9,IF(AND($D$18="2.0TD",$E$22&gt;'COMISIONES TOTAL'!$B$10,$E$22&lt;='COMISIONES TOTAL'!$C$10),'COMISIONES TOTAL'!I$10,IF(AND($D$18="2.0TD",$E$22&gt;'COMISIONES TOTAL'!$B$11,$E$22&lt;='COMISIONES TOTAL'!$C$11),'COMISIONES TOTAL'!I$11,IF(AND($D$18="2.0TD",$E$22&gt;'COMISIONES TOTAL'!$B$12,$E$22&lt;='COMISIONES TOTAL'!$C$12),'COMISIONES TOTAL'!I$12,IF(AND($D$18="2.0TD",$E$22&gt;'COMISIONES TOTAL'!$B$13,$E$22&lt;='COMISIONES TOTAL'!$C$13),'COMISIONES TOTAL'!I$13,IF(AND($D$18="3.0TD",$E$22&lt;='COMISIONES TOTAL'!$C$14),'COMISIONES TOTAL'!I$14,IF(AND($D$18="3.0TD",$E$22&gt;'COMISIONES TOTAL'!$B$15,$E$22&lt;='COMISIONES TOTAL'!$C$15,),'COMISIONES TOTAL'!I$15,IF(AND($D$18="3.0TD",$E$22&gt;'COMISIONES TOTAL'!$B$16,$E$22&lt;='COMISIONES TOTAL'!$C$16),'COMISIONES TOTAL'!I$16,IF(AND($D$18="3.0TD",$E$22&gt;'COMISIONES TOTAL'!$B$17,$E$22&lt;='COMISIONES TOTAL'!$C$17),'COMISIONES TOTAL'!I$17,IF(AND($D$18="3.0TD",$E$22&gt;'COMISIONES TOTAL'!$B$18,$E$22&lt;='COMISIONES TOTAL'!$C$18),'COMISIONES TOTAL'!I$18,IF(AND($D$18="3.0TD",$E$22&gt;'COMISIONES TOTAL'!$B$19,$E$22&lt;='COMISIONES TOTAL'!$C$19),'COMISIONES TOTAL'!I$19,IF(AND($D$18="3.0TD",$E$22&gt;'COMISIONES TOTAL'!$B$20,$E$22&lt;='COMISIONES TOTAL'!$C$20),'COMISIONES TOTAL'!I$20,IF(AND($D$18="3.0TD",$E$22&gt;'COMISIONES TOTAL'!$B$21,$E$22&lt;='COMISIONES TOTAL'!$C$21),'COMISIONES TOTAL'!I$21,IF(AND($D$18="3.0TD",$E$22&gt;'COMISIONES TOTAL'!$B$22,$E$22&lt;='COMISIONES TOTAL'!$C$22),'COMISIONES TOTAL'!I$22,IF(AND($D$18="3.0TD",$E$22&gt;'COMISIONES TOTAL'!$B$23,$E$22&lt;='COMISIONES TOTAL'!$C$23),'COMISIONES TOTAL'!I$23,IF(AND($D$18="3.0TD",$E$22&gt;'COMISIONES TOTAL'!$B$24,$E$22&lt;='COMISIONES TOTAL'!$C$24),'COMISIONES TOTAL'!I$24,IF(AND($D$18="3.0TD",$E$22&gt;'COMISIONES TOTAL'!$B$25,$E$22&lt;='COMISIONES TOTAL'!$C$25),'COMISIONES TOTAL'!I$25,IF(AND($D$18="3.0TD",$E$22&gt;'COMISIONES TOTAL'!$B$26,$E$22&lt;='COMISIONES TOTAL'!$C$26),'COMISIONES TOTAL'!I$26,IF(AND($D$18="3.0TD",$E$22&gt;'COMISIONES TOTAL'!$B$27,$E$22&lt;='COMISIONES TOTAL'!$C$27),'COMISIONES TOTAL'!I$27,IF(AND($D$18="3.0TD",$E$22&gt;'COMISIONES TOTAL'!$B$28,$E$22&lt;='COMISIONES TOTAL'!$C$28),'COMISIONES TOTAL'!I$28,IF(AND($D$18="3.0TD",$E$22&gt;'COMISIONES TOTAL'!$B$29,$E$22&lt;='COMISIONES TOTAL'!$C$29),'COMISIONES TOTAL'!I$29,IF(AND($D$18="6.1TD",$E$22&lt;='COMISIONES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52.48</v>
      </c>
      <c r="N34" s="436" t="s">
        <v>21</v>
      </c>
      <c r="O34" s="236" t="s">
        <v>73</v>
      </c>
      <c r="P34" s="432" t="str">
        <f>IF(D19="INDEXADO",IF($D$18="2.0TD",'RESULTADO INDEXADO'!L43,IF($D$18="3.0TD",'RESULTADO INDEXADO'!L59,"")),"")</f>
        <v/>
      </c>
      <c r="Q34" s="354" t="str">
        <f>IF(P34="","",(((((((((((((((((((((((((((((((((((((((((((((((((((((IF(AND($D$18="2.0TD",$E$22&lt;='COMISIONES ALDRO'!$C$4,$E$25&lt;10),'COMISIONES ALDRO'!P$4,IF(AND($D$18="2.0TD",$E$22&gt;'COMISIONES ALDRO'!$B$5,$E$22&lt;='COMISIONES ALDRO'!$C$5,$E$25&lt;10),'COMISIONES ALDRO'!P$5,IF(AND($D$18="2.0TD",$E$22&gt;'COMISIONES ALDRO'!$B$6,$E$22&lt;='COMISIONES ALDRO'!$C$6,$E$25&lt;10),'COMISIONES ALDRO'!P$6,IF(AND($D$18="2.0TD",$E$22&gt;'COMISIONES ALDRO'!$B$7,$E$22&lt;='COMISIONES ALDRO'!$C$7,$E$25&lt;10),'COMISIONES ALDRO'!P$7,IF(AND($D$18="2.0TD",$E$22&gt;'COMISIONES ALDRO'!$B$8,$E$22&lt;='COMISIONES ALDRO'!$C$8,$E$25&lt;10),'COMISIONES ALDRO'!P$8,IF(AND($D$18="2.0TD",$E$22&lt;='COMISIONES ALDRO'!$C$9,$E$25&lt;10),'COMISIONES ALDRO'!P$9,IF(AND($D$18="2.0TD",$E$22&gt;'COMISIONES ALDRO'!$B$10,$E$22&lt;='COMISIONES ALDRO'!$C$10,$E$25&lt;10),'COMISIONES ALDRO'!P$10,IF(AND($D$18="2.0TD",$E$22&gt;'COMISIONES ALDRO'!$B$11,$E$22&lt;='COMISIONES ALDRO'!$C$11,$E$25&lt;10),'COMISIONES ALDRO'!P$11,IF(AND($D$18="2.0TD",$E$22&gt;'COMISIONES ALDRO'!$B$12,$E$22&lt;='COMISIONES ALDRO'!$C$12,$E$25&gt;10),'COMISIONES ALDRO'!P$12,IF(AND($D$18="2.0TD",$E$22&gt;'COMISIONES ALDRO'!$B$13,$E$22&lt;='COMISIONES ALDRO'!$C$13,$E$25&gt;10),'COMISIONES ALDRO'!P$13,IF(AND($D$18="2.0TD",$E$22&gt;'COMISIONES ALDRO'!$B$14,$E$22&lt;='COMISIONES ALDRO'!$C$14,$E$25&gt;10),'COMISIONES ALDRO'!P$14,IF(AND($D$18="2.0TD",$E$22&gt;'COMISIONES ALDRO'!$B$15,$E$22&lt;='COMISIONES ALDRO'!$C$15,$E$25&gt;10),'COMISIONES ALDRO'!P$15,IF(AND($D$18="2.0TD",$E$22&gt;'COMISIONES ALDRO'!$B$16,$E$22&lt;='COMISIONES ALDRO'!$C$16,$E$25&gt;10),'COMISIONES ALDRO'!P$16,IF(AND($D$18="2.0TD",$E$22&gt;'COMISIONES ALDRO'!$B$17,$E$22&lt;='COMISIONES ALDRO'!$C$17,$E$25&gt;10),'COMISIONES ALDRO'!P$17,IF(AND($D$18="2.0TD",$E$22&gt;'COMISIONES ALDRO'!$B$18,$E$22&lt;='COMISIONES ALDRO'!$C$18,$E$25&gt;10),'COMISIONES ALDRO'!P$18,IF(AND($D$18="2.0TD",$E$22&gt;'COMISIONES ALDRO'!$B$19,$E$22&lt;='COMISIONES ALDRO'!$C$19,$E$25&gt;10),'COMISIONES ALDRO'!P$19,IF(AND($D$18="2.0TD",$E$22&gt;'COMISIONES ALDRO'!$B$20,$E$22&lt;='COMISIONES ALDRO'!$C$20,$E$25&gt;10),'COMISIONES ALDRO'!P$20,IF(AND($D$18="2.0TD",$E$22&gt;'COMISIONES ALDRO'!$B$21,$E$22&lt;='COMISIONES ALDRO'!$C$21,$E$25&gt;10),'COMISIONES ALDRO'!P$21,IF(AND($D$18="2.0TD",$E$22&gt;'COMISIONES ALDRO'!$B$22,$E$22&lt;='COMISIONES ALDRO'!$C$22,$E$25&gt;10),'COMISIONES ALDRO'!P$22,IF(AND($D$18="3.0TD",$E$22&lt;='COMISIONES ALDRO'!$C$23),'COMISIONES ALDRO'!P$23,IF(AND($D$18="3.0TD",$E$22&gt;'COMISIONES ALDRO'!$B$24,$E$22&lt;='COMISIONES ALDRO'!$C$24),'COMISIONES ALDRO'!P$24,IF(AND($D$18="3.0TD",$E$22&gt;'COMISIONES ALDRO'!$B$25,$E$22&lt;='COMISIONES ALDRO'!$C$25),'COMISIONES ALDRO'!P$25,IF(AND($D$18="3.0TD",$E$22&gt;'COMISIONES ALDRO'!$B$26,$E$22&lt;='COMISIONES ALDRO'!$C$26),'COMISIONES ALDRO'!P$26,IF(AND($D$18="3.0TD",$E$22&gt;'COMISIONES ALDRO'!$B$27,$E$22&lt;='COMISIONES ALDRO'!$C$27),'COMISIONES ALDRO'!P$27,IF(AND($D$18="3.0TD",$E$22&gt;'COMISIONES ALDRO'!$B$28,$E$22&lt;='COMISIONES ALDRO'!$C$28),'COMISIONES ALDRO'!P$28,IF(AND($D$18="3.0TD",$E$22&gt;'COMISIONES ALDRO'!$B$29,$E$22&lt;='COMISIONES ALDRO'!$C$29),'COMISIONES ALDRO'!P$29,IF(AND($D$18="3.0TD",$E$22&gt;'COMISIONES ALDRO'!$B$30,$E$22&lt;='COMISIONES ALDRO'!$C$30),'COMISIONES ALDRO'!P$30,IF(AND($D$18="3.0TD",$E$22&gt;'COMISIONES ALDRO'!$B$31,$E$22&lt;='COMISIONES ALDRO'!$C$31),'COMISIONES ALDRO'!P$31,IF(AND($D$18="3.0TD",$E$22&gt;'COMISIONES ALDRO'!$B$32,$E$22&lt;='COMISIONES ALDRO'!$C$32),'COMISIONES ALDRO'!P$32,IF(AND($D$18="3.0TD",$E$22&gt;'COMISIONES ALDRO'!$B$33,$E$22&lt;='COMISIONES ALDRO'!$C$33),'COMISIONES ALDRO'!P$33,IF(AND($D$18="3.0TD",$E$22&gt;'COMISIONES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ALDRO'!P$23,IF(AND($D$18="6.1TD",$E$22&gt;'COMISIONES ALDRO'!$B$24,$E$22&lt;='COMISIONES ALDRO'!$C$24),'COMISIONES ALDRO'!P$24,IF(AND($D$18="6.1TD",$E$22&gt;'COMISIONES ALDRO'!$B$25,$E$22&lt;='COMISIONES ALDRO'!$C$25),'COMISIONES ALDRO'!P$25,IF(AND($D$18="6.1TD",$E$22&gt;'COMISIONES ALDRO'!$B$26,$E$22&lt;='COMISIONES ALDRO'!$C$26),'COMISIONES ALDRO'!P$26,IF(AND($D$18="6.1TD",$E$22&gt;'COMISIONES ALDRO'!$B$27,$E$22&lt;='COMISIONES ALDRO'!$C$27),'COMISIONES ALDRO'!P$27,IF(AND($D$18="6.1TD",$E$22&gt;'COMISIONES ALDRO'!$B$28,$E$22&lt;='COMISIONES ALDRO'!$C$28),'COMISIONES ALDRO'!P$28,IF(AND($D$18="6.1TD",$E$22&gt;'COMISIONES ALDRO'!$B$29,$E$22&lt;='COMISIONES ALDRO'!$C$29),'COMISIONES ALDRO'!P$29,IF(AND($D$18="6.1TD",$E$22&gt;'COMISIONES ALDRO'!$B$30,$E$22&lt;='COMISIONES ALDRO'!$C$30),'COMISIONES ALDRO'!P$30,IF(AND($D$18="6.1TD",$E$22&gt;'COMISIONES ALDRO'!$B$31,$E$22&lt;='COMISIONES ALDRO'!$C$31),'COMISIONES ALDRO'!P$31,IF(AND($D$18="6.1TD",$E$22&gt;'COMISIONES ALDRO'!$B$32,$E$22&lt;='COMISIONES ALDRO'!$C$32),'COMISIONES ALDRO'!P$32,IF(AND($D$18="6.1TD",$E$22&gt;'COMISIONES ALDRO'!$B$33,$E$22&lt;='COMISIONES ALDRO'!$C$33),'COMISIONES ALDRO'!P$33,IF(AND($D$18="6.1TD",$E$22&gt;'COMISIONES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4" s="270"/>
      <c r="S34" s="321"/>
      <c r="T34" s="321"/>
      <c r="U34" s="321"/>
      <c r="V34" s="321"/>
      <c r="W34" s="321"/>
      <c r="X34" s="321"/>
      <c r="Y34" s="321"/>
      <c r="Z34" s="321"/>
      <c r="AA34" s="321"/>
      <c r="AB34" s="321"/>
      <c r="AC34" s="321"/>
      <c r="AD34" s="321"/>
      <c r="AE34" s="321"/>
      <c r="AF34" s="321"/>
      <c r="AG34" s="321"/>
      <c r="AH34" s="321"/>
      <c r="AI34" s="321"/>
      <c r="AJ34" s="321"/>
      <c r="AK34" s="321"/>
      <c r="AL34" s="321"/>
      <c r="AM34" s="321"/>
      <c r="AN34" s="321"/>
      <c r="AO34" s="321"/>
      <c r="AP34" s="321"/>
      <c r="AQ34" s="321"/>
      <c r="AR34" s="321"/>
      <c r="AS34" s="321"/>
      <c r="AT34" s="321"/>
      <c r="AU34" s="321"/>
      <c r="AV34" s="321"/>
      <c r="AW34" s="321"/>
      <c r="AX34" s="321"/>
      <c r="AY34" s="321"/>
    </row>
    <row r="35" spans="1:51" ht="15" customHeight="1">
      <c r="A35" s="321"/>
      <c r="B35" s="321"/>
      <c r="C35" s="321"/>
      <c r="D35" s="240" t="s">
        <v>74</v>
      </c>
      <c r="E35" s="334"/>
      <c r="F35" s="321"/>
      <c r="G35" s="248"/>
      <c r="H35" s="522"/>
      <c r="I35" s="370" t="s">
        <v>33</v>
      </c>
      <c r="J35" s="364">
        <f>IF($D$19="PRECIO FIJO",IF($D$18="2.0TD",'RESULTADO PRECIO FIJO'!N95,IF($D$18="3.0TD",'RESULTADO PRECIO FIJO'!N119,IF($D$18="6.1TD",""))),"")</f>
        <v>0.42319677425003022</v>
      </c>
      <c r="K35" s="354">
        <f>IF(J35="","",(((((((((((((((((((((((((((((((((((((((((((((((((((((((((IF(AND($D$18="2.0TD",$E$22&lt;='COMISIONES TOTAL'!$C$4),'COMISIONES TOTAL'!J$4,IF(AND($D$18="2.0TD",$E$22&gt;'COMISIONES TOTAL'!$B$5,$E$22&lt;='COMISIONES TOTAL'!$C$5),'COMISIONES TOTAL'!J$5,IF(AND($D$18="2.0TD",$E$22&gt;'COMISIONES TOTAL'!$B$6,$E$22&lt;='COMISIONES TOTAL'!$C$6),'COMISIONES TOTAL'!J$6,IF(AND($D$18="2.0TD",$E$22&gt;'COMISIONES TOTAL'!$B$7,$E$22&lt;='COMISIONES TOTAL'!$C$7),'COMISIONES TOTAL'!J$7,IF(AND($D$18="2.0TD",$E$22&gt;'COMISIONES TOTAL'!$B$8,$E$22&lt;='COMISIONES TOTAL'!$C$8),'COMISIONES TOTAL'!J$8,IF(AND($D$18="2.0TD",$E$22&lt;='COMISIONES TOTAL'!$C$9),'COMISIONES TOTAL'!J$9,IF(AND($D$18="2.0TD",$E$22&gt;'COMISIONES TOTAL'!$B$10,$E$22&lt;='COMISIONES TOTAL'!$C$10),'COMISIONES TOTAL'!J$10,IF(AND($D$18="2.0TD",$E$22&gt;'COMISIONES TOTAL'!$B$11,$E$22&lt;='COMISIONES TOTAL'!$C$11),'COMISIONES TOTAL'!J$11,IF(AND($D$18="2.0TD",$E$22&gt;'COMISIONES TOTAL'!$B$12,$E$22&lt;='COMISIONES TOTAL'!$C$12),'COMISIONES TOTAL'!J$12,IF(AND($D$18="2.0TD",$E$22&gt;'COMISIONES TOTAL'!$B$13,$E$22&lt;='COMISIONES TOTAL'!$C$13),'COMISIONES TOTAL'!J$13,IF(AND($D$18="3.0TD",$E$22&lt;='COMISIONES TOTAL'!$C$14),'COMISIONES TOTAL'!J$14,IF(AND($D$18="3.0TD",$E$22&gt;'COMISIONES TOTAL'!$B$15,$E$22&lt;='COMISIONES TOTAL'!$C$15,),'COMISIONES TOTAL'!J$15,IF(AND($D$18="3.0TD",$E$22&gt;'COMISIONES TOTAL'!$B$16,$E$22&lt;='COMISIONES TOTAL'!$C$16),'COMISIONES TOTAL'!J$16,IF(AND($D$18="3.0TD",$E$22&gt;'COMISIONES TOTAL'!$B$17,$E$22&lt;='COMISIONES TOTAL'!$C$17),'COMISIONES TOTAL'!J$17,IF(AND($D$18="3.0TD",$E$22&gt;'COMISIONES TOTAL'!$B$18,$E$22&lt;='COMISIONES TOTAL'!$C$18),'COMISIONES TOTAL'!J$18,IF(AND($D$18="3.0TD",$E$22&gt;'COMISIONES TOTAL'!$B$19,$E$22&lt;='COMISIONES TOTAL'!$C$19),'COMISIONES TOTAL'!J$19,IF(AND($D$18="3.0TD",$E$22&gt;'COMISIONES TOTAL'!$B$20,$E$22&lt;='COMISIONES TOTAL'!$C$20),'COMISIONES TOTAL'!J$20,IF(AND($D$18="3.0TD",$E$22&gt;'COMISIONES TOTAL'!$B$21,$E$22&lt;='COMISIONES TOTAL'!$C$21),'COMISIONES TOTAL'!J$21,IF(AND($D$18="3.0TD",$E$22&gt;'COMISIONES TOTAL'!$B$22,$E$22&lt;='COMISIONES TOTAL'!$C$22),'COMISIONES TOTAL'!J$22,IF(AND($D$18="3.0TD",$E$22&gt;'COMISIONES TOTAL'!$B$23,$E$22&lt;='COMISIONES TOTAL'!$C$23),'COMISIONES TOTAL'!J$23,IF(AND($D$18="3.0TD",$E$22&gt;'COMISIONES TOTAL'!$B$24,$E$22&lt;='COMISIONES TOTAL'!$C$24),'COMISIONES TOTAL'!J$24,IF(AND($D$18="3.0TD",$E$22&gt;'COMISIONES TOTAL'!$B$25,$E$22&lt;='COMISIONES TOTAL'!$C$25),'COMISIONES TOTAL'!J$25,IF(AND($D$18="3.0TD",$E$22&gt;'COMISIONES TOTAL'!$B$26,$E$22&lt;='COMISIONES TOTAL'!$C$26),'COMISIONES TOTAL'!J$26,IF(AND($D$18="3.0TD",$E$22&gt;'COMISIONES TOTAL'!$B$27,$E$22&lt;='COMISIONES TOTAL'!$C$27),'COMISIONES TOTAL'!J$27,IF(AND($D$18="3.0TD",$E$22&gt;'COMISIONES TOTAL'!$B$28,$E$22&lt;='COMISIONES TOTAL'!$C$28),'COMISIONES TOTAL'!J$28,IF(AND($D$18="3.0TD",$E$22&gt;'COMISIONES TOTAL'!$B$29,$E$22&lt;='COMISIONES TOTAL'!$C$29),'COMISIONES TOTAL'!J$29,IF(AND($D$18="6.1TD",$E$22&lt;='COMISIONES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86.1</v>
      </c>
      <c r="N35" s="437"/>
      <c r="O35" s="236" t="s">
        <v>75</v>
      </c>
      <c r="P35" s="432" t="str">
        <f>IF(D19="INDEXADO",IF($D$18="2.0TD",'RESULTADO INDEXADO'!L45,IF($D$18="3.0TD",'RESULTADO INDEXADO'!L61,"")),"")</f>
        <v/>
      </c>
      <c r="Q35" s="354" t="str">
        <f>IF(P35="","",(((((((((((((((((((((((((((((((((((((((((((((((((((((IF(AND($D$18="2.0TD",$E$22&lt;='COMISIONES ALDRO'!$C$4,$E$25&lt;10),'COMISIONES ALDRO'!Q$4,IF(AND($D$18="2.0TD",$E$22&gt;'COMISIONES ALDRO'!$B$5,$E$22&lt;='COMISIONES ALDRO'!$C$5,$E$25&lt;10),'COMISIONES ALDRO'!Q$5,IF(AND($D$18="2.0TD",$E$22&gt;'COMISIONES ALDRO'!$B$6,$E$22&lt;='COMISIONES ALDRO'!$C$6,$E$25&lt;10),'COMISIONES ALDRO'!Q$6,IF(AND($D$18="2.0TD",$E$22&gt;'COMISIONES ALDRO'!$B$7,$E$22&lt;='COMISIONES ALDRO'!$C$7,$E$25&lt;10),'COMISIONES ALDRO'!Q$7,IF(AND($D$18="2.0TD",$E$22&gt;'COMISIONES ALDRO'!$B$8,$E$22&lt;='COMISIONES ALDRO'!$C$8,$E$25&lt;10),'COMISIONES ALDRO'!Q$8,IF(AND($D$18="2.0TD",$E$22&lt;='COMISIONES ALDRO'!$C$9,$E$25&lt;10),'COMISIONES ALDRO'!Q$9,IF(AND($D$18="2.0TD",$E$22&gt;'COMISIONES ALDRO'!$B$10,$E$22&lt;='COMISIONES ALDRO'!$C$10,$E$25&lt;10),'COMISIONES ALDRO'!Q$10,IF(AND($D$18="2.0TD",$E$22&gt;'COMISIONES ALDRO'!$B$11,$E$22&lt;='COMISIONES ALDRO'!$C$11,$E$25&lt;10),'COMISIONES ALDRO'!Q$11,IF(AND($D$18="2.0TD",$E$22&gt;'COMISIONES ALDRO'!$B$12,$E$22&lt;='COMISIONES ALDRO'!$C$12,$E$25&gt;10),'COMISIONES ALDRO'!Q$12,IF(AND($D$18="2.0TD",$E$22&gt;'COMISIONES ALDRO'!$B$13,$E$22&lt;='COMISIONES ALDRO'!$C$13,$E$25&gt;10),'COMISIONES ALDRO'!Q$13,IF(AND($D$18="2.0TD",$E$22&gt;'COMISIONES ALDRO'!$B$14,$E$22&lt;='COMISIONES ALDRO'!$C$14,$E$25&gt;10),'COMISIONES ALDRO'!Q$14,IF(AND($D$18="2.0TD",$E$22&gt;'COMISIONES ALDRO'!$B$15,$E$22&lt;='COMISIONES ALDRO'!$C$15,$E$25&gt;10),'COMISIONES ALDRO'!Q$15,IF(AND($D$18="2.0TD",$E$22&gt;'COMISIONES ALDRO'!$B$16,$E$22&lt;='COMISIONES ALDRO'!$C$16,$E$25&gt;10),'COMISIONES ALDRO'!Q$16,IF(AND($D$18="2.0TD",$E$22&gt;'COMISIONES ALDRO'!$B$17,$E$22&lt;='COMISIONES ALDRO'!$C$17,$E$25&gt;10),'COMISIONES ALDRO'!Q$17,IF(AND($D$18="2.0TD",$E$22&gt;'COMISIONES ALDRO'!$B$18,$E$22&lt;='COMISIONES ALDRO'!$C$18,$E$25&gt;10),'COMISIONES ALDRO'!Q$18,IF(AND($D$18="2.0TD",$E$22&gt;'COMISIONES ALDRO'!$B$19,$E$22&lt;='COMISIONES ALDRO'!$C$19,$E$25&gt;10),'COMISIONES ALDRO'!Q$19,IF(AND($D$18="2.0TD",$E$22&gt;'COMISIONES ALDRO'!$B$20,$E$22&lt;='COMISIONES ALDRO'!$C$20,$E$25&gt;10),'COMISIONES ALDRO'!Q$20,IF(AND($D$18="2.0TD",$E$22&gt;'COMISIONES ALDRO'!$B$21,$E$22&lt;='COMISIONES ALDRO'!$C$21,$E$25&gt;10),'COMISIONES ALDRO'!Q$21,IF(AND($D$18="2.0TD",$E$22&gt;'COMISIONES ALDRO'!$B$22,$E$22&lt;='COMISIONES ALDRO'!$C$22,$E$25&gt;10),'COMISIONES ALDRO'!Q$22,IF(AND($D$18="3.0TD",$E$22&lt;='COMISIONES ALDRO'!$C$23),'COMISIONES ALDRO'!Q$23,IF(AND($D$18="3.0TD",$E$22&gt;'COMISIONES ALDRO'!$B$24,$E$22&lt;='COMISIONES ALDRO'!$C$24),'COMISIONES ALDRO'!Q$24,IF(AND($D$18="3.0TD",$E$22&gt;'COMISIONES ALDRO'!$B$25,$E$22&lt;='COMISIONES ALDRO'!$C$25),'COMISIONES ALDRO'!Q$25,IF(AND($D$18="3.0TD",$E$22&gt;'COMISIONES ALDRO'!$B$26,$E$22&lt;='COMISIONES ALDRO'!$C$26),'COMISIONES ALDRO'!Q$26,IF(AND($D$18="3.0TD",$E$22&gt;'COMISIONES ALDRO'!$B$27,$E$22&lt;='COMISIONES ALDRO'!$C$27),'COMISIONES ALDRO'!Q$27,IF(AND($D$18="3.0TD",$E$22&gt;'COMISIONES ALDRO'!$B$28,$E$22&lt;='COMISIONES ALDRO'!$C$28),'COMISIONES ALDRO'!Q$28,IF(AND($D$18="3.0TD",$E$22&gt;'COMISIONES ALDRO'!$B$29,$E$22&lt;='COMISIONES ALDRO'!$C$29),'COMISIONES ALDRO'!Q$29,IF(AND($D$18="3.0TD",$E$22&gt;'COMISIONES ALDRO'!$B$30,$E$22&lt;='COMISIONES ALDRO'!$C$30),'COMISIONES ALDRO'!Q$30,IF(AND($D$18="3.0TD",$E$22&gt;'COMISIONES ALDRO'!$B$31,$E$22&lt;='COMISIONES ALDRO'!$C$31),'COMISIONES ALDRO'!Q$31,IF(AND($D$18="3.0TD",$E$22&gt;'COMISIONES ALDRO'!$B$32,$E$22&lt;='COMISIONES ALDRO'!$C$32),'COMISIONES ALDRO'!Q$32,IF(AND($D$18="3.0TD",$E$22&gt;'COMISIONES ALDRO'!$B$33,$E$22&lt;='COMISIONES ALDRO'!$C$33),'COMISIONES ALDRO'!Q$33,IF(AND($D$18="3.0TD",$E$22&gt;'COMISIONES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ALDRO'!Q$23,IF(AND($D$18="6.1TD",$E$22&gt;'COMISIONES ALDRO'!$B$24,$E$22&lt;='COMISIONES ALDRO'!$C$24),'COMISIONES ALDRO'!Q$24,IF(AND($D$18="6.1TD",$E$22&gt;'COMISIONES ALDRO'!$B$25,$E$22&lt;='COMISIONES ALDRO'!$C$25),'COMISIONES ALDRO'!Q$25,IF(AND($D$18="6.1TD",$E$22&gt;'COMISIONES ALDRO'!$B$26,$E$22&lt;='COMISIONES ALDRO'!$C$26),'COMISIONES ALDRO'!Q$26,IF(AND($D$18="6.1TD",$E$22&gt;'COMISIONES ALDRO'!$B$27,$E$22&lt;='COMISIONES ALDRO'!$C$27),'COMISIONES ALDRO'!Q$27,IF(AND($D$18="6.1TD",$E$22&gt;'COMISIONES ALDRO'!$B$28,$E$22&lt;='COMISIONES ALDRO'!$C$28),'COMISIONES ALDRO'!Q$28,IF(AND($D$18="6.1TD",$E$22&gt;'COMISIONES ALDRO'!$B$29,$E$22&lt;='COMISIONES ALDRO'!$C$29),'COMISIONES ALDRO'!Q$29,IF(AND($D$18="6.1TD",$E$22&gt;'COMISIONES ALDRO'!$B$30,$E$22&lt;='COMISIONES ALDRO'!$C$30),'COMISIONES ALDRO'!Q$30,IF(AND($D$18="6.1TD",$E$22&gt;'COMISIONES ALDRO'!$B$31,$E$22&lt;='COMISIONES ALDRO'!$C$31),'COMISIONES ALDRO'!Q$31,IF(AND($D$18="6.1TD",$E$22&gt;'COMISIONES ALDRO'!$B$32,$E$22&lt;='COMISIONES ALDRO'!$C$32),'COMISIONES ALDRO'!Q$32,IF(AND($D$18="6.1TD",$E$22&gt;'COMISIONES ALDRO'!$B$33,$E$22&lt;='COMISIONES ALDRO'!$C$33),'COMISIONES ALDRO'!Q$33,IF(AND($D$18="6.1TD",$E$22&gt;'COMISIONES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5" s="270"/>
      <c r="S35" s="321"/>
      <c r="T35" s="321"/>
      <c r="U35" s="321"/>
      <c r="V35" s="321"/>
      <c r="W35" s="321"/>
      <c r="X35" s="321"/>
      <c r="Y35" s="321"/>
      <c r="Z35" s="321"/>
      <c r="AA35" s="321"/>
      <c r="AB35" s="321"/>
      <c r="AC35" s="321"/>
      <c r="AD35" s="321"/>
      <c r="AE35" s="321"/>
      <c r="AF35" s="321"/>
      <c r="AG35" s="321"/>
      <c r="AH35" s="321"/>
      <c r="AI35" s="321"/>
      <c r="AJ35" s="321"/>
      <c r="AK35" s="321"/>
      <c r="AL35" s="321"/>
      <c r="AM35" s="321"/>
      <c r="AN35" s="321"/>
      <c r="AO35" s="321"/>
      <c r="AP35" s="321"/>
      <c r="AQ35" s="321"/>
      <c r="AR35" s="321"/>
      <c r="AS35" s="321"/>
      <c r="AT35" s="321"/>
      <c r="AU35" s="321"/>
      <c r="AV35" s="321"/>
      <c r="AW35" s="321"/>
      <c r="AX35" s="321"/>
      <c r="AY35" s="321"/>
    </row>
    <row r="36" spans="1:51" ht="15" customHeight="1">
      <c r="A36" s="321"/>
      <c r="B36" s="321"/>
      <c r="C36" s="321"/>
      <c r="D36" s="240" t="s">
        <v>76</v>
      </c>
      <c r="E36" s="334"/>
      <c r="F36" s="321"/>
      <c r="G36" s="248"/>
      <c r="H36" s="522"/>
      <c r="I36" s="370" t="s">
        <v>77</v>
      </c>
      <c r="J36" s="364">
        <f>IF($D$19="PRECIO FIJO",IF($D$18="2.0TD",'RESULTADO PRECIO FIJO'!N97,IF($D$18="3.0TD",'RESULTADO PRECIO FIJO'!N121,IF($D$18="6.1TD",""))),"")</f>
        <v>-3.1045642757500076</v>
      </c>
      <c r="K36" s="354">
        <f>IF(J36="","",(((((((((((((((((((((((((((((((((((((((((((((((((((((((((IF(AND($D$18="2.0TD",$E$22&lt;='COMISIONES TOTAL'!$C$4),'COMISIONES TOTAL'!K$4,IF(AND($D$18="2.0TD",$E$22&gt;'COMISIONES TOTAL'!$B$5,$E$22&lt;='COMISIONES TOTAL'!$C$5),'COMISIONES TOTAL'!K$5,IF(AND($D$18="2.0TD",$E$22&gt;'COMISIONES TOTAL'!$B$6,$E$22&lt;='COMISIONES TOTAL'!$C$6),'COMISIONES TOTAL'!K$6,IF(AND($D$18="2.0TD",$E$22&gt;'COMISIONES TOTAL'!$B$7,$E$22&lt;='COMISIONES TOTAL'!$C$7),'COMISIONES TOTAL'!K$7,IF(AND($D$18="2.0TD",$E$22&gt;'COMISIONES TOTAL'!$B$8,$E$22&lt;='COMISIONES TOTAL'!$C$8),'COMISIONES TOTAL'!K$8,IF(AND($D$18="2.0TD",$E$22&lt;='COMISIONES TOTAL'!$C$9),'COMISIONES TOTAL'!K$9,IF(AND($D$18="2.0TD",$E$22&gt;'COMISIONES TOTAL'!$B$10,$E$22&lt;='COMISIONES TOTAL'!$C$10),'COMISIONES TOTAL'!K$10,IF(AND($D$18="2.0TD",$E$22&gt;'COMISIONES TOTAL'!$B$11,$E$22&lt;='COMISIONES TOTAL'!$C$11),'COMISIONES TOTAL'!K$11,IF(AND($D$18="2.0TD",$E$22&gt;'COMISIONES TOTAL'!$B$12,$E$22&lt;='COMISIONES TOTAL'!$C$12),'COMISIONES TOTAL'!K$12,IF(AND($D$18="2.0TD",$E$22&gt;'COMISIONES TOTAL'!$B$13,$E$22&lt;='COMISIONES TOTAL'!$C$13),'COMISIONES TOTAL'!K$13,IF(AND($D$18="3.0TD",$E$22&lt;='COMISIONES TOTAL'!$C$14),'COMISIONES TOTAL'!K$14,IF(AND($D$18="3.0TD",$E$22&gt;'COMISIONES TOTAL'!$B$15,$E$22&lt;='COMISIONES TOTAL'!$C$15,),'COMISIONES TOTAL'!K$15,IF(AND($D$18="3.0TD",$E$22&gt;'COMISIONES TOTAL'!$B$16,$E$22&lt;='COMISIONES TOTAL'!$C$16),'COMISIONES TOTAL'!K$16,IF(AND($D$18="3.0TD",$E$22&gt;'COMISIONES TOTAL'!$B$17,$E$22&lt;='COMISIONES TOTAL'!$C$17),'COMISIONES TOTAL'!K$17,IF(AND($D$18="3.0TD",$E$22&gt;'COMISIONES TOTAL'!$B$18,$E$22&lt;='COMISIONES TOTAL'!$C$18),'COMISIONES TOTAL'!K$18,IF(AND($D$18="3.0TD",$E$22&gt;'COMISIONES TOTAL'!$B$19,$E$22&lt;='COMISIONES TOTAL'!$C$19),'COMISIONES TOTAL'!K$19,IF(AND($D$18="3.0TD",$E$22&gt;'COMISIONES TOTAL'!$B$20,$E$22&lt;='COMISIONES TOTAL'!$C$20),'COMISIONES TOTAL'!K$20,IF(AND($D$18="3.0TD",$E$22&gt;'COMISIONES TOTAL'!$B$21,$E$22&lt;='COMISIONES TOTAL'!$C$21),'COMISIONES TOTAL'!K$21,IF(AND($D$18="3.0TD",$E$22&gt;'COMISIONES TOTAL'!$B$22,$E$22&lt;='COMISIONES TOTAL'!$C$22),'COMISIONES TOTAL'!K$22,IF(AND($D$18="3.0TD",$E$22&gt;'COMISIONES TOTAL'!$B$23,$E$22&lt;='COMISIONES TOTAL'!$C$23),'COMISIONES TOTAL'!K$23,IF(AND($D$18="3.0TD",$E$22&gt;'COMISIONES TOTAL'!$B$24,$E$22&lt;='COMISIONES TOTAL'!$C$24),'COMISIONES TOTAL'!K$24,IF(AND($D$18="3.0TD",$E$22&gt;'COMISIONES TOTAL'!$B$25,$E$22&lt;='COMISIONES TOTAL'!$C$25),'COMISIONES TOTAL'!K$25,IF(AND($D$18="3.0TD",$E$22&gt;'COMISIONES TOTAL'!$B$26,$E$22&lt;='COMISIONES TOTAL'!$C$26),'COMISIONES TOTAL'!K$26,IF(AND($D$18="3.0TD",$E$22&gt;'COMISIONES TOTAL'!$B$27,$E$22&lt;='COMISIONES TOTAL'!$C$27),'COMISIONES TOTAL'!K$27,IF(AND($D$18="3.0TD",$E$22&gt;'COMISIONES TOTAL'!$B$28,$E$22&lt;='COMISIONES TOTAL'!$C$28),'COMISIONES TOTAL'!K$28,IF(AND($D$18="3.0TD",$E$22&gt;'COMISIONES TOTAL'!$B$29,$E$22&lt;='COMISIONES TOTAL'!$C$29),'COMISIONES TOTAL'!K$29,IF(AND($D$18="6.1TD",$E$22&lt;='COMISIONES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119.72</v>
      </c>
      <c r="N36" s="437"/>
      <c r="O36" s="236" t="s">
        <v>78</v>
      </c>
      <c r="P36" s="432" t="str">
        <f>IF(D19="INDEXADO",IF($D$18="2.0TD",'RESULTADO INDEXADO'!L47,IF($D$18="3.0TD",'RESULTADO INDEXADO'!L63,"")),"")</f>
        <v/>
      </c>
      <c r="Q36" s="354" t="str">
        <f>IF(P36="","",(((((((((((((((((((((((((((((((((((((((((((((((((((((IF(AND($D$18="2.0TD",$E$22&lt;='COMISIONES ALDRO'!$C$4,$E$25&lt;10),'COMISIONES ALDRO'!R$4,IF(AND($D$18="2.0TD",$E$22&gt;'COMISIONES ALDRO'!$B$5,$E$22&lt;='COMISIONES ALDRO'!$C$5,$E$25&lt;10),'COMISIONES ALDRO'!R$5,IF(AND($D$18="2.0TD",$E$22&gt;'COMISIONES ALDRO'!$B$6,$E$22&lt;='COMISIONES ALDRO'!$C$6,$E$25&lt;10),'COMISIONES ALDRO'!R$6,IF(AND($D$18="2.0TD",$E$22&gt;'COMISIONES ALDRO'!$B$7,$E$22&lt;='COMISIONES ALDRO'!$C$7,$E$25&lt;10),'COMISIONES ALDRO'!R$7,IF(AND($D$18="2.0TD",$E$22&gt;'COMISIONES ALDRO'!$B$8,$E$22&lt;='COMISIONES ALDRO'!$C$8,$E$25&lt;10),'COMISIONES ALDRO'!R$8,IF(AND($D$18="2.0TD",$E$22&lt;='COMISIONES ALDRO'!$C$9,$E$25&lt;10),'COMISIONES ALDRO'!R$9,IF(AND($D$18="2.0TD",$E$22&gt;'COMISIONES ALDRO'!$B$10,$E$22&lt;='COMISIONES ALDRO'!$C$10,$E$25&lt;10),'COMISIONES ALDRO'!R$10,IF(AND($D$18="2.0TD",$E$22&gt;'COMISIONES ALDRO'!$B$11,$E$22&lt;='COMISIONES ALDRO'!$C$11,$E$25&lt;10),'COMISIONES ALDRO'!R$11,IF(AND($D$18="2.0TD",$E$22&gt;'COMISIONES ALDRO'!$B$12,$E$22&lt;='COMISIONES ALDRO'!$C$12,$E$25&gt;10),'COMISIONES ALDRO'!R$12,IF(AND($D$18="2.0TD",$E$22&gt;'COMISIONES ALDRO'!$B$13,$E$22&lt;='COMISIONES ALDRO'!$C$13,$E$25&gt;10),'COMISIONES ALDRO'!R$13,IF(AND($D$18="2.0TD",$E$22&gt;'COMISIONES ALDRO'!$B$14,$E$22&lt;='COMISIONES ALDRO'!$C$14,$E$25&gt;10),'COMISIONES ALDRO'!R$14,IF(AND($D$18="2.0TD",$E$22&gt;'COMISIONES ALDRO'!$B$15,$E$22&lt;='COMISIONES ALDRO'!$C$15,$E$25&gt;10),'COMISIONES ALDRO'!R$15,IF(AND($D$18="2.0TD",$E$22&gt;'COMISIONES ALDRO'!$B$16,$E$22&lt;='COMISIONES ALDRO'!$C$16,$E$25&gt;10),'COMISIONES ALDRO'!R$16,IF(AND($D$18="2.0TD",$E$22&gt;'COMISIONES ALDRO'!$B$17,$E$22&lt;='COMISIONES ALDRO'!$C$17,$E$25&gt;10),'COMISIONES ALDRO'!R$17,IF(AND($D$18="2.0TD",$E$22&gt;'COMISIONES ALDRO'!$B$18,$E$22&lt;='COMISIONES ALDRO'!$C$18,$E$25&gt;10),'COMISIONES ALDRO'!R$18,IF(AND($D$18="2.0TD",$E$22&gt;'COMISIONES ALDRO'!$B$19,$E$22&lt;='COMISIONES ALDRO'!$C$19,$E$25&gt;10),'COMISIONES ALDRO'!R$19,IF(AND($D$18="2.0TD",$E$22&gt;'COMISIONES ALDRO'!$B$20,$E$22&lt;='COMISIONES ALDRO'!$C$20,$E$25&gt;10),'COMISIONES ALDRO'!R$20,IF(AND($D$18="2.0TD",$E$22&gt;'COMISIONES ALDRO'!$B$21,$E$22&lt;='COMISIONES ALDRO'!$C$21,$E$25&gt;10),'COMISIONES ALDRO'!R$21,IF(AND($D$18="2.0TD",$E$22&gt;'COMISIONES ALDRO'!$B$22,$E$22&lt;='COMISIONES ALDRO'!$C$22,$E$25&gt;10),'COMISIONES ALDRO'!R$22,IF(AND($D$18="3.0TD",$E$22&lt;='COMISIONES ALDRO'!$C$23),'COMISIONES ALDRO'!R$23,IF(AND($D$18="3.0TD",$E$22&gt;'COMISIONES ALDRO'!$B$24,$E$22&lt;='COMISIONES ALDRO'!$C$24),'COMISIONES ALDRO'!R$24,IF(AND($D$18="3.0TD",$E$22&gt;'COMISIONES ALDRO'!$B$25,$E$22&lt;='COMISIONES ALDRO'!$C$25),'COMISIONES ALDRO'!R$25,IF(AND($D$18="3.0TD",$E$22&gt;'COMISIONES ALDRO'!$B$26,$E$22&lt;='COMISIONES ALDRO'!$C$26),'COMISIONES ALDRO'!R$26,IF(AND($D$18="3.0TD",$E$22&gt;'COMISIONES ALDRO'!$B$27,$E$22&lt;='COMISIONES ALDRO'!$C$27),'COMISIONES ALDRO'!R$27,IF(AND($D$18="3.0TD",$E$22&gt;'COMISIONES ALDRO'!$B$28,$E$22&lt;='COMISIONES ALDRO'!$C$28),'COMISIONES ALDRO'!R$28,IF(AND($D$18="3.0TD",$E$22&gt;'COMISIONES ALDRO'!$B$29,$E$22&lt;='COMISIONES ALDRO'!$C$29),'COMISIONES ALDRO'!R$29,IF(AND($D$18="3.0TD",$E$22&gt;'COMISIONES ALDRO'!$B$30,$E$22&lt;='COMISIONES ALDRO'!$C$30),'COMISIONES ALDRO'!R$30,IF(AND($D$18="3.0TD",$E$22&gt;'COMISIONES ALDRO'!$B$31,$E$22&lt;='COMISIONES ALDRO'!$C$31),'COMISIONES ALDRO'!R$31,IF(AND($D$18="3.0TD",$E$22&gt;'COMISIONES ALDRO'!$B$32,$E$22&lt;='COMISIONES ALDRO'!$C$32),'COMISIONES ALDRO'!R$32,IF(AND($D$18="3.0TD",$E$22&gt;'COMISIONES ALDRO'!$B$33,$E$22&lt;='COMISIONES ALDRO'!$C$33),'COMISIONES ALDRO'!R$33,IF(AND($D$18="3.0TD",$E$22&gt;'COMISIONES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ALDRO'!R$23,IF(AND($D$18="6.1TD",$E$22&gt;'COMISIONES ALDRO'!$B$24,$E$22&lt;='COMISIONES ALDRO'!$C$24),'COMISIONES ALDRO'!R$24,IF(AND($D$18="6.1TD",$E$22&gt;'COMISIONES ALDRO'!$B$25,$E$22&lt;='COMISIONES ALDRO'!$C$25),'COMISIONES ALDRO'!R$25,IF(AND($D$18="6.1TD",$E$22&gt;'COMISIONES ALDRO'!$B$26,$E$22&lt;='COMISIONES ALDRO'!$C$26),'COMISIONES ALDRO'!R$26,IF(AND($D$18="6.1TD",$E$22&gt;'COMISIONES ALDRO'!$B$27,$E$22&lt;='COMISIONES ALDRO'!$C$27),'COMISIONES ALDRO'!R$27,IF(AND($D$18="6.1TD",$E$22&gt;'COMISIONES ALDRO'!$B$28,$E$22&lt;='COMISIONES ALDRO'!$C$28),'COMISIONES ALDRO'!R$28,IF(AND($D$18="6.1TD",$E$22&gt;'COMISIONES ALDRO'!$B$29,$E$22&lt;='COMISIONES ALDRO'!$C$29),'COMISIONES ALDRO'!R$29,IF(AND($D$18="6.1TD",$E$22&gt;'COMISIONES ALDRO'!$B$30,$E$22&lt;='COMISIONES ALDRO'!$C$30),'COMISIONES ALDRO'!R$30,IF(AND($D$18="6.1TD",$E$22&gt;'COMISIONES ALDRO'!$B$31,$E$22&lt;='COMISIONES ALDRO'!$C$31),'COMISIONES ALDRO'!R$31,IF(AND($D$18="6.1TD",$E$22&gt;'COMISIONES ALDRO'!$B$32,$E$22&lt;='COMISIONES ALDRO'!$C$32),'COMISIONES ALDRO'!R$32,IF(AND($D$18="6.1TD",$E$22&gt;'COMISIONES ALDRO'!$B$33,$E$22&lt;='COMISIONES ALDRO'!$C$33),'COMISIONES ALDRO'!R$33,IF(AND($D$18="6.1TD",$E$22&gt;'COMISIONES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6" s="270"/>
      <c r="S36" s="321"/>
      <c r="T36" s="321"/>
      <c r="U36" s="321"/>
      <c r="V36" s="321"/>
      <c r="W36" s="321"/>
      <c r="X36" s="321"/>
      <c r="Y36" s="321"/>
      <c r="Z36" s="321"/>
      <c r="AA36" s="321"/>
      <c r="AB36" s="321"/>
      <c r="AC36" s="321"/>
      <c r="AD36" s="321"/>
      <c r="AE36" s="321"/>
      <c r="AF36" s="321"/>
      <c r="AG36" s="321"/>
      <c r="AH36" s="321"/>
      <c r="AI36" s="321"/>
      <c r="AJ36" s="321"/>
      <c r="AK36" s="321"/>
      <c r="AL36" s="321"/>
      <c r="AM36" s="321"/>
      <c r="AN36" s="321"/>
      <c r="AO36" s="321"/>
      <c r="AP36" s="321"/>
      <c r="AQ36" s="321"/>
      <c r="AR36" s="321"/>
      <c r="AS36" s="321"/>
      <c r="AT36" s="321"/>
      <c r="AU36" s="321"/>
      <c r="AV36" s="321"/>
      <c r="AW36" s="321"/>
      <c r="AX36" s="321"/>
      <c r="AY36" s="321"/>
    </row>
    <row r="37" spans="1:51" ht="15.75" customHeight="1" thickBot="1">
      <c r="A37" s="321"/>
      <c r="B37" s="321"/>
      <c r="C37" s="321"/>
      <c r="D37" s="245" t="s">
        <v>79</v>
      </c>
      <c r="E37" s="246"/>
      <c r="F37" s="321"/>
      <c r="G37" s="248"/>
      <c r="H37" s="522"/>
      <c r="I37" s="370" t="s">
        <v>80</v>
      </c>
      <c r="J37" s="364">
        <f>IF($D$19="PRECIO FIJO",IF($D$18="2.0TD",'RESULTADO PRECIO FIJO'!N99,IF($D$18="3.0TD",'RESULTADO PRECIO FIJO'!N123,IF($D$18="6.1TD",""))),"")</f>
        <v>-4.9031022257499899</v>
      </c>
      <c r="K37" s="354">
        <f>IF(J37="","",(((((((((((((((((((((((((((((((((((((((((((((((((((((((((IF(AND($D$18="2.0TD",$E$22&lt;='COMISIONES TOTAL'!$C$4),'COMISIONES TOTAL'!L$4,IF(AND($D$18="2.0TD",$E$22&gt;'COMISIONES TOTAL'!$B$5,$E$22&lt;='COMISIONES TOTAL'!$C$5),'COMISIONES TOTAL'!L$5,IF(AND($D$18="2.0TD",$E$22&gt;'COMISIONES TOTAL'!$B$6,$E$22&lt;='COMISIONES TOTAL'!$C$6),'COMISIONES TOTAL'!L$6,IF(AND($D$18="2.0TD",$E$22&gt;'COMISIONES TOTAL'!$B$7,$E$22&lt;='COMISIONES TOTAL'!$C$7),'COMISIONES TOTAL'!L$7,IF(AND($D$18="2.0TD",$E$22&gt;'COMISIONES TOTAL'!$B$8,$E$22&lt;='COMISIONES TOTAL'!$C$8),'COMISIONES TOTAL'!L$8,IF(AND($D$18="2.0TD",$E$22&lt;='COMISIONES TOTAL'!$C$9),'COMISIONES TOTAL'!L$9,IF(AND($D$18="2.0TD",$E$22&gt;'COMISIONES TOTAL'!$B$10,$E$22&lt;='COMISIONES TOTAL'!$C$10),'COMISIONES TOTAL'!L$10,IF(AND($D$18="2.0TD",$E$22&gt;'COMISIONES TOTAL'!$B$11,$E$22&lt;='COMISIONES TOTAL'!$C$11),'COMISIONES TOTAL'!L$11,IF(AND($D$18="2.0TD",$E$22&gt;'COMISIONES TOTAL'!$B$12,$E$22&lt;='COMISIONES TOTAL'!$C$12),'COMISIONES TOTAL'!L$12,IF(AND($D$18="2.0TD",$E$22&gt;'COMISIONES TOTAL'!$B$13,$E$22&lt;='COMISIONES TOTAL'!$C$13),'COMISIONES TOTAL'!L$13,IF(AND($D$18="3.0TD",$E$22&lt;='COMISIONES TOTAL'!$C$14),'COMISIONES TOTAL'!L$14,IF(AND($D$18="3.0TD",$E$22&gt;'COMISIONES TOTAL'!$B$15,$E$22&lt;='COMISIONES TOTAL'!$C$15,),'COMISIONES TOTAL'!L$15,IF(AND($D$18="3.0TD",$E$22&gt;'COMISIONES TOTAL'!$B$16,$E$22&lt;='COMISIONES TOTAL'!$C$16),'COMISIONES TOTAL'!L$16,IF(AND($D$18="3.0TD",$E$22&gt;'COMISIONES TOTAL'!$B$17,$E$22&lt;='COMISIONES TOTAL'!$C$17),'COMISIONES TOTAL'!L$17,IF(AND($D$18="3.0TD",$E$22&gt;'COMISIONES TOTAL'!$B$18,$E$22&lt;='COMISIONES TOTAL'!$C$18),'COMISIONES TOTAL'!L$18,IF(AND($D$18="3.0TD",$E$22&gt;'COMISIONES TOTAL'!$B$19,$E$22&lt;='COMISIONES TOTAL'!$C$19),'COMISIONES TOTAL'!L$19,IF(AND($D$18="3.0TD",$E$22&gt;'COMISIONES TOTAL'!$B$20,$E$22&lt;='COMISIONES TOTAL'!$C$20),'COMISIONES TOTAL'!L$20,IF(AND($D$18="3.0TD",$E$22&gt;'COMISIONES TOTAL'!$B$21,$E$22&lt;='COMISIONES TOTAL'!$C$21),'COMISIONES TOTAL'!L$21,IF(AND($D$18="3.0TD",$E$22&gt;'COMISIONES TOTAL'!$B$22,$E$22&lt;='COMISIONES TOTAL'!$C$22),'COMISIONES TOTAL'!L$22,IF(AND($D$18="3.0TD",$E$22&gt;'COMISIONES TOTAL'!$B$23,$E$22&lt;='COMISIONES TOTAL'!$C$23),'COMISIONES TOTAL'!L$23,IF(AND($D$18="3.0TD",$E$22&gt;'COMISIONES TOTAL'!$B$24,$E$22&lt;='COMISIONES TOTAL'!$C$24),'COMISIONES TOTAL'!L$24,IF(AND($D$18="3.0TD",$E$22&gt;'COMISIONES TOTAL'!$B$25,$E$22&lt;='COMISIONES TOTAL'!$C$25),'COMISIONES TOTAL'!L$25,IF(AND($D$18="3.0TD",$E$22&gt;'COMISIONES TOTAL'!$B$26,$E$22&lt;='COMISIONES TOTAL'!$C$26),'COMISIONES TOTAL'!L$26,IF(AND($D$18="3.0TD",$E$22&gt;'COMISIONES TOTAL'!$B$27,$E$22&lt;='COMISIONES TOTAL'!$C$27),'COMISIONES TOTAL'!L$27,IF(AND($D$18="3.0TD",$E$22&gt;'COMISIONES TOTAL'!$B$28,$E$22&lt;='COMISIONES TOTAL'!$C$28),'COMISIONES TOTAL'!L$28,IF(AND($D$18="3.0TD",$E$22&gt;'COMISIONES TOTAL'!$B$29,$E$22&lt;='COMISIONES TOTAL'!$C$29),'COMISIONES TOTAL'!L$29,IF(AND($D$18="6.1TD",$E$22&lt;='COMISIONES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135.30000000000001</v>
      </c>
      <c r="N37" s="437"/>
      <c r="O37" s="237" t="s">
        <v>81</v>
      </c>
      <c r="P37" s="432" t="str">
        <f>IF(D19="INDEXADO",IF($D$18="2.0TD",'RESULTADO INDEXADO'!L49,IF($D$18="3.0TD",'RESULTADO INDEXADO'!L65,"")),"")</f>
        <v/>
      </c>
      <c r="Q37" s="354" t="str">
        <f>IF(P37="","",(((((((((((((((((((((((((((((((((((((((((((((((((((((IF(AND($D$18="2.0TD",$E$22&lt;='COMISIONES ALDRO'!$C$4,$E$25&lt;10),'COMISIONES ALDRO'!S$4,IF(AND($D$18="2.0TD",$E$22&gt;'COMISIONES ALDRO'!$B$5,$E$22&lt;='COMISIONES ALDRO'!$C$5,$E$25&lt;10),'COMISIONES ALDRO'!S$5,IF(AND($D$18="2.0TD",$E$22&gt;'COMISIONES ALDRO'!$B$6,$E$22&lt;='COMISIONES ALDRO'!$C$6,$E$25&lt;10),'COMISIONES ALDRO'!S$6,IF(AND($D$18="2.0TD",$E$22&gt;'COMISIONES ALDRO'!$B$7,$E$22&lt;='COMISIONES ALDRO'!$C$7,$E$25&lt;10),'COMISIONES ALDRO'!S$7,IF(AND($D$18="2.0TD",$E$22&gt;'COMISIONES ALDRO'!$B$8,$E$22&lt;='COMISIONES ALDRO'!$C$8,$E$25&lt;10),'COMISIONES ALDRO'!S$8,IF(AND($D$18="2.0TD",$E$22&lt;='COMISIONES ALDRO'!$C$9,$E$25&lt;10),'COMISIONES ALDRO'!S$9,IF(AND($D$18="2.0TD",$E$22&gt;'COMISIONES ALDRO'!$B$10,$E$22&lt;='COMISIONES ALDRO'!$C$10,$E$25&lt;10),'COMISIONES ALDRO'!S$10,IF(AND($D$18="2.0TD",$E$22&gt;'COMISIONES ALDRO'!$B$11,$E$22&lt;='COMISIONES ALDRO'!$C$11,$E$25&lt;10),'COMISIONES ALDRO'!S$11,IF(AND($D$18="2.0TD",$E$22&gt;'COMISIONES ALDRO'!$B$12,$E$22&lt;='COMISIONES ALDRO'!$C$12,$E$25&gt;10),'COMISIONES ALDRO'!S$12,IF(AND($D$18="2.0TD",$E$22&gt;'COMISIONES ALDRO'!$B$13,$E$22&lt;='COMISIONES ALDRO'!$C$13,$E$25&gt;10),'COMISIONES ALDRO'!S$13,IF(AND($D$18="2.0TD",$E$22&gt;'COMISIONES ALDRO'!$B$14,$E$22&lt;='COMISIONES ALDRO'!$C$14,$E$25&gt;10),'COMISIONES ALDRO'!S$14,IF(AND($D$18="2.0TD",$E$22&gt;'COMISIONES ALDRO'!$B$15,$E$22&lt;='COMISIONES ALDRO'!$C$15,$E$25&gt;10),'COMISIONES ALDRO'!S$15,IF(AND($D$18="2.0TD",$E$22&gt;'COMISIONES ALDRO'!$B$16,$E$22&lt;='COMISIONES ALDRO'!$C$16,$E$25&gt;10),'COMISIONES ALDRO'!S$16,IF(AND($D$18="2.0TD",$E$22&gt;'COMISIONES ALDRO'!$B$17,$E$22&lt;='COMISIONES ALDRO'!$C$17,$E$25&gt;10),'COMISIONES ALDRO'!S$17,IF(AND($D$18="2.0TD",$E$22&gt;'COMISIONES ALDRO'!$B$18,$E$22&lt;='COMISIONES ALDRO'!$C$18,$E$25&gt;10),'COMISIONES ALDRO'!S$18,IF(AND($D$18="2.0TD",$E$22&gt;'COMISIONES ALDRO'!$B$19,$E$22&lt;='COMISIONES ALDRO'!$C$19,$E$25&gt;10),'COMISIONES ALDRO'!S$19,IF(AND($D$18="2.0TD",$E$22&gt;'COMISIONES ALDRO'!$B$20,$E$22&lt;='COMISIONES ALDRO'!$C$20,$E$25&gt;10),'COMISIONES ALDRO'!S$20,IF(AND($D$18="2.0TD",$E$22&gt;'COMISIONES ALDRO'!$B$21,$E$22&lt;='COMISIONES ALDRO'!$C$21,$E$25&gt;10),'COMISIONES ALDRO'!S$21,IF(AND($D$18="2.0TD",$E$22&gt;'COMISIONES ALDRO'!$B$22,$E$22&lt;='COMISIONES ALDRO'!$C$22,$E$25&gt;10),'COMISIONES ALDRO'!S$22,IF(AND($D$18="3.0TD",$E$22&lt;='COMISIONES ALDRO'!$C$23),'COMISIONES ALDRO'!S$23,IF(AND($D$18="3.0TD",$E$22&gt;'COMISIONES ALDRO'!$B$24,$E$22&lt;='COMISIONES ALDRO'!$C$24),'COMISIONES ALDRO'!S$24,IF(AND($D$18="3.0TD",$E$22&gt;'COMISIONES ALDRO'!$B$25,$E$22&lt;='COMISIONES ALDRO'!$C$25),'COMISIONES ALDRO'!S$25,IF(AND($D$18="3.0TD",$E$22&gt;'COMISIONES ALDRO'!$B$26,$E$22&lt;='COMISIONES ALDRO'!$C$26),'COMISIONES ALDRO'!S$26,IF(AND($D$18="3.0TD",$E$22&gt;'COMISIONES ALDRO'!$B$27,$E$22&lt;='COMISIONES ALDRO'!$C$27),'COMISIONES ALDRO'!S$27,IF(AND($D$18="3.0TD",$E$22&gt;'COMISIONES ALDRO'!$B$28,$E$22&lt;='COMISIONES ALDRO'!$C$28),'COMISIONES ALDRO'!S$28,IF(AND($D$18="3.0TD",$E$22&gt;'COMISIONES ALDRO'!$B$29,$E$22&lt;='COMISIONES ALDRO'!$C$29),'COMISIONES ALDRO'!S$29,IF(AND($D$18="3.0TD",$E$22&gt;'COMISIONES ALDRO'!$B$30,$E$22&lt;='COMISIONES ALDRO'!$C$30),'COMISIONES ALDRO'!S$30,IF(AND($D$18="3.0TD",$E$22&gt;'COMISIONES ALDRO'!$B$31,$E$22&lt;='COMISIONES ALDRO'!$C$31),'COMISIONES ALDRO'!S$31,IF(AND($D$18="3.0TD",$E$22&gt;'COMISIONES ALDRO'!$B$32,$E$22&lt;='COMISIONES ALDRO'!$C$32),'COMISIONES ALDRO'!S$32,IF(AND($D$18="3.0TD",$E$22&gt;'COMISIONES ALDRO'!$B$33,$E$22&lt;='COMISIONES ALDRO'!$C$33),'COMISIONES ALDRO'!S$33,IF(AND($D$18="3.0TD",$E$22&gt;'COMISIONES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ALDRO'!S$23,IF(AND($D$18="6.1TD",$E$22&gt;'COMISIONES ALDRO'!$B$24,$E$22&lt;='COMISIONES ALDRO'!$C$24),'COMISIONES ALDRO'!S$24,IF(AND($D$18="6.1TD",$E$22&gt;'COMISIONES ALDRO'!$B$25,$E$22&lt;='COMISIONES ALDRO'!$C$25),'COMISIONES ALDRO'!S$25,IF(AND($D$18="6.1TD",$E$22&gt;'COMISIONES ALDRO'!$B$26,$E$22&lt;='COMISIONES ALDRO'!$C$26),'COMISIONES ALDRO'!S$26,IF(AND($D$18="6.1TD",$E$22&gt;'COMISIONES ALDRO'!$B$27,$E$22&lt;='COMISIONES ALDRO'!$C$27),'COMISIONES ALDRO'!S$27,IF(AND($D$18="6.1TD",$E$22&gt;'COMISIONES ALDRO'!$B$28,$E$22&lt;='COMISIONES ALDRO'!$C$28),'COMISIONES ALDRO'!S$28,IF(AND($D$18="6.1TD",$E$22&gt;'COMISIONES ALDRO'!$B$29,$E$22&lt;='COMISIONES ALDRO'!$C$29),'COMISIONES ALDRO'!S$29,IF(AND($D$18="6.1TD",$E$22&gt;'COMISIONES ALDRO'!$B$30,$E$22&lt;='COMISIONES ALDRO'!$C$30),'COMISIONES ALDRO'!S$30,IF(AND($D$18="6.1TD",$E$22&gt;'COMISIONES ALDRO'!$B$31,$E$22&lt;='COMISIONES ALDRO'!$C$31),'COMISIONES ALDRO'!S$31,IF(AND($D$18="6.1TD",$E$22&gt;'COMISIONES ALDRO'!$B$32,$E$22&lt;='COMISIONES ALDRO'!$C$32),'COMISIONES ALDRO'!S$32,IF(AND($D$18="6.1TD",$E$22&gt;'COMISIONES ALDRO'!$B$33,$E$22&lt;='COMISIONES ALDRO'!$C$33),'COMISIONES ALDRO'!S$33,IF(AND($D$18="6.1TD",$E$22&gt;'COMISIONES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7" s="270"/>
      <c r="S37" s="321"/>
      <c r="T37" s="321"/>
      <c r="U37" s="321"/>
      <c r="V37" s="321"/>
      <c r="W37" s="321"/>
      <c r="X37" s="321"/>
      <c r="Y37" s="321"/>
      <c r="Z37" s="321"/>
      <c r="AA37" s="321"/>
      <c r="AB37" s="321"/>
      <c r="AC37" s="321"/>
      <c r="AD37" s="321"/>
      <c r="AE37" s="321"/>
      <c r="AF37" s="321"/>
      <c r="AG37" s="321"/>
      <c r="AH37" s="321"/>
      <c r="AI37" s="321"/>
      <c r="AJ37" s="321"/>
      <c r="AK37" s="321"/>
      <c r="AL37" s="321"/>
      <c r="AM37" s="321"/>
      <c r="AN37" s="321"/>
      <c r="AO37" s="321"/>
      <c r="AP37" s="321"/>
      <c r="AQ37" s="321"/>
      <c r="AR37" s="321"/>
      <c r="AS37" s="321"/>
      <c r="AT37" s="321"/>
      <c r="AU37" s="321"/>
      <c r="AV37" s="321"/>
      <c r="AW37" s="321"/>
      <c r="AX37" s="321"/>
      <c r="AY37" s="321"/>
    </row>
    <row r="38" spans="1:51" ht="15.6">
      <c r="A38" s="321"/>
      <c r="B38" s="321"/>
      <c r="C38" s="321"/>
      <c r="D38" s="321"/>
      <c r="E38" s="321"/>
      <c r="F38" s="321"/>
      <c r="G38" s="248"/>
      <c r="H38" s="522"/>
      <c r="I38" s="371" t="s">
        <v>82</v>
      </c>
      <c r="J38" s="364">
        <f>IF($D$19="PRECIO FIJO",IF($D$18="2.0TD",'RESULTADO PRECIO FIJO'!N107,IF($D$18="3.0TD",'RESULTADO PRECIO FIJO'!N131,IF($D$18="6.1TD",""))),"")</f>
        <v>5.7415877874802561</v>
      </c>
      <c r="K38" s="354">
        <f>IF(J38="","",(((((((((((((((((((((((((((((((((((((((((((((((((((((((((IF(AND($D$18="2.0TD",$E$22&lt;='COMISIONES TOTAL'!$C$4),'COMISIONES TOTAL'!M$4,IF(AND($D$18="2.0TD",$E$22&gt;'COMISIONES TOTAL'!$B$5,$E$22&lt;='COMISIONES TOTAL'!$C$5),'COMISIONES TOTAL'!M$5,IF(AND($D$18="2.0TD",$E$22&gt;'COMISIONES TOTAL'!$B$6,$E$22&lt;='COMISIONES TOTAL'!$C$6),'COMISIONES TOTAL'!M$6,IF(AND($D$18="2.0TD",$E$22&gt;'COMISIONES TOTAL'!$B$7,$E$22&lt;='COMISIONES TOTAL'!$C$7),'COMISIONES TOTAL'!M$7,IF(AND($D$18="2.0TD",$E$22&gt;'COMISIONES TOTAL'!$B$8,$E$22&lt;='COMISIONES TOTAL'!$C$8),'COMISIONES TOTAL'!M$8,IF(AND($D$18="2.0TD",$E$22&lt;='COMISIONES TOTAL'!$C$9),'COMISIONES TOTAL'!M$9,IF(AND($D$18="2.0TD",$E$22&gt;'COMISIONES TOTAL'!$B$10,$E$22&lt;='COMISIONES TOTAL'!$C$10),'COMISIONES TOTAL'!M$10,IF(AND($D$18="2.0TD",$E$22&gt;'COMISIONES TOTAL'!$B$11,$E$22&lt;='COMISIONES TOTAL'!$C$11),'COMISIONES TOTAL'!M$11,IF(AND($D$18="2.0TD",$E$22&gt;'COMISIONES TOTAL'!$B$12,$E$22&lt;='COMISIONES TOTAL'!$C$12),'COMISIONES TOTAL'!M$12,IF(AND($D$18="2.0TD",$E$22&gt;'COMISIONES TOTAL'!$B$13,$E$22&lt;='COMISIONES TOTAL'!$C$13),'COMISIONES TOTAL'!M$13,IF(AND($D$18="3.0TD",$E$22&lt;='COMISIONES TOTAL'!$C$14),'COMISIONES TOTAL'!M$14,IF(AND($D$18="3.0TD",$E$22&gt;'COMISIONES TOTAL'!$B$15,$E$22&lt;='COMISIONES TOTAL'!$C$15,),'COMISIONES TOTAL'!M$15,IF(AND($D$18="3.0TD",$E$22&gt;'COMISIONES TOTAL'!$B$16,$E$22&lt;='COMISIONES TOTAL'!$C$16),'COMISIONES TOTAL'!M$16,IF(AND($D$18="3.0TD",$E$22&gt;'COMISIONES TOTAL'!$B$17,$E$22&lt;='COMISIONES TOTAL'!$C$17),'COMISIONES TOTAL'!M$17,IF(AND($D$18="3.0TD",$E$22&gt;'COMISIONES TOTAL'!$B$18,$E$22&lt;='COMISIONES TOTAL'!$C$18),'COMISIONES TOTAL'!M$18,IF(AND($D$18="3.0TD",$E$22&gt;'COMISIONES TOTAL'!$B$19,$E$22&lt;='COMISIONES TOTAL'!$C$19),'COMISIONES TOTAL'!M$19,IF(AND($D$18="3.0TD",$E$22&gt;'COMISIONES TOTAL'!$B$20,$E$22&lt;='COMISIONES TOTAL'!$C$20),'COMISIONES TOTAL'!M$20,IF(AND($D$18="3.0TD",$E$22&gt;'COMISIONES TOTAL'!$B$21,$E$22&lt;='COMISIONES TOTAL'!$C$21),'COMISIONES TOTAL'!M$21,IF(AND($D$18="3.0TD",$E$22&gt;'COMISIONES TOTAL'!$B$22,$E$22&lt;='COMISIONES TOTAL'!$C$22),'COMISIONES TOTAL'!M$22,IF(AND($D$18="3.0TD",$E$22&gt;'COMISIONES TOTAL'!$B$23,$E$22&lt;='COMISIONES TOTAL'!$C$23),'COMISIONES TOTAL'!M$23,IF(AND($D$18="3.0TD",$E$22&gt;'COMISIONES TOTAL'!$B$24,$E$22&lt;='COMISIONES TOTAL'!$C$24),'COMISIONES TOTAL'!M$24,IF(AND($D$18="3.0TD",$E$22&gt;'COMISIONES TOTAL'!$B$25,$E$22&lt;='COMISIONES TOTAL'!$C$25),'COMISIONES TOTAL'!M$25,IF(AND($D$18="3.0TD",$E$22&gt;'COMISIONES TOTAL'!$B$26,$E$22&lt;='COMISIONES TOTAL'!$C$26),'COMISIONES TOTAL'!M$26,IF(AND($D$18="3.0TD",$E$22&gt;'COMISIONES TOTAL'!$B$27,$E$22&lt;='COMISIONES TOTAL'!$C$27),'COMISIONES TOTAL'!M$27,IF(AND($D$18="3.0TD",$E$22&gt;'COMISIONES TOTAL'!$B$28,$E$22&lt;='COMISIONES TOTAL'!$C$28),'COMISIONES TOTAL'!M$28,IF(AND($D$18="3.0TD",$E$22&gt;'COMISIONES TOTAL'!$B$29,$E$22&lt;='COMISIONES TOTAL'!$C$29),'COMISIONES TOTAL'!M$29,IF(AND($D$18="6.1TD",$E$22&lt;='COMISIONES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37.72</v>
      </c>
      <c r="N38" s="437"/>
      <c r="O38" s="236" t="s">
        <v>22</v>
      </c>
      <c r="P38" s="432" t="str">
        <f>IF(D19="INDEXADO",IF($D$18="2.0TD",'RESULTADO INDEXADO'!L51,IF($D$18="3.0TD",'RESULTADO INDEXADO'!L67,"")),"")</f>
        <v/>
      </c>
      <c r="Q38" s="354" t="str">
        <f>IF(P38="","",IF(D18="2.0TD",'COMISIONES ALDRO'!T4*C1,IF(D18="3.0TD",'COMISIONES ALDRO'!T23*C1,"")))</f>
        <v/>
      </c>
      <c r="R38" s="270"/>
      <c r="S38" s="321"/>
      <c r="T38" s="321"/>
      <c r="U38" s="321"/>
      <c r="V38" s="321"/>
      <c r="W38" s="321"/>
      <c r="X38" s="321"/>
      <c r="Y38" s="321"/>
      <c r="Z38" s="321"/>
      <c r="AA38" s="321"/>
      <c r="AB38" s="321"/>
      <c r="AC38" s="321"/>
      <c r="AD38" s="321"/>
      <c r="AE38" s="321"/>
      <c r="AF38" s="321"/>
      <c r="AG38" s="321"/>
      <c r="AH38" s="321"/>
      <c r="AI38" s="321"/>
      <c r="AJ38" s="321"/>
      <c r="AK38" s="321"/>
      <c r="AL38" s="321"/>
      <c r="AM38" s="321"/>
      <c r="AN38" s="321"/>
      <c r="AO38" s="321"/>
      <c r="AP38" s="321"/>
      <c r="AQ38" s="321"/>
      <c r="AR38" s="321"/>
      <c r="AS38" s="321"/>
      <c r="AT38" s="321"/>
      <c r="AU38" s="321"/>
      <c r="AV38" s="321"/>
      <c r="AW38" s="321"/>
      <c r="AX38" s="321"/>
      <c r="AY38" s="321"/>
    </row>
    <row r="39" spans="1:51" ht="15" customHeight="1" thickBot="1">
      <c r="A39" s="321"/>
      <c r="B39" s="321"/>
      <c r="C39" s="321"/>
      <c r="D39" s="321"/>
      <c r="E39" s="321"/>
      <c r="F39" s="321"/>
      <c r="G39" s="248"/>
      <c r="H39" s="522"/>
      <c r="I39" s="371" t="s">
        <v>83</v>
      </c>
      <c r="J39" s="364">
        <f>IF($D$19="PRECIO FIJO",IF($D$18="2.0TD",'RESULTADO PRECIO FIJO'!N109,IF($D$18="3.0TD",'RESULTADO PRECIO FIJO'!N133,IF($D$18="6.1TD",""))),"")</f>
        <v>4.5486427374802361</v>
      </c>
      <c r="K39" s="354">
        <f>IF(J39="","",(((((((((((((((((((((((((((((((((((((((((((((((((((((((((IF(AND($D$18="2.0TD",$E$22&lt;='COMISIONES TOTAL'!$C$4),'COMISIONES TOTAL'!N$4,IF(AND($D$18="2.0TD",$E$22&gt;'COMISIONES TOTAL'!$B$5,$E$22&lt;='COMISIONES TOTAL'!$C$5),'COMISIONES TOTAL'!N$5,IF(AND($D$18="2.0TD",$E$22&gt;'COMISIONES TOTAL'!$B$6,$E$22&lt;='COMISIONES TOTAL'!$C$6),'COMISIONES TOTAL'!N$6,IF(AND($D$18="2.0TD",$E$22&gt;'COMISIONES TOTAL'!$B$7,$E$22&lt;='COMISIONES TOTAL'!$C$7),'COMISIONES TOTAL'!N$7,IF(AND($D$18="2.0TD",$E$22&gt;'COMISIONES TOTAL'!$B$8,$E$22&lt;='COMISIONES TOTAL'!$C$8),'COMISIONES TOTAL'!N$8,IF(AND($D$18="2.0TD",$E$22&lt;='COMISIONES TOTAL'!$C$9),'COMISIONES TOTAL'!N$9,IF(AND($D$18="2.0TD",$E$22&gt;'COMISIONES TOTAL'!$B$10,$E$22&lt;='COMISIONES TOTAL'!$C$10),'COMISIONES TOTAL'!N$10,IF(AND($D$18="2.0TD",$E$22&gt;'COMISIONES TOTAL'!$B$11,$E$22&lt;='COMISIONES TOTAL'!$C$11),'COMISIONES TOTAL'!N$11,IF(AND($D$18="2.0TD",$E$22&gt;'COMISIONES TOTAL'!$B$12,$E$22&lt;='COMISIONES TOTAL'!$C$12),'COMISIONES TOTAL'!N$12,IF(AND($D$18="2.0TD",$E$22&gt;'COMISIONES TOTAL'!$B$13,$E$22&lt;='COMISIONES TOTAL'!$C$13),'COMISIONES TOTAL'!N$13,IF(AND($D$18="3.0TD",$E$22&lt;='COMISIONES TOTAL'!$C$14),'COMISIONES TOTAL'!N$14,IF(AND($D$18="3.0TD",$E$22&gt;'COMISIONES TOTAL'!$B$15,$E$22&lt;='COMISIONES TOTAL'!$C$15,),'COMISIONES TOTAL'!N$15,IF(AND($D$18="3.0TD",$E$22&gt;'COMISIONES TOTAL'!$B$16,$E$22&lt;='COMISIONES TOTAL'!$C$16),'COMISIONES TOTAL'!N$16,IF(AND($D$18="3.0TD",$E$22&gt;'COMISIONES TOTAL'!$B$17,$E$22&lt;='COMISIONES TOTAL'!$C$17),'COMISIONES TOTAL'!N$17,IF(AND($D$18="3.0TD",$E$22&gt;'COMISIONES TOTAL'!$B$18,$E$22&lt;='COMISIONES TOTAL'!$C$18),'COMISIONES TOTAL'!N$18,IF(AND($D$18="3.0TD",$E$22&gt;'COMISIONES TOTAL'!$B$19,$E$22&lt;='COMISIONES TOTAL'!$C$19),'COMISIONES TOTAL'!N$19,IF(AND($D$18="3.0TD",$E$22&gt;'COMISIONES TOTAL'!$B$20,$E$22&lt;='COMISIONES TOTAL'!$C$20),'COMISIONES TOTAL'!N$20,IF(AND($D$18="3.0TD",$E$22&gt;'COMISIONES TOTAL'!$B$21,$E$22&lt;='COMISIONES TOTAL'!$C$21),'COMISIONES TOTAL'!N$21,IF(AND($D$18="3.0TD",$E$22&gt;'COMISIONES TOTAL'!$B$22,$E$22&lt;='COMISIONES TOTAL'!$C$22),'COMISIONES TOTAL'!N$22,IF(AND($D$18="3.0TD",$E$22&gt;'COMISIONES TOTAL'!$B$23,$E$22&lt;='COMISIONES TOTAL'!$C$23),'COMISIONES TOTAL'!N$23,IF(AND($D$18="3.0TD",$E$22&gt;'COMISIONES TOTAL'!$B$24,$E$22&lt;='COMISIONES TOTAL'!$C$24),'COMISIONES TOTAL'!N$24,IF(AND($D$18="3.0TD",$E$22&gt;'COMISIONES TOTAL'!$B$25,$E$22&lt;='COMISIONES TOTAL'!$C$25),'COMISIONES TOTAL'!N$25,IF(AND($D$18="3.0TD",$E$22&gt;'COMISIONES TOTAL'!$B$26,$E$22&lt;='COMISIONES TOTAL'!$C$26),'COMISIONES TOTAL'!N$26,IF(AND($D$18="3.0TD",$E$22&gt;'COMISIONES TOTAL'!$B$27,$E$22&lt;='COMISIONES TOTAL'!$C$27),'COMISIONES TOTAL'!N$27,IF(AND($D$18="3.0TD",$E$22&gt;'COMISIONES TOTAL'!$B$28,$E$22&lt;='COMISIONES TOTAL'!$C$28),'COMISIONES TOTAL'!N$28,IF(AND($D$18="3.0TD",$E$22&gt;'COMISIONES TOTAL'!$B$29,$E$22&lt;='COMISIONES TOTAL'!$C$29),'COMISIONES TOTAL'!N$29,IF(AND($D$18="6.1TD",$E$22&lt;='COMISIONES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48.38</v>
      </c>
      <c r="N39" s="438"/>
      <c r="O39" s="291" t="s">
        <v>84</v>
      </c>
      <c r="P39" s="273" t="str">
        <f>IF(D19="INDEXADO",IF($D$18="2.0TD",'RESULTADO INDEXADO'!L53,IF($D$18="3.0TD",'RESULTADO INDEXADO'!L69,"")),"")</f>
        <v/>
      </c>
      <c r="Q39" s="239" t="str">
        <f>IF(P39="","",IF(D18="2.0TD",'COMISIONES ALDRO'!U4*C1,IF(D18="3.0TD",'COMISIONES ALDRO'!U23*C1,"")))</f>
        <v/>
      </c>
      <c r="R39" s="270"/>
      <c r="S39" s="321"/>
      <c r="T39" s="321"/>
      <c r="U39" s="321"/>
      <c r="V39" s="321"/>
      <c r="W39" s="321"/>
      <c r="X39" s="321"/>
      <c r="Y39" s="321"/>
      <c r="Z39" s="321"/>
      <c r="AA39" s="321"/>
      <c r="AB39" s="321"/>
      <c r="AC39" s="321"/>
      <c r="AD39" s="321"/>
      <c r="AE39" s="321"/>
      <c r="AF39" s="321"/>
      <c r="AG39" s="321"/>
      <c r="AH39" s="321"/>
      <c r="AI39" s="321"/>
      <c r="AJ39" s="321"/>
      <c r="AK39" s="321"/>
      <c r="AL39" s="321"/>
      <c r="AM39" s="321"/>
      <c r="AN39" s="321"/>
      <c r="AO39" s="321"/>
      <c r="AP39" s="321"/>
      <c r="AQ39" s="321"/>
      <c r="AR39" s="321"/>
      <c r="AS39" s="321"/>
      <c r="AT39" s="321"/>
      <c r="AU39" s="321"/>
      <c r="AV39" s="321"/>
      <c r="AW39" s="321"/>
      <c r="AX39" s="321"/>
      <c r="AY39" s="321"/>
    </row>
    <row r="40" spans="1:51" ht="15" thickBot="1">
      <c r="A40" s="321"/>
      <c r="B40" s="321"/>
      <c r="C40" s="321"/>
      <c r="D40" s="321"/>
      <c r="E40" s="321"/>
      <c r="F40" s="321"/>
      <c r="G40" s="248"/>
      <c r="H40" s="523"/>
      <c r="I40" s="430" t="s">
        <v>85</v>
      </c>
      <c r="J40" s="367">
        <f>IF($D$19="PRECIO FIJO",IF($D$18="2.0TD",'RESULTADO PRECIO FIJO'!N111,IF($D$18="3.0TD",'RESULTADO PRECIO FIJO'!N135,IF($D$18="6.1TD",""))),"")</f>
        <v>4.1509943874802531</v>
      </c>
      <c r="K40" s="349">
        <f>IF(J40="","",(((((((((((((((((((((((((((((((((((((((((((((((((((((((((IF(AND($D$18="2.0TD",$E$22&lt;='COMISIONES TOTAL'!$C$4),'COMISIONES TOTAL'!O$4,IF(AND($D$18="2.0TD",$E$22&gt;'COMISIONES TOTAL'!$B$5,$E$22&lt;='COMISIONES TOTAL'!$C$5),'COMISIONES TOTAL'!O$5,IF(AND($D$18="2.0TD",$E$22&gt;'COMISIONES TOTAL'!$B$6,$E$22&lt;='COMISIONES TOTAL'!$C$6),'COMISIONES TOTAL'!O$6,IF(AND($D$18="2.0TD",$E$22&gt;'COMISIONES TOTAL'!$B$7,$E$22&lt;='COMISIONES TOTAL'!$C$7),'COMISIONES TOTAL'!O$7,IF(AND($D$18="2.0TD",$E$22&gt;'COMISIONES TOTAL'!$B$8,$E$22&lt;='COMISIONES TOTAL'!$C$8),'COMISIONES TOTAL'!O$8,IF(AND($D$18="2.0TD",$E$22&lt;='COMISIONES TOTAL'!$C$9),'COMISIONES TOTAL'!O$9,IF(AND($D$18="2.0TD",$E$22&gt;'COMISIONES TOTAL'!$B$10,$E$22&lt;='COMISIONES TOTAL'!$C$10),'COMISIONES TOTAL'!O$10,IF(AND($D$18="2.0TD",$E$22&gt;'COMISIONES TOTAL'!$B$11,$E$22&lt;='COMISIONES TOTAL'!$C$11),'COMISIONES TOTAL'!O$11,IF(AND($D$18="2.0TD",$E$22&gt;'COMISIONES TOTAL'!$B$12,$E$22&lt;='COMISIONES TOTAL'!$C$12),'COMISIONES TOTAL'!O$12,IF(AND($D$18="2.0TD",$E$22&gt;'COMISIONES TOTAL'!$B$13,$E$22&lt;='COMISIONES TOTAL'!$C$13),'COMISIONES TOTAL'!O$13,IF(AND($D$18="3.0TD",$E$22&lt;='COMISIONES TOTAL'!$C$14),'COMISIONES TOTAL'!O$14,IF(AND($D$18="3.0TD",$E$22&gt;'COMISIONES TOTAL'!$B$15,$E$22&lt;='COMISIONES TOTAL'!$C$15,),'COMISIONES TOTAL'!O$15,IF(AND($D$18="3.0TD",$E$22&gt;'COMISIONES TOTAL'!$B$16,$E$22&lt;='COMISIONES TOTAL'!$C$16),'COMISIONES TOTAL'!O$16,IF(AND($D$18="3.0TD",$E$22&gt;'COMISIONES TOTAL'!$B$17,$E$22&lt;='COMISIONES TOTAL'!$C$17),'COMISIONES TOTAL'!O$17,IF(AND($D$18="3.0TD",$E$22&gt;'COMISIONES TOTAL'!$B$18,$E$22&lt;='COMISIONES TOTAL'!$C$18),'COMISIONES TOTAL'!O$18,IF(AND($D$18="3.0TD",$E$22&gt;'COMISIONES TOTAL'!$B$19,$E$22&lt;='COMISIONES TOTAL'!$C$19),'COMISIONES TOTAL'!O$19,IF(AND($D$18="3.0TD",$E$22&gt;'COMISIONES TOTAL'!$B$20,$E$22&lt;='COMISIONES TOTAL'!$C$20),'COMISIONES TOTAL'!O$20,IF(AND($D$18="3.0TD",$E$22&gt;'COMISIONES TOTAL'!$B$21,$E$22&lt;='COMISIONES TOTAL'!$C$21),'COMISIONES TOTAL'!O$21,IF(AND($D$18="3.0TD",$E$22&gt;'COMISIONES TOTAL'!$B$22,$E$22&lt;='COMISIONES TOTAL'!$C$22),'COMISIONES TOTAL'!O$22,IF(AND($D$18="3.0TD",$E$22&gt;'COMISIONES TOTAL'!$B$23,$E$22&lt;='COMISIONES TOTAL'!$C$23),'COMISIONES TOTAL'!O$23,IF(AND($D$18="3.0TD",$E$22&gt;'COMISIONES TOTAL'!$B$24,$E$22&lt;='COMISIONES TOTAL'!$C$24),'COMISIONES TOTAL'!O$24,IF(AND($D$18="3.0TD",$E$22&gt;'COMISIONES TOTAL'!$B$25,$E$22&lt;='COMISIONES TOTAL'!$C$25),'COMISIONES TOTAL'!O$25,IF(AND($D$18="3.0TD",$E$22&gt;'COMISIONES TOTAL'!$B$26,$E$22&lt;='COMISIONES TOTAL'!$C$26),'COMISIONES TOTAL'!O$26,IF(AND($D$18="3.0TD",$E$22&gt;'COMISIONES TOTAL'!$B$27,$E$22&lt;='COMISIONES TOTAL'!$C$27),'COMISIONES TOTAL'!O$27,IF(AND($D$18="3.0TD",$E$22&gt;'COMISIONES TOTAL'!$B$28,$E$22&lt;='COMISIONES TOTAL'!$C$28),'COMISIONES TOTAL'!O$28,IF(AND($D$18="3.0TD",$E$22&gt;'COMISIONES TOTAL'!$B$29,$E$22&lt;='COMISIONES TOTAL'!$C$29),'COMISIONES TOTAL'!O$29,IF(AND($D$18="6.1TD",$E$22&lt;='COMISIONES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52.48</v>
      </c>
      <c r="R40" s="270"/>
      <c r="S40" s="321"/>
      <c r="T40" s="321"/>
      <c r="U40" s="321"/>
      <c r="V40" s="321"/>
      <c r="W40" s="321"/>
      <c r="X40" s="321"/>
      <c r="Y40" s="321"/>
      <c r="Z40" s="321"/>
      <c r="AA40" s="321"/>
      <c r="AB40" s="321"/>
      <c r="AC40" s="321"/>
      <c r="AD40" s="321"/>
      <c r="AE40" s="321"/>
      <c r="AF40" s="321"/>
      <c r="AG40" s="321"/>
      <c r="AH40" s="321"/>
      <c r="AI40" s="321"/>
      <c r="AJ40" s="321"/>
      <c r="AK40" s="321"/>
      <c r="AL40" s="321"/>
      <c r="AM40" s="321"/>
      <c r="AN40" s="321"/>
      <c r="AO40" s="321"/>
      <c r="AP40" s="321"/>
      <c r="AQ40" s="321"/>
      <c r="AR40" s="321"/>
      <c r="AS40" s="321"/>
      <c r="AT40" s="321"/>
      <c r="AU40" s="321"/>
      <c r="AV40" s="321"/>
      <c r="AW40" s="321"/>
      <c r="AX40" s="321"/>
      <c r="AY40" s="321"/>
    </row>
    <row r="41" spans="1:51">
      <c r="A41" s="321"/>
      <c r="B41" s="321"/>
      <c r="C41" s="321"/>
      <c r="D41" s="321"/>
      <c r="E41" s="321"/>
      <c r="F41" s="321"/>
      <c r="G41" s="248"/>
      <c r="H41" s="537" t="s">
        <v>48</v>
      </c>
      <c r="I41" s="423" t="str">
        <f>'RESULTADO PRECIO FIJO'!D156</f>
        <v>ESTABLE</v>
      </c>
      <c r="J41" s="376">
        <f>IF($D$19="PRECIO FIJO",IF($D$18="2.0TD",'RESULTADO PRECIO FIJO'!N157,IF($D$18="3.0TD",'RESULTADO PRECIO FIJO'!N159,"")),"")</f>
        <v>17.798396372555672</v>
      </c>
      <c r="K41" s="328">
        <f>IF(J41="","",IF($D$18="2.0TD",60*$C$1,IF($D$18="3.0TD",300*$C$1,"")))</f>
        <v>60</v>
      </c>
      <c r="R41" s="270"/>
      <c r="S41" s="321"/>
      <c r="T41" s="321"/>
      <c r="U41" s="321"/>
      <c r="V41" s="321"/>
      <c r="W41" s="321"/>
      <c r="X41" s="321"/>
      <c r="Y41" s="321"/>
      <c r="Z41" s="321"/>
      <c r="AA41" s="321"/>
      <c r="AB41" s="321"/>
      <c r="AC41" s="321"/>
      <c r="AD41" s="321"/>
      <c r="AE41" s="321"/>
      <c r="AF41" s="321"/>
      <c r="AG41" s="321"/>
      <c r="AH41" s="321"/>
      <c r="AI41" s="321"/>
      <c r="AJ41" s="321"/>
      <c r="AK41" s="321"/>
      <c r="AL41" s="321"/>
      <c r="AM41" s="321"/>
      <c r="AN41" s="321"/>
      <c r="AO41" s="321"/>
      <c r="AP41" s="321"/>
      <c r="AQ41" s="321"/>
      <c r="AR41" s="321"/>
      <c r="AS41" s="321"/>
      <c r="AT41" s="321"/>
      <c r="AU41" s="321"/>
      <c r="AV41" s="321"/>
      <c r="AW41" s="321"/>
      <c r="AX41" s="321"/>
      <c r="AY41" s="321"/>
    </row>
    <row r="42" spans="1:51">
      <c r="A42" s="321"/>
      <c r="B42" s="321"/>
      <c r="C42" s="321"/>
      <c r="D42" s="321"/>
      <c r="E42" s="321"/>
      <c r="F42" s="321"/>
      <c r="G42" s="248"/>
      <c r="H42" s="538"/>
      <c r="I42" s="424" t="str">
        <f>'RESULTADO PRECIO FIJO'!D160</f>
        <v>3 PERIODOS</v>
      </c>
      <c r="J42" s="377">
        <f>IF($D$19="PRECIO FIJO",IF($D$18="2.0TD",'RESULTADO PRECIO FIJO'!N161,""),"")</f>
        <v>4.9891687783912744</v>
      </c>
      <c r="K42" s="354">
        <f>IF(J42="","",IF($D$18="2.0TD",60*$C$1,""))</f>
        <v>60</v>
      </c>
      <c r="R42" s="270"/>
      <c r="S42" s="321"/>
      <c r="T42" s="321"/>
      <c r="U42" s="321"/>
      <c r="V42" s="321"/>
      <c r="W42" s="321"/>
      <c r="X42" s="321"/>
      <c r="Y42" s="321"/>
      <c r="Z42" s="321"/>
      <c r="AA42" s="321"/>
      <c r="AB42" s="321"/>
      <c r="AC42" s="321"/>
      <c r="AD42" s="321"/>
      <c r="AE42" s="321"/>
      <c r="AF42" s="321"/>
      <c r="AG42" s="321"/>
      <c r="AH42" s="321"/>
      <c r="AI42" s="321"/>
      <c r="AJ42" s="321"/>
      <c r="AK42" s="321"/>
      <c r="AL42" s="321"/>
      <c r="AM42" s="321"/>
      <c r="AN42" s="321"/>
      <c r="AO42" s="321"/>
      <c r="AP42" s="321"/>
      <c r="AQ42" s="321"/>
      <c r="AR42" s="321"/>
      <c r="AS42" s="321"/>
      <c r="AT42" s="321"/>
      <c r="AU42" s="321"/>
      <c r="AV42" s="321"/>
      <c r="AW42" s="321"/>
      <c r="AX42" s="321"/>
      <c r="AY42" s="321"/>
    </row>
    <row r="43" spans="1:51" ht="15" customHeight="1" thickBot="1">
      <c r="A43" s="321"/>
      <c r="B43" s="321"/>
      <c r="C43" s="321"/>
      <c r="D43" s="321"/>
      <c r="E43" s="321"/>
      <c r="F43" s="321"/>
      <c r="G43" s="248"/>
      <c r="H43" s="539"/>
      <c r="I43" s="426" t="s">
        <v>86</v>
      </c>
      <c r="J43" s="378" t="str">
        <f>IF($D$19="PRECIO FIJO",IF($D$18="3.0TD",'RESULTADO PRECIO FIJO'!N163,""),"")</f>
        <v/>
      </c>
      <c r="K43" s="239" t="str">
        <f>IF(J43="","",IF($D$18="2.0TD",85*$C$1,IF($D$18="3.0TD",300*$C$1,"")))</f>
        <v/>
      </c>
      <c r="R43" s="270"/>
      <c r="S43" s="321"/>
      <c r="T43" s="321"/>
      <c r="U43" s="321"/>
      <c r="V43" s="321"/>
      <c r="W43" s="321"/>
      <c r="X43" s="321"/>
      <c r="Y43" s="321"/>
      <c r="Z43" s="321"/>
      <c r="AA43" s="321"/>
      <c r="AB43" s="321"/>
      <c r="AC43" s="321"/>
      <c r="AD43" s="321"/>
      <c r="AE43" s="321"/>
      <c r="AF43" s="321"/>
      <c r="AG43" s="321"/>
      <c r="AH43" s="321"/>
      <c r="AI43" s="321"/>
      <c r="AJ43" s="321"/>
      <c r="AK43" s="321"/>
      <c r="AL43" s="321"/>
      <c r="AM43" s="321"/>
      <c r="AN43" s="321"/>
      <c r="AO43" s="321"/>
      <c r="AP43" s="321"/>
      <c r="AQ43" s="321"/>
      <c r="AR43" s="321"/>
      <c r="AS43" s="321"/>
      <c r="AT43" s="321"/>
      <c r="AU43" s="321"/>
      <c r="AV43" s="321"/>
      <c r="AW43" s="321"/>
      <c r="AX43" s="321"/>
      <c r="AY43" s="321"/>
    </row>
    <row r="44" spans="1:51">
      <c r="A44" s="321"/>
      <c r="B44" s="321"/>
      <c r="C44" s="321"/>
      <c r="D44" s="321"/>
      <c r="E44" s="321"/>
      <c r="F44" s="321"/>
      <c r="G44" s="248"/>
      <c r="H44" s="543" t="s">
        <v>44</v>
      </c>
      <c r="I44" s="372" t="s">
        <v>87</v>
      </c>
      <c r="J44" s="366">
        <f>IF(D19="PRECIO FIJO",IF($D$18="2.0TD",'RESULTADO PRECIO FIJO'!N137,""),"")</f>
        <v>-41.423597786741738</v>
      </c>
      <c r="K44" s="304">
        <f>IF(J44="","",IF($D$18="2.0TD",43*C1,""))</f>
        <v>43</v>
      </c>
      <c r="M44" s="366">
        <f>IF(D19="PRECIO FIJO",IF($D$18="2.0TD",'RESULTADO PRECIO FIJO'!N137,""),"")</f>
        <v>-41.423597786741738</v>
      </c>
      <c r="R44" s="270"/>
      <c r="S44" s="321"/>
      <c r="T44" s="321"/>
      <c r="U44" s="321"/>
      <c r="V44" s="321"/>
      <c r="W44" s="321"/>
      <c r="X44" s="321"/>
      <c r="Y44" s="321"/>
      <c r="Z44" s="321"/>
      <c r="AA44" s="321"/>
      <c r="AB44" s="321"/>
      <c r="AC44" s="321"/>
      <c r="AD44" s="321"/>
      <c r="AE44" s="321"/>
      <c r="AF44" s="321"/>
      <c r="AG44" s="321"/>
      <c r="AH44" s="321"/>
      <c r="AI44" s="321"/>
      <c r="AJ44" s="321"/>
      <c r="AK44" s="321"/>
      <c r="AL44" s="321"/>
      <c r="AM44" s="321"/>
      <c r="AN44" s="321"/>
      <c r="AO44" s="321"/>
      <c r="AP44" s="321"/>
      <c r="AQ44" s="321"/>
      <c r="AR44" s="321"/>
      <c r="AS44" s="321"/>
      <c r="AT44" s="321"/>
      <c r="AU44" s="321"/>
      <c r="AV44" s="321"/>
      <c r="AW44" s="321"/>
      <c r="AX44" s="321"/>
      <c r="AY44" s="321"/>
    </row>
    <row r="45" spans="1:51" ht="15" customHeight="1">
      <c r="A45" s="321"/>
      <c r="B45" s="321"/>
      <c r="C45" s="321"/>
      <c r="D45" s="321"/>
      <c r="E45" s="321"/>
      <c r="F45" s="321"/>
      <c r="G45" s="248"/>
      <c r="H45" s="544"/>
      <c r="I45" s="370" t="s">
        <v>45</v>
      </c>
      <c r="J45" s="364">
        <f>IF(D19="PRECIO FIJO",IF($D$18="2.0TD",'RESULTADO PRECIO FIJO'!N139,IF(AND($D$18="3.0TD",OR((AND(E25&gt;15,E25&lt;=30)),(AND(E26&gt;15,E26&lt;=30)),(AND(E27&gt;15,E27&lt;=30)),(AND(E28&gt;15,E28&lt;=30)),(AND(E29&gt;15,E29&lt;=30)),(AND(E30&gt;15,E30&lt;=30)))),'RESULTADO PRECIO FIJO'!N143,IF(AND($D$18="3.0TD",OR((AND(E25&gt;30,E25&lt;=50)),(AND(E26&gt;30,E26&lt;=50)),(AND(E27&gt;30,E27&lt;=50)),(AND(E28&gt;30,E28&lt;=50)),(AND(E29&gt;30,E29&lt;=50)),(AND(E30&gt;30,E30&lt;=50)))),'RESULTADO PRECIO FIJO'!N145,IF(AND($D$18="3.0TD",OR((AND(E25&gt;50,E25&lt;=100)),(AND(E26&gt;50,E26&lt;=100)),(AND(E27&gt;50,E27&lt;=100)),(AND(E28&gt;50,E28&lt;=100)),(AND(E29&gt;50,E29&lt;=100)),(AND(E30&gt;50,E30&lt;=100)))),'RESULTADO PRECIO FIJO'!N147,IF(AND($D$18="3.0TD",OR(E25&gt;100,E26&gt;100,E27&gt;100,E28&gt;100,E29&gt;100,E30&gt;100)),'RESULTADO PRECIO FIJO'!N149,""))))),"")</f>
        <v>17.691976998649025</v>
      </c>
      <c r="K45" s="354">
        <f>IF(J45="","",IF($D$18="2.0TD",43*C1,IF($D$18="3.0TD",290*C1,"")))</f>
        <v>43</v>
      </c>
      <c r="M45" s="19">
        <f>VLOOKUP(D18,'RESULTADO PRECIO FIJO'!E136:O155,10)</f>
        <v>-19.777729148996713</v>
      </c>
      <c r="R45" s="270"/>
      <c r="S45" s="321"/>
      <c r="T45" s="321"/>
      <c r="U45" s="321"/>
      <c r="V45" s="321"/>
      <c r="W45" s="321"/>
      <c r="X45" s="321"/>
      <c r="Y45" s="321"/>
      <c r="Z45" s="321"/>
      <c r="AA45" s="321"/>
      <c r="AB45" s="321"/>
      <c r="AC45" s="321"/>
      <c r="AD45" s="321"/>
      <c r="AE45" s="321"/>
      <c r="AF45" s="321"/>
      <c r="AG45" s="321"/>
      <c r="AH45" s="321"/>
      <c r="AI45" s="321"/>
      <c r="AJ45" s="321"/>
      <c r="AK45" s="321"/>
      <c r="AL45" s="321"/>
      <c r="AM45" s="321"/>
      <c r="AN45" s="321"/>
      <c r="AO45" s="321"/>
      <c r="AP45" s="321"/>
      <c r="AQ45" s="321"/>
      <c r="AR45" s="321"/>
      <c r="AS45" s="321"/>
      <c r="AT45" s="321"/>
      <c r="AU45" s="321"/>
      <c r="AV45" s="321"/>
      <c r="AW45" s="321"/>
      <c r="AX45" s="321"/>
      <c r="AY45" s="321"/>
    </row>
    <row r="46" spans="1:51" ht="15" customHeight="1">
      <c r="A46" s="321"/>
      <c r="B46" s="321"/>
      <c r="C46" s="321"/>
      <c r="D46" s="321"/>
      <c r="E46" s="321"/>
      <c r="F46" s="321"/>
      <c r="G46" s="248"/>
      <c r="H46" s="544"/>
      <c r="I46" s="370" t="s">
        <v>88</v>
      </c>
      <c r="J46" s="364">
        <f>IF(D19="PRECIO FIJO",IF($D$18="2.0TD",'RESULTADO PRECIO FIJO'!N141,""),"")</f>
        <v>-19.777729148996713</v>
      </c>
      <c r="K46" s="354">
        <f>IF(J46="","",IF($D$18="2.0TD",43*C1,""))</f>
        <v>43</v>
      </c>
      <c r="R46" s="270"/>
      <c r="S46" s="321"/>
      <c r="T46" s="321"/>
      <c r="U46" s="321"/>
      <c r="V46" s="321"/>
      <c r="W46" s="321"/>
      <c r="X46" s="321"/>
      <c r="Y46" s="321"/>
      <c r="Z46" s="321"/>
      <c r="AA46" s="321"/>
      <c r="AB46" s="321"/>
      <c r="AC46" s="321"/>
      <c r="AD46" s="321"/>
      <c r="AE46" s="321"/>
      <c r="AF46" s="321"/>
      <c r="AG46" s="321"/>
      <c r="AH46" s="321"/>
      <c r="AI46" s="321"/>
      <c r="AJ46" s="321"/>
      <c r="AK46" s="321"/>
      <c r="AL46" s="321"/>
      <c r="AM46" s="321"/>
      <c r="AN46" s="321"/>
      <c r="AO46" s="321"/>
      <c r="AP46" s="321"/>
      <c r="AQ46" s="321"/>
      <c r="AR46" s="321"/>
      <c r="AS46" s="321"/>
      <c r="AT46" s="321"/>
      <c r="AU46" s="321"/>
      <c r="AV46" s="321"/>
      <c r="AW46" s="321"/>
      <c r="AX46" s="321"/>
      <c r="AY46" s="321"/>
    </row>
    <row r="47" spans="1:51" ht="15" thickBot="1">
      <c r="A47" s="321"/>
      <c r="B47" s="321"/>
      <c r="C47" s="321"/>
      <c r="D47" s="321"/>
      <c r="E47" s="321"/>
      <c r="F47" s="321"/>
      <c r="G47" s="248"/>
      <c r="H47" s="545"/>
      <c r="I47" s="373" t="s">
        <v>89</v>
      </c>
      <c r="J47" s="367">
        <f>IF(D19="PRECIO FIJO",IF($D$18="2.0TD",'RESULTADO PRECIO FIJO'!N151,""),"")</f>
        <v>0.46561387588077707</v>
      </c>
      <c r="K47" s="349">
        <f>IF(J47="","",IF($D$18="2.0TD",43*C1,""))</f>
        <v>43</v>
      </c>
      <c r="R47" s="270"/>
      <c r="S47" s="321"/>
      <c r="T47" s="321"/>
      <c r="U47" s="321"/>
      <c r="V47" s="321"/>
      <c r="W47" s="321"/>
      <c r="X47" s="321"/>
      <c r="Y47" s="321"/>
      <c r="Z47" s="321"/>
      <c r="AA47" s="321"/>
      <c r="AB47" s="321"/>
      <c r="AC47" s="321"/>
      <c r="AD47" s="321"/>
      <c r="AE47" s="321"/>
      <c r="AF47" s="321"/>
      <c r="AG47" s="321"/>
      <c r="AH47" s="321"/>
      <c r="AI47" s="321"/>
      <c r="AJ47" s="321"/>
      <c r="AK47" s="321"/>
      <c r="AL47" s="321"/>
      <c r="AM47" s="321"/>
      <c r="AN47" s="321"/>
      <c r="AO47" s="321"/>
      <c r="AP47" s="321"/>
      <c r="AQ47" s="321"/>
      <c r="AR47" s="321"/>
      <c r="AS47" s="321"/>
      <c r="AT47" s="321"/>
      <c r="AU47" s="321"/>
      <c r="AV47" s="321"/>
      <c r="AW47" s="321"/>
      <c r="AX47" s="321"/>
      <c r="AY47" s="321"/>
    </row>
    <row r="48" spans="1:51">
      <c r="A48" s="321"/>
      <c r="B48" s="321"/>
      <c r="C48" s="321"/>
      <c r="D48" s="321"/>
      <c r="E48" s="321"/>
      <c r="F48" s="321"/>
      <c r="G48" s="248"/>
      <c r="H48" s="546" t="s">
        <v>36</v>
      </c>
      <c r="I48" s="374" t="s">
        <v>90</v>
      </c>
      <c r="J48" s="363">
        <f>IF(D19="PRECIO FIJO",IF($D$18="2.0TD",'TOTAL CYE'!O138,IF($D$18="3.0TD",'TOTAL CYE'!R138,IF($D$18="6.1TD",'TOTAL CYE'!U138,))),"")</f>
        <v>113.12150000000001</v>
      </c>
      <c r="K48" s="22"/>
      <c r="R48" s="270"/>
      <c r="S48" s="321"/>
      <c r="T48" s="321"/>
      <c r="U48" s="321"/>
      <c r="V48" s="321"/>
      <c r="W48" s="321"/>
      <c r="X48" s="321"/>
      <c r="Y48" s="321"/>
      <c r="Z48" s="321"/>
      <c r="AA48" s="321"/>
      <c r="AB48" s="321"/>
      <c r="AC48" s="321"/>
      <c r="AD48" s="321"/>
      <c r="AE48" s="321"/>
      <c r="AF48" s="321"/>
      <c r="AG48" s="321"/>
      <c r="AH48" s="321"/>
      <c r="AI48" s="321"/>
      <c r="AJ48" s="321"/>
      <c r="AK48" s="321"/>
      <c r="AL48" s="321"/>
      <c r="AM48" s="321"/>
      <c r="AN48" s="321"/>
      <c r="AO48" s="321"/>
      <c r="AP48" s="321"/>
      <c r="AQ48" s="321"/>
      <c r="AR48" s="321"/>
      <c r="AS48" s="321"/>
      <c r="AT48" s="321"/>
      <c r="AU48" s="321"/>
      <c r="AV48" s="321"/>
      <c r="AW48" s="321"/>
      <c r="AX48" s="321"/>
      <c r="AY48" s="321"/>
    </row>
    <row r="49" spans="1:51" ht="15" customHeight="1">
      <c r="A49" s="321"/>
      <c r="B49" s="321"/>
      <c r="C49" s="321"/>
      <c r="D49" s="321"/>
      <c r="E49" s="321"/>
      <c r="F49" s="321"/>
      <c r="G49" s="248"/>
      <c r="H49" s="547"/>
      <c r="I49" s="370" t="s">
        <v>91</v>
      </c>
      <c r="J49" s="364">
        <f>IF(D19="PRECIO FIJO",IF($D$18="2.0TD",'TOTAL CYE'!O139,IF($D$18="3.0TD",'TOTAL CYE'!R139,IF($D$18="6.1TD",'TOTAL CYE'!U139,))),"")</f>
        <v>113.12149999999997</v>
      </c>
      <c r="K49" s="145"/>
      <c r="R49" s="270"/>
      <c r="S49" s="321"/>
      <c r="T49" s="321"/>
      <c r="U49" s="321"/>
      <c r="V49" s="321"/>
      <c r="W49" s="321"/>
      <c r="X49" s="321"/>
      <c r="Y49" s="321"/>
      <c r="Z49" s="321"/>
      <c r="AA49" s="321"/>
      <c r="AB49" s="321"/>
      <c r="AC49" s="321"/>
      <c r="AD49" s="321"/>
      <c r="AE49" s="321"/>
      <c r="AF49" s="321"/>
      <c r="AG49" s="321"/>
      <c r="AH49" s="321"/>
      <c r="AI49" s="321"/>
      <c r="AJ49" s="321"/>
      <c r="AK49" s="321"/>
      <c r="AL49" s="321"/>
      <c r="AM49" s="321"/>
      <c r="AN49" s="321"/>
      <c r="AO49" s="321"/>
      <c r="AP49" s="321"/>
      <c r="AQ49" s="321"/>
      <c r="AR49" s="321"/>
      <c r="AS49" s="321"/>
      <c r="AT49" s="321"/>
      <c r="AU49" s="321"/>
      <c r="AV49" s="321"/>
      <c r="AW49" s="321"/>
      <c r="AX49" s="321"/>
      <c r="AY49" s="321"/>
    </row>
    <row r="50" spans="1:51" ht="15" thickBot="1">
      <c r="A50" s="321"/>
      <c r="B50" s="321"/>
      <c r="C50" s="321"/>
      <c r="D50" s="321"/>
      <c r="E50" s="321"/>
      <c r="F50" s="321"/>
      <c r="G50" s="248"/>
      <c r="H50" s="548"/>
      <c r="I50" s="375" t="s">
        <v>92</v>
      </c>
      <c r="J50" s="365">
        <f>IF(D19="PRECIO FIJO",IF($D$18="2.0TD",'TOTAL CYE'!O140,IF($D$18="3.0TD",'TOTAL CYE'!R140,IF($D$18="6.1TD",'TOTAL CYE'!U140,))),"")</f>
        <v>113.12150000000001</v>
      </c>
      <c r="K50" s="20"/>
      <c r="R50" s="270"/>
      <c r="S50" s="321"/>
      <c r="T50" s="321"/>
      <c r="U50" s="321"/>
      <c r="V50" s="321"/>
      <c r="W50" s="321"/>
      <c r="X50" s="321"/>
      <c r="Y50" s="321"/>
      <c r="Z50" s="321"/>
      <c r="AA50" s="321"/>
      <c r="AB50" s="321"/>
      <c r="AC50" s="321"/>
      <c r="AD50" s="321"/>
      <c r="AE50" s="321"/>
      <c r="AF50" s="321"/>
      <c r="AG50" s="321"/>
      <c r="AH50" s="321"/>
      <c r="AI50" s="321"/>
      <c r="AJ50" s="321"/>
      <c r="AK50" s="321"/>
      <c r="AL50" s="321"/>
      <c r="AM50" s="321"/>
      <c r="AN50" s="321"/>
      <c r="AO50" s="321"/>
      <c r="AP50" s="321"/>
      <c r="AQ50" s="321"/>
      <c r="AR50" s="321"/>
      <c r="AS50" s="321"/>
      <c r="AT50" s="321"/>
      <c r="AU50" s="321"/>
      <c r="AV50" s="321"/>
      <c r="AW50" s="321"/>
      <c r="AX50" s="321"/>
      <c r="AY50" s="321"/>
    </row>
    <row r="51" spans="1:51" ht="15" customHeight="1">
      <c r="A51" s="321"/>
      <c r="B51" s="321"/>
      <c r="C51" s="321"/>
      <c r="D51" s="321"/>
      <c r="E51" s="321"/>
      <c r="F51" s="321"/>
      <c r="G51" s="248"/>
      <c r="H51" s="534" t="s">
        <v>52</v>
      </c>
      <c r="I51" s="370" t="s">
        <v>53</v>
      </c>
      <c r="J51" s="376">
        <f>IF($D$19="PRECIO FIJO",IF($D$18="2.0TD",'RESULTADO PRECIO FIJO'!N167,IF($D$18="3.0TD","")),"")</f>
        <v>-37.186686965199982</v>
      </c>
      <c r="K51" s="328">
        <f>IF(J51="","",'COMISIONES HOLALUZ'!C2*$C$1)</f>
        <v>55</v>
      </c>
      <c r="R51" s="270"/>
      <c r="S51" s="321"/>
      <c r="T51" s="321"/>
      <c r="U51" s="321"/>
      <c r="V51" s="321"/>
      <c r="W51" s="321"/>
      <c r="X51" s="321"/>
      <c r="Y51" s="321"/>
      <c r="Z51" s="321"/>
      <c r="AA51" s="321"/>
      <c r="AB51" s="321"/>
      <c r="AC51" s="321"/>
      <c r="AD51" s="321"/>
      <c r="AE51" s="321"/>
      <c r="AF51" s="321"/>
      <c r="AG51" s="321"/>
      <c r="AH51" s="321"/>
      <c r="AI51" s="321"/>
      <c r="AJ51" s="321"/>
      <c r="AK51" s="321"/>
      <c r="AL51" s="321"/>
      <c r="AM51" s="321"/>
      <c r="AN51" s="321"/>
      <c r="AO51" s="321"/>
      <c r="AP51" s="321"/>
      <c r="AQ51" s="321"/>
      <c r="AR51" s="321"/>
      <c r="AS51" s="321"/>
      <c r="AT51" s="321"/>
      <c r="AU51" s="321"/>
      <c r="AV51" s="321"/>
      <c r="AW51" s="321"/>
      <c r="AX51" s="321"/>
      <c r="AY51" s="321"/>
    </row>
    <row r="52" spans="1:51">
      <c r="A52" s="321"/>
      <c r="B52" s="321"/>
      <c r="C52" s="321"/>
      <c r="D52" s="321"/>
      <c r="E52" s="321"/>
      <c r="F52" s="321"/>
      <c r="G52" s="248"/>
      <c r="H52" s="535"/>
      <c r="I52" s="370"/>
      <c r="J52" s="377">
        <f>IF($D$19="PRECIO FIJO",IF($D$18="2.0TD",'RESULTADO PRECIO FIJO'!N169,IF($D$18="3.0TD","")),"")</f>
        <v>113.12150000000001</v>
      </c>
      <c r="K52" s="304">
        <f>IF(J52="","",'COMISIONES HOLALUZ'!C3*$C$1)</f>
        <v>55</v>
      </c>
      <c r="R52" s="270"/>
      <c r="S52" s="321"/>
      <c r="T52" s="321"/>
      <c r="U52" s="321"/>
      <c r="V52" s="321"/>
      <c r="W52" s="321"/>
      <c r="X52" s="321"/>
      <c r="Y52" s="321"/>
      <c r="Z52" s="321"/>
      <c r="AA52" s="321"/>
      <c r="AB52" s="321"/>
      <c r="AC52" s="321"/>
      <c r="AD52" s="321"/>
      <c r="AE52" s="321"/>
      <c r="AF52" s="321"/>
      <c r="AG52" s="321"/>
      <c r="AH52" s="321"/>
      <c r="AI52" s="321"/>
      <c r="AJ52" s="321"/>
      <c r="AK52" s="321"/>
      <c r="AL52" s="321"/>
      <c r="AM52" s="321"/>
      <c r="AN52" s="321"/>
      <c r="AO52" s="321"/>
      <c r="AP52" s="321"/>
      <c r="AQ52" s="321"/>
      <c r="AR52" s="321"/>
      <c r="AS52" s="321"/>
      <c r="AT52" s="321"/>
      <c r="AU52" s="321"/>
      <c r="AV52" s="321"/>
      <c r="AW52" s="321"/>
      <c r="AX52" s="321"/>
      <c r="AY52" s="321"/>
    </row>
    <row r="53" spans="1:51">
      <c r="A53" s="321"/>
      <c r="B53" s="321"/>
      <c r="C53" s="321"/>
      <c r="D53" s="321"/>
      <c r="E53" s="321"/>
      <c r="F53" s="321"/>
      <c r="G53" s="248"/>
      <c r="H53" s="535"/>
      <c r="I53" s="370" t="s">
        <v>93</v>
      </c>
      <c r="J53" s="377">
        <f>IF($D$19="PRECIO FIJO",IF($D$18="2.0TD",'RESULTADO PRECIO FIJO'!N171,IF($D$18="3.0TD","")),"")</f>
        <v>-67.407961565199997</v>
      </c>
      <c r="K53" s="304">
        <f>IF(J53="","",'COMISIONES HOLALUZ'!C4*$C$1)</f>
        <v>55</v>
      </c>
      <c r="R53" s="270"/>
      <c r="S53" s="321"/>
      <c r="T53" s="321"/>
      <c r="U53" s="321"/>
      <c r="V53" s="321"/>
      <c r="W53" s="321"/>
      <c r="X53" s="321"/>
      <c r="Y53" s="321"/>
      <c r="Z53" s="321"/>
      <c r="AA53" s="321"/>
      <c r="AB53" s="321"/>
      <c r="AC53" s="321"/>
      <c r="AD53" s="321"/>
      <c r="AE53" s="321"/>
      <c r="AF53" s="321"/>
      <c r="AG53" s="321"/>
      <c r="AH53" s="321"/>
      <c r="AI53" s="321"/>
      <c r="AJ53" s="321"/>
      <c r="AK53" s="321"/>
      <c r="AL53" s="321"/>
      <c r="AM53" s="321"/>
      <c r="AN53" s="321"/>
      <c r="AO53" s="321"/>
      <c r="AP53" s="321"/>
      <c r="AQ53" s="321"/>
      <c r="AR53" s="321"/>
      <c r="AS53" s="321"/>
      <c r="AT53" s="321"/>
      <c r="AU53" s="321"/>
      <c r="AV53" s="321"/>
      <c r="AW53" s="321"/>
      <c r="AX53" s="321"/>
      <c r="AY53" s="321"/>
    </row>
    <row r="54" spans="1:51" ht="15" customHeight="1">
      <c r="A54" s="321"/>
      <c r="B54" s="321"/>
      <c r="C54" s="321"/>
      <c r="D54" s="321"/>
      <c r="E54" s="321"/>
      <c r="F54" s="321"/>
      <c r="G54" s="248"/>
      <c r="H54" s="535"/>
      <c r="I54" s="370"/>
      <c r="J54" s="377">
        <f>IF($D$19="PRECIO FIJO",IF($D$18="2.0TD",'RESULTADO PRECIO FIJO'!N173,IF($D$18="3.0TD","")),"")</f>
        <v>113.12150000000001</v>
      </c>
      <c r="K54" s="304">
        <f>IF(J54="","",'COMISIONES HOLALUZ'!C5*$C$1)</f>
        <v>55</v>
      </c>
      <c r="R54" s="270"/>
      <c r="S54" s="321"/>
      <c r="T54" s="321"/>
      <c r="U54" s="321"/>
      <c r="V54" s="321"/>
      <c r="W54" s="321"/>
      <c r="X54" s="321"/>
      <c r="Y54" s="321"/>
      <c r="Z54" s="321"/>
      <c r="AA54" s="321"/>
      <c r="AB54" s="321"/>
      <c r="AC54" s="321"/>
      <c r="AD54" s="321"/>
      <c r="AE54" s="321"/>
      <c r="AF54" s="321"/>
      <c r="AG54" s="321"/>
      <c r="AH54" s="321"/>
      <c r="AI54" s="321"/>
      <c r="AJ54" s="321"/>
      <c r="AK54" s="321"/>
      <c r="AL54" s="321"/>
      <c r="AM54" s="321"/>
      <c r="AN54" s="321"/>
      <c r="AO54" s="321"/>
      <c r="AP54" s="321"/>
      <c r="AQ54" s="321"/>
      <c r="AR54" s="321"/>
      <c r="AS54" s="321"/>
      <c r="AT54" s="321"/>
      <c r="AU54" s="321"/>
      <c r="AV54" s="321"/>
      <c r="AW54" s="321"/>
      <c r="AX54" s="321"/>
      <c r="AY54" s="321"/>
    </row>
    <row r="55" spans="1:51" ht="15" thickBot="1">
      <c r="A55" s="321"/>
      <c r="B55" s="321"/>
      <c r="C55" s="321"/>
      <c r="D55" s="321"/>
      <c r="E55" s="321"/>
      <c r="F55" s="321"/>
      <c r="G55" s="248"/>
      <c r="H55" s="536"/>
      <c r="I55" s="379"/>
      <c r="J55" s="467">
        <f>IF($D$19="PRECIO FIJO",IF($D$18="2.0TD",'RESULTADO PRECIO FIJO'!N175,IF($D$18="3.0TD","")),"")</f>
        <v>113.12150000000001</v>
      </c>
      <c r="K55" s="468">
        <f>IF(J55="","",'COMISIONES HOLALUZ'!C6*$C$1)</f>
        <v>55</v>
      </c>
      <c r="R55" s="270"/>
      <c r="S55" s="321"/>
      <c r="T55" s="321"/>
      <c r="U55" s="321"/>
      <c r="V55" s="321"/>
      <c r="W55" s="321"/>
      <c r="X55" s="321"/>
      <c r="Y55" s="321"/>
      <c r="Z55" s="321"/>
      <c r="AA55" s="321"/>
      <c r="AB55" s="321"/>
      <c r="AC55" s="321"/>
      <c r="AD55" s="321"/>
      <c r="AE55" s="321"/>
      <c r="AF55" s="321"/>
      <c r="AG55" s="321"/>
      <c r="AH55" s="321"/>
      <c r="AI55" s="321"/>
      <c r="AJ55" s="321"/>
      <c r="AK55" s="321"/>
      <c r="AL55" s="321"/>
      <c r="AM55" s="321"/>
      <c r="AN55" s="321"/>
      <c r="AO55" s="321"/>
      <c r="AP55" s="321"/>
      <c r="AQ55" s="321"/>
      <c r="AR55" s="321"/>
      <c r="AS55" s="321"/>
      <c r="AT55" s="321"/>
      <c r="AU55" s="321"/>
      <c r="AV55" s="321"/>
      <c r="AW55" s="321"/>
      <c r="AX55" s="321"/>
      <c r="AY55" s="321"/>
    </row>
    <row r="56" spans="1:51" ht="18.75" customHeight="1">
      <c r="A56" s="321"/>
      <c r="B56" s="321"/>
      <c r="C56" s="321"/>
      <c r="D56" s="321"/>
      <c r="E56" s="321"/>
      <c r="F56" s="321"/>
      <c r="G56" s="248"/>
      <c r="H56" s="478" t="s">
        <v>55</v>
      </c>
      <c r="I56" s="374" t="s">
        <v>56</v>
      </c>
      <c r="J56" s="376">
        <f>IF($D$19="PRECIO FIJO",IF($D$18="2.0TD",'RESULTADO PRECIO FIJO'!N177,IF($D$18="3.0TD","")),"")</f>
        <v>20.647314595850006</v>
      </c>
      <c r="K56" s="328">
        <f>IF(J56="","",IF($E$22&lt;2.5,40*$C$1,48*$C$1))</f>
        <v>48</v>
      </c>
      <c r="R56" s="270"/>
      <c r="S56" s="321"/>
      <c r="T56" s="321"/>
      <c r="U56" s="321"/>
      <c r="V56" s="321"/>
      <c r="W56" s="321"/>
      <c r="X56" s="321"/>
      <c r="Y56" s="321"/>
      <c r="Z56" s="321"/>
      <c r="AA56" s="321"/>
      <c r="AB56" s="321"/>
      <c r="AC56" s="321"/>
      <c r="AD56" s="321"/>
      <c r="AE56" s="321"/>
      <c r="AF56" s="321"/>
      <c r="AG56" s="321"/>
      <c r="AH56" s="321"/>
      <c r="AI56" s="321"/>
      <c r="AJ56" s="321"/>
      <c r="AK56" s="321"/>
      <c r="AL56" s="321"/>
      <c r="AM56" s="321"/>
      <c r="AN56" s="321"/>
      <c r="AO56" s="321"/>
      <c r="AP56" s="321"/>
      <c r="AQ56" s="321"/>
      <c r="AR56" s="321"/>
      <c r="AS56" s="321"/>
      <c r="AT56" s="321"/>
      <c r="AU56" s="321"/>
      <c r="AV56" s="321"/>
      <c r="AW56" s="321"/>
      <c r="AX56" s="321"/>
      <c r="AY56" s="321"/>
    </row>
    <row r="57" spans="1:51" ht="18.75" customHeight="1" thickBot="1">
      <c r="A57" s="321"/>
      <c r="B57" s="321"/>
      <c r="C57" s="321"/>
      <c r="D57" s="321"/>
      <c r="E57" s="321"/>
      <c r="F57" s="321"/>
      <c r="G57" s="248"/>
      <c r="H57" s="479"/>
      <c r="I57" s="375" t="s">
        <v>94</v>
      </c>
      <c r="J57" s="378">
        <f>IF($D$19="PRECIO FIJO",IF($D$18="2.0TD",'RESULTADO PRECIO FIJO'!N179,IF($D$18="3.0TD","")),"")</f>
        <v>-3.2712336566499971</v>
      </c>
      <c r="K57" s="239">
        <f>IF(J57="","",IF($E$22&lt;2.5,40*$C$1,48*$C$1))</f>
        <v>48</v>
      </c>
      <c r="R57" s="270"/>
      <c r="S57" s="321"/>
      <c r="T57" s="321"/>
      <c r="U57" s="321"/>
      <c r="V57" s="321"/>
      <c r="W57" s="321"/>
      <c r="X57" s="321"/>
      <c r="Y57" s="321"/>
      <c r="Z57" s="321"/>
      <c r="AA57" s="321"/>
      <c r="AB57" s="321"/>
      <c r="AC57" s="321"/>
      <c r="AD57" s="321"/>
      <c r="AE57" s="321"/>
      <c r="AF57" s="321"/>
      <c r="AG57" s="321"/>
      <c r="AH57" s="321"/>
      <c r="AI57" s="321"/>
      <c r="AJ57" s="321"/>
      <c r="AK57" s="321"/>
      <c r="AL57" s="321"/>
      <c r="AM57" s="321"/>
      <c r="AN57" s="321"/>
      <c r="AO57" s="321"/>
      <c r="AP57" s="321"/>
      <c r="AQ57" s="321"/>
      <c r="AR57" s="321"/>
      <c r="AS57" s="321"/>
      <c r="AT57" s="321"/>
      <c r="AU57" s="321"/>
      <c r="AV57" s="321"/>
      <c r="AW57" s="321"/>
      <c r="AX57" s="321"/>
      <c r="AY57" s="321"/>
    </row>
    <row r="58" spans="1:51">
      <c r="A58" s="321"/>
      <c r="B58" s="321"/>
      <c r="C58" s="321"/>
      <c r="D58" s="321"/>
      <c r="E58" s="321"/>
      <c r="F58" s="321"/>
      <c r="G58" s="248"/>
      <c r="R58" s="270"/>
      <c r="S58" s="321"/>
      <c r="T58" s="321"/>
      <c r="U58" s="321"/>
      <c r="V58" s="321"/>
      <c r="W58" s="321"/>
      <c r="X58" s="321"/>
      <c r="Y58" s="321"/>
      <c r="Z58" s="321"/>
      <c r="AA58" s="321"/>
      <c r="AB58" s="321"/>
      <c r="AC58" s="321"/>
      <c r="AD58" s="321"/>
      <c r="AE58" s="321"/>
      <c r="AF58" s="321"/>
      <c r="AG58" s="321"/>
      <c r="AH58" s="321"/>
      <c r="AI58" s="321"/>
      <c r="AJ58" s="321"/>
      <c r="AK58" s="321"/>
      <c r="AL58" s="321"/>
      <c r="AM58" s="321"/>
      <c r="AN58" s="321"/>
      <c r="AO58" s="321"/>
      <c r="AP58" s="321"/>
      <c r="AQ58" s="321"/>
      <c r="AR58" s="321"/>
      <c r="AS58" s="321"/>
      <c r="AT58" s="321"/>
      <c r="AU58" s="321"/>
      <c r="AV58" s="321"/>
      <c r="AW58" s="321"/>
      <c r="AX58" s="321"/>
      <c r="AY58" s="321"/>
    </row>
    <row r="59" spans="1:51" ht="15" thickBot="1">
      <c r="A59" s="321"/>
      <c r="B59" s="321"/>
      <c r="C59" s="321"/>
      <c r="D59" s="321"/>
      <c r="E59" s="321"/>
      <c r="F59" s="321"/>
      <c r="G59" s="355"/>
      <c r="H59" s="308"/>
      <c r="I59" s="308"/>
      <c r="J59" s="308"/>
      <c r="K59" s="308"/>
      <c r="L59" s="308"/>
      <c r="M59" s="308"/>
      <c r="N59" s="308"/>
      <c r="O59" s="308"/>
      <c r="P59" s="308"/>
      <c r="Q59" s="308"/>
      <c r="R59" s="359"/>
      <c r="S59" s="321"/>
      <c r="T59" s="321"/>
      <c r="U59" s="321"/>
      <c r="V59" s="321"/>
      <c r="W59" s="321"/>
      <c r="X59" s="321"/>
      <c r="Y59" s="321"/>
      <c r="Z59" s="321"/>
      <c r="AA59" s="321"/>
      <c r="AB59" s="321"/>
      <c r="AC59" s="321"/>
      <c r="AD59" s="321"/>
      <c r="AE59" s="321"/>
      <c r="AF59" s="321"/>
      <c r="AG59" s="321"/>
      <c r="AH59" s="321"/>
      <c r="AI59" s="321"/>
      <c r="AJ59" s="321"/>
      <c r="AK59" s="321"/>
      <c r="AL59" s="321"/>
      <c r="AM59" s="321"/>
      <c r="AN59" s="321"/>
      <c r="AO59" s="321"/>
      <c r="AP59" s="321"/>
      <c r="AQ59" s="321"/>
      <c r="AR59" s="321"/>
      <c r="AS59" s="321"/>
      <c r="AT59" s="321"/>
      <c r="AU59" s="321"/>
      <c r="AV59" s="321"/>
      <c r="AW59" s="321"/>
      <c r="AX59" s="321"/>
      <c r="AY59" s="321"/>
    </row>
    <row r="60" spans="1:51" ht="15" thickBot="1">
      <c r="A60" s="321"/>
      <c r="B60" s="321"/>
      <c r="C60" s="321"/>
      <c r="D60" s="321"/>
      <c r="E60" s="321"/>
      <c r="F60" s="321"/>
      <c r="G60" s="321"/>
      <c r="H60" s="321"/>
      <c r="I60" s="321"/>
      <c r="J60" s="321"/>
      <c r="K60" s="321"/>
      <c r="L60" s="321"/>
      <c r="M60" s="321"/>
      <c r="N60" s="321"/>
      <c r="O60" s="321"/>
      <c r="P60" s="321"/>
      <c r="Q60" s="321"/>
      <c r="R60" s="321"/>
      <c r="S60" s="321"/>
      <c r="T60" s="321"/>
      <c r="U60" s="321"/>
      <c r="V60" s="321"/>
      <c r="W60" s="321"/>
      <c r="X60" s="321"/>
      <c r="Y60" s="321"/>
      <c r="Z60" s="321"/>
      <c r="AA60" s="321"/>
      <c r="AB60" s="321"/>
      <c r="AC60" s="321"/>
      <c r="AD60" s="321"/>
      <c r="AE60" s="321"/>
      <c r="AF60" s="321"/>
      <c r="AG60" s="321"/>
      <c r="AH60" s="321"/>
      <c r="AI60" s="321"/>
      <c r="AJ60" s="321"/>
      <c r="AK60" s="321"/>
      <c r="AL60" s="321"/>
      <c r="AM60" s="321"/>
      <c r="AN60" s="321"/>
      <c r="AO60" s="321"/>
      <c r="AP60" s="321"/>
      <c r="AQ60" s="321"/>
      <c r="AR60" s="321"/>
      <c r="AS60" s="321"/>
      <c r="AT60" s="321"/>
      <c r="AU60" s="321"/>
      <c r="AV60" s="321"/>
      <c r="AW60" s="321"/>
      <c r="AX60" s="321"/>
      <c r="AY60" s="321"/>
    </row>
    <row r="61" spans="1:51" ht="16.149999999999999" thickBot="1">
      <c r="A61" s="321"/>
      <c r="B61" s="321"/>
      <c r="C61" s="321"/>
      <c r="D61" s="321"/>
      <c r="E61" s="321"/>
      <c r="F61" s="321"/>
      <c r="G61" s="482" t="s">
        <v>95</v>
      </c>
      <c r="H61" s="483"/>
      <c r="I61" s="321"/>
      <c r="J61" s="321"/>
      <c r="K61" s="321"/>
      <c r="L61" s="321"/>
      <c r="M61" s="321"/>
      <c r="N61" s="321"/>
      <c r="O61" s="321"/>
      <c r="P61" s="321"/>
      <c r="Q61" s="321"/>
      <c r="R61" s="321"/>
      <c r="S61" s="321"/>
      <c r="T61" s="321"/>
      <c r="U61" s="321"/>
      <c r="V61" s="321"/>
      <c r="W61" s="321"/>
      <c r="X61" s="321"/>
      <c r="Y61" s="321"/>
      <c r="Z61" s="321"/>
      <c r="AA61" s="321"/>
      <c r="AB61" s="321"/>
      <c r="AC61" s="321"/>
      <c r="AD61" s="321"/>
      <c r="AE61" s="321"/>
      <c r="AF61" s="321"/>
      <c r="AG61" s="321"/>
      <c r="AH61" s="321"/>
      <c r="AI61" s="321"/>
      <c r="AJ61" s="321"/>
      <c r="AK61" s="321"/>
      <c r="AL61" s="321"/>
      <c r="AM61" s="321"/>
      <c r="AN61" s="321"/>
      <c r="AO61" s="321"/>
      <c r="AP61" s="321"/>
      <c r="AQ61" s="321"/>
      <c r="AR61" s="321"/>
      <c r="AS61" s="321"/>
      <c r="AT61" s="321"/>
      <c r="AU61" s="321"/>
      <c r="AV61" s="321"/>
      <c r="AW61" s="321"/>
      <c r="AX61" s="321"/>
      <c r="AY61" s="321"/>
    </row>
    <row r="62" spans="1:51">
      <c r="A62" s="321"/>
      <c r="B62" s="321"/>
      <c r="C62" s="321"/>
      <c r="D62" s="321"/>
      <c r="E62" s="321"/>
      <c r="F62" s="321"/>
      <c r="G62" s="326" t="s">
        <v>96</v>
      </c>
      <c r="H62" s="321"/>
      <c r="I62" s="321"/>
      <c r="J62" s="321"/>
      <c r="K62" s="321"/>
      <c r="L62" s="321"/>
      <c r="M62" s="321"/>
      <c r="N62" s="321"/>
      <c r="O62" s="321"/>
      <c r="P62" s="321"/>
      <c r="Q62" s="321"/>
      <c r="R62" s="321"/>
      <c r="S62" s="321"/>
      <c r="T62" s="321"/>
      <c r="U62" s="321"/>
      <c r="V62" s="321"/>
      <c r="W62" s="321"/>
      <c r="X62" s="321"/>
      <c r="Y62" s="321"/>
      <c r="Z62" s="321"/>
      <c r="AA62" s="321"/>
      <c r="AB62" s="321"/>
      <c r="AC62" s="321"/>
      <c r="AD62" s="321"/>
      <c r="AE62" s="321"/>
      <c r="AF62" s="321"/>
      <c r="AG62" s="321"/>
      <c r="AH62" s="321"/>
      <c r="AI62" s="321"/>
      <c r="AJ62" s="321"/>
      <c r="AK62" s="321"/>
      <c r="AL62" s="321"/>
      <c r="AM62" s="321"/>
      <c r="AN62" s="321"/>
      <c r="AO62" s="321"/>
      <c r="AP62" s="321"/>
      <c r="AQ62" s="321"/>
      <c r="AR62" s="321"/>
      <c r="AS62" s="321"/>
      <c r="AT62" s="321"/>
      <c r="AU62" s="321"/>
      <c r="AV62" s="321"/>
      <c r="AW62" s="321"/>
      <c r="AX62" s="321"/>
      <c r="AY62" s="321"/>
    </row>
    <row r="63" spans="1:51" ht="15" thickBot="1">
      <c r="A63" s="321"/>
      <c r="B63" s="321"/>
      <c r="C63" s="321"/>
      <c r="D63" s="321"/>
      <c r="E63" s="321"/>
      <c r="F63" s="321"/>
      <c r="G63" s="326"/>
      <c r="H63" s="321"/>
      <c r="I63" s="321"/>
      <c r="J63" s="321"/>
      <c r="K63" s="321"/>
      <c r="L63" s="321"/>
      <c r="M63" s="321"/>
      <c r="N63" s="321"/>
      <c r="O63" s="321"/>
      <c r="P63" s="321"/>
      <c r="Q63" s="321"/>
      <c r="R63" s="321"/>
      <c r="S63" s="321"/>
      <c r="T63" s="321"/>
      <c r="U63" s="321"/>
      <c r="V63" s="321"/>
      <c r="W63" s="321"/>
      <c r="X63" s="321"/>
      <c r="Y63" s="321"/>
      <c r="Z63" s="321"/>
      <c r="AA63" s="321"/>
      <c r="AB63" s="321"/>
      <c r="AC63" s="321"/>
      <c r="AD63" s="321"/>
      <c r="AE63" s="321"/>
      <c r="AF63" s="321"/>
      <c r="AG63" s="321"/>
      <c r="AH63" s="321"/>
      <c r="AI63" s="321"/>
      <c r="AJ63" s="321"/>
      <c r="AK63" s="321"/>
      <c r="AL63" s="321"/>
      <c r="AM63" s="321"/>
      <c r="AN63" s="321"/>
      <c r="AO63" s="321"/>
      <c r="AP63" s="321"/>
      <c r="AQ63" s="321"/>
      <c r="AR63" s="321"/>
      <c r="AS63" s="321"/>
      <c r="AT63" s="321"/>
      <c r="AU63" s="321"/>
      <c r="AV63" s="321"/>
      <c r="AW63" s="321"/>
      <c r="AX63" s="321"/>
      <c r="AY63" s="321"/>
    </row>
    <row r="64" spans="1:51" ht="16.149999999999999" thickBot="1">
      <c r="A64" s="321"/>
      <c r="B64" s="321"/>
      <c r="C64" s="321"/>
      <c r="D64" s="321"/>
      <c r="E64" s="321"/>
      <c r="F64" s="321"/>
      <c r="G64" s="482" t="s">
        <v>97</v>
      </c>
      <c r="H64" s="483"/>
      <c r="I64" s="321"/>
      <c r="J64" s="321"/>
      <c r="K64" s="321"/>
      <c r="L64" s="321"/>
      <c r="M64" s="321"/>
      <c r="N64" s="321"/>
      <c r="O64" s="321"/>
      <c r="P64" s="321"/>
      <c r="Q64" s="321"/>
      <c r="R64" s="321"/>
      <c r="S64" s="321"/>
      <c r="T64" s="321"/>
      <c r="U64" s="321"/>
      <c r="V64" s="321"/>
      <c r="W64" s="321"/>
      <c r="X64" s="321"/>
      <c r="Y64" s="321"/>
      <c r="Z64" s="321"/>
      <c r="AA64" s="321"/>
      <c r="AB64" s="321"/>
      <c r="AC64" s="321"/>
      <c r="AD64" s="321"/>
      <c r="AE64" s="321"/>
      <c r="AF64" s="321"/>
      <c r="AG64" s="321"/>
      <c r="AH64" s="321"/>
      <c r="AI64" s="321"/>
      <c r="AJ64" s="321"/>
      <c r="AK64" s="321"/>
      <c r="AL64" s="321"/>
      <c r="AM64" s="321"/>
      <c r="AN64" s="321"/>
      <c r="AO64" s="321"/>
      <c r="AP64" s="321"/>
      <c r="AQ64" s="321"/>
      <c r="AR64" s="321"/>
      <c r="AS64" s="321"/>
      <c r="AT64" s="321"/>
      <c r="AU64" s="321"/>
      <c r="AV64" s="321"/>
      <c r="AW64" s="321"/>
      <c r="AX64" s="321"/>
      <c r="AY64" s="321"/>
    </row>
    <row r="65" spans="1:51" ht="15" thickBot="1">
      <c r="A65" s="321"/>
      <c r="B65" s="321"/>
      <c r="C65" s="321"/>
      <c r="D65" s="321"/>
      <c r="E65" s="321"/>
      <c r="F65" s="321"/>
      <c r="G65" s="326" t="s">
        <v>98</v>
      </c>
      <c r="H65" s="321"/>
      <c r="I65" s="321"/>
      <c r="J65" s="321"/>
      <c r="K65" s="321"/>
      <c r="L65" s="321"/>
      <c r="M65" s="321"/>
      <c r="N65" s="321"/>
      <c r="O65" s="321"/>
      <c r="P65" s="321"/>
      <c r="Q65" s="321"/>
      <c r="R65" s="321"/>
      <c r="S65" s="321"/>
      <c r="T65" s="321"/>
      <c r="U65" s="321"/>
      <c r="V65" s="321"/>
      <c r="W65" s="321"/>
      <c r="X65" s="321"/>
      <c r="Y65" s="321"/>
      <c r="Z65" s="321"/>
      <c r="AA65" s="321"/>
      <c r="AB65" s="321"/>
      <c r="AC65" s="321"/>
      <c r="AD65" s="321"/>
      <c r="AE65" s="321"/>
      <c r="AF65" s="321"/>
      <c r="AG65" s="321"/>
      <c r="AH65" s="321"/>
      <c r="AI65" s="321"/>
      <c r="AJ65" s="321"/>
      <c r="AK65" s="321"/>
      <c r="AL65" s="321"/>
      <c r="AM65" s="321"/>
      <c r="AN65" s="321"/>
      <c r="AO65" s="321"/>
      <c r="AP65" s="321"/>
      <c r="AQ65" s="321"/>
      <c r="AR65" s="321"/>
      <c r="AS65" s="321"/>
      <c r="AT65" s="321"/>
      <c r="AU65" s="321"/>
      <c r="AV65" s="321"/>
      <c r="AW65" s="321"/>
      <c r="AX65" s="321"/>
      <c r="AY65" s="321"/>
    </row>
    <row r="66" spans="1:51" ht="16.149999999999999" thickBot="1">
      <c r="A66" s="321"/>
      <c r="B66" s="321"/>
      <c r="C66" s="321"/>
      <c r="D66" s="321"/>
      <c r="E66" s="321"/>
      <c r="F66" s="321"/>
      <c r="G66" s="482" t="s">
        <v>99</v>
      </c>
      <c r="H66" s="483"/>
      <c r="I66" s="321"/>
      <c r="J66" s="321"/>
      <c r="K66" s="321"/>
      <c r="L66" s="321"/>
      <c r="M66" s="321"/>
      <c r="N66" s="321"/>
      <c r="O66" s="321"/>
      <c r="P66" s="321"/>
      <c r="Q66" s="321"/>
      <c r="R66" s="321"/>
      <c r="S66" s="321"/>
      <c r="T66" s="321"/>
      <c r="U66" s="321"/>
      <c r="V66" s="321"/>
      <c r="W66" s="321"/>
      <c r="X66" s="321"/>
      <c r="Y66" s="321"/>
      <c r="Z66" s="321"/>
      <c r="AA66" s="321"/>
      <c r="AB66" s="321"/>
      <c r="AC66" s="321"/>
      <c r="AD66" s="321"/>
      <c r="AE66" s="321"/>
      <c r="AF66" s="321"/>
      <c r="AG66" s="321"/>
      <c r="AH66" s="321"/>
      <c r="AI66" s="321"/>
      <c r="AJ66" s="321"/>
      <c r="AK66" s="321"/>
      <c r="AL66" s="321"/>
      <c r="AM66" s="321"/>
      <c r="AN66" s="321"/>
      <c r="AO66" s="321"/>
      <c r="AP66" s="321"/>
      <c r="AQ66" s="321"/>
      <c r="AR66" s="321"/>
      <c r="AS66" s="321"/>
      <c r="AT66" s="321"/>
      <c r="AU66" s="321"/>
      <c r="AV66" s="321"/>
      <c r="AW66" s="321"/>
      <c r="AX66" s="321"/>
      <c r="AY66" s="321"/>
    </row>
    <row r="67" spans="1:51">
      <c r="A67" s="321"/>
      <c r="B67" s="321"/>
      <c r="C67" s="321"/>
      <c r="D67" s="321"/>
      <c r="E67" s="321"/>
      <c r="F67" s="321"/>
      <c r="G67" s="326" t="s">
        <v>100</v>
      </c>
      <c r="H67" s="321"/>
      <c r="I67" s="321"/>
      <c r="J67" s="321"/>
      <c r="K67" s="321"/>
      <c r="L67" s="321"/>
      <c r="M67" s="321"/>
      <c r="N67" s="321"/>
      <c r="O67" s="321"/>
      <c r="P67" s="321"/>
      <c r="Q67" s="321"/>
      <c r="R67" s="321"/>
      <c r="S67" s="321"/>
      <c r="T67" s="321"/>
      <c r="U67" s="321"/>
      <c r="V67" s="321"/>
      <c r="W67" s="321"/>
      <c r="X67" s="321"/>
      <c r="Y67" s="321"/>
      <c r="Z67" s="321"/>
      <c r="AA67" s="321"/>
      <c r="AB67" s="321"/>
      <c r="AC67" s="321"/>
      <c r="AD67" s="321"/>
      <c r="AE67" s="321"/>
      <c r="AF67" s="321"/>
      <c r="AG67" s="321"/>
      <c r="AH67" s="321"/>
      <c r="AI67" s="321"/>
      <c r="AJ67" s="321"/>
      <c r="AK67" s="321"/>
      <c r="AL67" s="321"/>
      <c r="AM67" s="321"/>
      <c r="AN67" s="321"/>
      <c r="AO67" s="321"/>
      <c r="AP67" s="321"/>
      <c r="AQ67" s="321"/>
      <c r="AR67" s="321"/>
      <c r="AS67" s="321"/>
      <c r="AT67" s="321"/>
      <c r="AU67" s="321"/>
      <c r="AV67" s="321"/>
      <c r="AW67" s="321"/>
      <c r="AX67" s="321"/>
      <c r="AY67" s="321"/>
    </row>
    <row r="68" spans="1:51">
      <c r="A68" s="321"/>
      <c r="B68" s="321"/>
      <c r="C68" s="321"/>
      <c r="D68" s="321"/>
      <c r="E68" s="321"/>
      <c r="F68" s="321"/>
      <c r="G68" s="326" t="s">
        <v>101</v>
      </c>
      <c r="H68" s="321"/>
      <c r="I68" s="321"/>
      <c r="J68" s="321"/>
      <c r="K68" s="321"/>
      <c r="L68" s="321"/>
      <c r="M68" s="321"/>
      <c r="N68" s="321"/>
      <c r="O68" s="321"/>
      <c r="P68" s="321"/>
      <c r="Q68" s="321"/>
      <c r="R68" s="321"/>
      <c r="S68" s="321"/>
      <c r="T68" s="321"/>
      <c r="U68" s="321"/>
      <c r="V68" s="321"/>
      <c r="W68" s="321"/>
      <c r="X68" s="321"/>
      <c r="Y68" s="321"/>
      <c r="Z68" s="321"/>
      <c r="AA68" s="321"/>
      <c r="AB68" s="321"/>
      <c r="AC68" s="321"/>
      <c r="AD68" s="321"/>
      <c r="AE68" s="321"/>
      <c r="AF68" s="321"/>
      <c r="AG68" s="321"/>
      <c r="AH68" s="321"/>
      <c r="AI68" s="321"/>
      <c r="AJ68" s="321"/>
      <c r="AK68" s="321"/>
      <c r="AL68" s="321"/>
      <c r="AM68" s="321"/>
      <c r="AN68" s="321"/>
      <c r="AO68" s="321"/>
      <c r="AP68" s="321"/>
      <c r="AQ68" s="321"/>
      <c r="AR68" s="321"/>
      <c r="AS68" s="321"/>
      <c r="AT68" s="321"/>
      <c r="AU68" s="321"/>
      <c r="AV68" s="321"/>
      <c r="AW68" s="321"/>
      <c r="AX68" s="321"/>
      <c r="AY68" s="321"/>
    </row>
    <row r="69" spans="1:51">
      <c r="A69" s="321"/>
      <c r="B69" s="321"/>
      <c r="C69" s="321"/>
      <c r="D69" s="321"/>
      <c r="E69" s="321"/>
      <c r="F69" s="321"/>
      <c r="G69" s="326" t="s">
        <v>102</v>
      </c>
      <c r="H69" s="321"/>
      <c r="I69" s="321"/>
      <c r="J69" s="321"/>
      <c r="K69" s="321"/>
      <c r="L69" s="321"/>
      <c r="M69" s="321"/>
      <c r="N69" s="321"/>
      <c r="O69" s="321"/>
      <c r="P69" s="321"/>
      <c r="Q69" s="321"/>
      <c r="R69" s="321"/>
      <c r="S69" s="321"/>
      <c r="T69" s="321"/>
      <c r="U69" s="321"/>
      <c r="V69" s="321"/>
      <c r="W69" s="321"/>
      <c r="X69" s="321"/>
      <c r="Y69" s="321"/>
      <c r="Z69" s="321"/>
      <c r="AA69" s="321"/>
      <c r="AB69" s="321"/>
      <c r="AC69" s="321"/>
      <c r="AD69" s="321"/>
      <c r="AE69" s="321"/>
      <c r="AF69" s="321"/>
      <c r="AG69" s="321"/>
      <c r="AH69" s="321"/>
      <c r="AI69" s="321"/>
      <c r="AJ69" s="321"/>
      <c r="AK69" s="321"/>
      <c r="AL69" s="321"/>
      <c r="AM69" s="321"/>
      <c r="AN69" s="321"/>
      <c r="AO69" s="321"/>
      <c r="AP69" s="321"/>
      <c r="AQ69" s="321"/>
      <c r="AR69" s="321"/>
      <c r="AS69" s="321"/>
      <c r="AT69" s="321"/>
      <c r="AU69" s="321"/>
      <c r="AV69" s="321"/>
      <c r="AW69" s="321"/>
      <c r="AX69" s="321"/>
      <c r="AY69" s="321"/>
    </row>
    <row r="70" spans="1:51">
      <c r="A70" s="321"/>
      <c r="B70" s="321"/>
      <c r="C70" s="321"/>
      <c r="D70" s="321"/>
      <c r="E70" s="321"/>
      <c r="F70" s="321"/>
      <c r="G70" s="326" t="s">
        <v>103</v>
      </c>
      <c r="H70" s="321"/>
      <c r="I70" s="321"/>
      <c r="J70" s="321"/>
      <c r="K70" s="321"/>
      <c r="L70" s="321"/>
      <c r="M70" s="321"/>
      <c r="N70" s="321"/>
      <c r="O70" s="321"/>
      <c r="P70" s="321"/>
      <c r="Q70" s="321"/>
      <c r="R70" s="321"/>
      <c r="S70" s="321"/>
      <c r="T70" s="321"/>
      <c r="U70" s="321"/>
      <c r="V70" s="321"/>
      <c r="W70" s="321"/>
      <c r="X70" s="321"/>
      <c r="Y70" s="321"/>
      <c r="Z70" s="321"/>
      <c r="AA70" s="321"/>
      <c r="AB70" s="321"/>
      <c r="AC70" s="321"/>
      <c r="AD70" s="321"/>
      <c r="AE70" s="321"/>
      <c r="AF70" s="321"/>
      <c r="AG70" s="321"/>
      <c r="AH70" s="321"/>
      <c r="AI70" s="321"/>
      <c r="AJ70" s="321"/>
      <c r="AK70" s="321"/>
      <c r="AL70" s="321"/>
      <c r="AM70" s="321"/>
      <c r="AN70" s="321"/>
      <c r="AO70" s="321"/>
      <c r="AP70" s="321"/>
      <c r="AQ70" s="321"/>
      <c r="AR70" s="321"/>
      <c r="AS70" s="321"/>
      <c r="AT70" s="321"/>
      <c r="AU70" s="321"/>
      <c r="AV70" s="321"/>
      <c r="AW70" s="321"/>
      <c r="AX70" s="321"/>
      <c r="AY70" s="321"/>
    </row>
    <row r="71" spans="1:51">
      <c r="A71" s="321"/>
      <c r="B71" s="321"/>
      <c r="C71" s="321"/>
      <c r="D71" s="321"/>
      <c r="E71" s="321"/>
      <c r="F71" s="321"/>
      <c r="G71" s="480" t="s">
        <v>104</v>
      </c>
      <c r="H71" s="481"/>
      <c r="I71" s="481"/>
      <c r="J71" s="481"/>
      <c r="K71" s="481"/>
      <c r="L71" s="481"/>
      <c r="M71" s="481"/>
      <c r="N71" s="481"/>
      <c r="O71" s="481"/>
      <c r="P71" s="481"/>
      <c r="Q71" s="481"/>
      <c r="R71" s="321"/>
      <c r="S71" s="321"/>
      <c r="T71" s="321"/>
      <c r="U71" s="321"/>
      <c r="V71" s="321"/>
      <c r="W71" s="321"/>
      <c r="X71" s="321"/>
      <c r="Y71" s="321"/>
      <c r="Z71" s="321"/>
      <c r="AA71" s="321"/>
      <c r="AB71" s="321"/>
      <c r="AC71" s="321"/>
      <c r="AD71" s="321"/>
      <c r="AE71" s="321"/>
      <c r="AF71" s="321"/>
      <c r="AG71" s="321"/>
      <c r="AH71" s="321"/>
      <c r="AI71" s="321"/>
      <c r="AJ71" s="321"/>
      <c r="AK71" s="321"/>
      <c r="AL71" s="321"/>
      <c r="AM71" s="321"/>
      <c r="AN71" s="321"/>
      <c r="AO71" s="321"/>
      <c r="AP71" s="321"/>
      <c r="AQ71" s="321"/>
      <c r="AR71" s="321"/>
      <c r="AS71" s="321"/>
      <c r="AT71" s="321"/>
      <c r="AU71" s="321"/>
      <c r="AV71" s="321"/>
      <c r="AW71" s="321"/>
      <c r="AX71" s="321"/>
      <c r="AY71" s="321"/>
    </row>
    <row r="72" spans="1:51">
      <c r="A72" s="321"/>
      <c r="B72" s="321"/>
      <c r="C72" s="321"/>
      <c r="D72" s="321"/>
      <c r="E72" s="321"/>
      <c r="F72" s="321"/>
      <c r="G72" s="481"/>
      <c r="H72" s="481"/>
      <c r="I72" s="481"/>
      <c r="J72" s="481"/>
      <c r="K72" s="481"/>
      <c r="L72" s="481"/>
      <c r="M72" s="481"/>
      <c r="N72" s="481"/>
      <c r="O72" s="481"/>
      <c r="P72" s="481"/>
      <c r="Q72" s="481"/>
      <c r="R72" s="321"/>
      <c r="S72" s="321"/>
      <c r="T72" s="321"/>
      <c r="U72" s="321"/>
      <c r="V72" s="321"/>
      <c r="W72" s="321"/>
      <c r="X72" s="321"/>
      <c r="Y72" s="321"/>
      <c r="Z72" s="321"/>
      <c r="AA72" s="321"/>
      <c r="AB72" s="321"/>
      <c r="AC72" s="321"/>
      <c r="AD72" s="321"/>
      <c r="AE72" s="321"/>
      <c r="AF72" s="321"/>
      <c r="AG72" s="321"/>
      <c r="AH72" s="321"/>
      <c r="AI72" s="321"/>
      <c r="AJ72" s="321"/>
      <c r="AK72" s="321"/>
      <c r="AL72" s="321"/>
      <c r="AM72" s="321"/>
      <c r="AN72" s="321"/>
      <c r="AO72" s="321"/>
      <c r="AP72" s="321"/>
      <c r="AQ72" s="321"/>
      <c r="AR72" s="321"/>
      <c r="AS72" s="321"/>
      <c r="AT72" s="321"/>
      <c r="AU72" s="321"/>
      <c r="AV72" s="321"/>
      <c r="AW72" s="321"/>
      <c r="AX72" s="321"/>
      <c r="AY72" s="321"/>
    </row>
    <row r="73" spans="1:51">
      <c r="A73" s="321"/>
      <c r="B73" s="321"/>
      <c r="C73" s="321"/>
      <c r="D73" s="321"/>
      <c r="E73" s="321"/>
      <c r="F73" s="321"/>
      <c r="G73" s="481"/>
      <c r="H73" s="481"/>
      <c r="I73" s="481"/>
      <c r="J73" s="481"/>
      <c r="K73" s="481"/>
      <c r="L73" s="481"/>
      <c r="M73" s="481"/>
      <c r="N73" s="481"/>
      <c r="O73" s="481"/>
      <c r="P73" s="481"/>
      <c r="Q73" s="481"/>
      <c r="R73" s="321"/>
      <c r="S73" s="321"/>
      <c r="T73" s="321"/>
      <c r="U73" s="321"/>
      <c r="V73" s="321"/>
      <c r="W73" s="321"/>
      <c r="X73" s="321"/>
      <c r="Y73" s="321"/>
      <c r="Z73" s="321"/>
      <c r="AA73" s="321"/>
      <c r="AB73" s="321"/>
      <c r="AC73" s="321"/>
      <c r="AD73" s="321"/>
      <c r="AE73" s="321"/>
      <c r="AF73" s="321"/>
      <c r="AG73" s="321"/>
      <c r="AH73" s="321"/>
      <c r="AI73" s="321"/>
      <c r="AJ73" s="321"/>
      <c r="AK73" s="321"/>
      <c r="AL73" s="321"/>
      <c r="AM73" s="321"/>
      <c r="AN73" s="321"/>
      <c r="AO73" s="321"/>
      <c r="AP73" s="321"/>
      <c r="AQ73" s="321"/>
      <c r="AR73" s="321"/>
      <c r="AS73" s="321"/>
      <c r="AT73" s="321"/>
      <c r="AU73" s="321"/>
      <c r="AV73" s="321"/>
      <c r="AW73" s="321"/>
      <c r="AX73" s="321"/>
      <c r="AY73" s="321"/>
    </row>
    <row r="74" spans="1:51">
      <c r="A74" s="321"/>
      <c r="B74" s="321"/>
      <c r="C74" s="321"/>
      <c r="D74" s="321"/>
      <c r="E74" s="321"/>
      <c r="F74" s="321"/>
      <c r="G74" s="481"/>
      <c r="H74" s="481"/>
      <c r="I74" s="481"/>
      <c r="J74" s="481"/>
      <c r="K74" s="481"/>
      <c r="L74" s="481"/>
      <c r="M74" s="481"/>
      <c r="N74" s="481"/>
      <c r="O74" s="481"/>
      <c r="P74" s="481"/>
      <c r="Q74" s="481"/>
      <c r="R74" s="321"/>
      <c r="S74" s="321"/>
      <c r="T74" s="321"/>
      <c r="U74" s="321"/>
      <c r="V74" s="321"/>
      <c r="W74" s="321"/>
      <c r="X74" s="321"/>
      <c r="Y74" s="321"/>
      <c r="Z74" s="321"/>
      <c r="AA74" s="321"/>
      <c r="AB74" s="321"/>
      <c r="AC74" s="321"/>
      <c r="AD74" s="321"/>
      <c r="AE74" s="321"/>
      <c r="AF74" s="321"/>
      <c r="AG74" s="321"/>
      <c r="AH74" s="321"/>
      <c r="AI74" s="321"/>
      <c r="AJ74" s="321"/>
      <c r="AK74" s="321"/>
      <c r="AL74" s="321"/>
      <c r="AM74" s="321"/>
      <c r="AN74" s="321"/>
      <c r="AO74" s="321"/>
      <c r="AP74" s="321"/>
      <c r="AQ74" s="321"/>
      <c r="AR74" s="321"/>
      <c r="AS74" s="321"/>
      <c r="AT74" s="321"/>
      <c r="AU74" s="321"/>
      <c r="AV74" s="321"/>
      <c r="AW74" s="321"/>
      <c r="AX74" s="321"/>
      <c r="AY74" s="321"/>
    </row>
    <row r="75" spans="1:51">
      <c r="A75" s="321"/>
      <c r="B75" s="321"/>
      <c r="C75" s="321"/>
      <c r="D75" s="321"/>
      <c r="E75" s="321"/>
      <c r="F75" s="321"/>
      <c r="G75" s="321"/>
      <c r="H75" s="321"/>
      <c r="I75" s="321"/>
      <c r="J75" s="321"/>
      <c r="K75" s="321"/>
      <c r="L75" s="321"/>
      <c r="M75" s="321"/>
      <c r="N75" s="321"/>
      <c r="O75" s="321"/>
      <c r="P75" s="321"/>
      <c r="Q75" s="321"/>
      <c r="R75" s="321"/>
      <c r="S75" s="321"/>
      <c r="T75" s="321"/>
      <c r="U75" s="321"/>
      <c r="V75" s="321"/>
      <c r="W75" s="321"/>
      <c r="X75" s="321"/>
      <c r="Y75" s="321"/>
      <c r="Z75" s="321"/>
      <c r="AA75" s="321"/>
      <c r="AB75" s="321"/>
      <c r="AC75" s="321"/>
      <c r="AD75" s="321"/>
      <c r="AE75" s="321"/>
      <c r="AF75" s="321"/>
      <c r="AG75" s="321"/>
      <c r="AH75" s="321"/>
      <c r="AI75" s="321"/>
      <c r="AJ75" s="321"/>
      <c r="AK75" s="321"/>
      <c r="AL75" s="321"/>
      <c r="AM75" s="321"/>
      <c r="AN75" s="321"/>
      <c r="AO75" s="321"/>
      <c r="AP75" s="321"/>
      <c r="AQ75" s="321"/>
      <c r="AR75" s="321"/>
      <c r="AS75" s="321"/>
      <c r="AT75" s="321"/>
      <c r="AU75" s="321"/>
      <c r="AV75" s="321"/>
      <c r="AW75" s="321"/>
      <c r="AX75" s="321"/>
      <c r="AY75" s="321"/>
    </row>
    <row r="76" spans="1:51">
      <c r="A76" s="321"/>
      <c r="B76" s="321"/>
      <c r="C76" s="321"/>
      <c r="D76" s="321"/>
      <c r="E76" s="321"/>
      <c r="F76" s="321"/>
      <c r="G76" s="321"/>
      <c r="H76" s="321"/>
      <c r="I76" s="321"/>
      <c r="J76" s="321"/>
      <c r="K76" s="321"/>
      <c r="L76" s="321"/>
      <c r="M76" s="321"/>
      <c r="N76" s="321"/>
      <c r="O76" s="321"/>
      <c r="P76" s="321"/>
      <c r="Q76" s="321"/>
      <c r="R76" s="321"/>
      <c r="S76" s="321"/>
      <c r="T76" s="321"/>
      <c r="U76" s="321"/>
      <c r="V76" s="321"/>
      <c r="W76" s="321"/>
      <c r="X76" s="321"/>
      <c r="Y76" s="321"/>
      <c r="Z76" s="321"/>
      <c r="AA76" s="321"/>
      <c r="AB76" s="321"/>
      <c r="AC76" s="321"/>
      <c r="AD76" s="321"/>
      <c r="AE76" s="321"/>
      <c r="AF76" s="321"/>
      <c r="AG76" s="321"/>
      <c r="AH76" s="321"/>
      <c r="AI76" s="321"/>
      <c r="AJ76" s="321"/>
      <c r="AK76" s="321"/>
      <c r="AL76" s="321"/>
      <c r="AM76" s="321"/>
      <c r="AN76" s="321"/>
      <c r="AO76" s="321"/>
      <c r="AP76" s="321"/>
      <c r="AQ76" s="321"/>
      <c r="AR76" s="321"/>
      <c r="AS76" s="321"/>
      <c r="AT76" s="321"/>
      <c r="AU76" s="321"/>
      <c r="AV76" s="321"/>
      <c r="AW76" s="321"/>
      <c r="AX76" s="321"/>
      <c r="AY76" s="321"/>
    </row>
    <row r="77" spans="1:51">
      <c r="A77" s="321"/>
      <c r="B77" s="321"/>
      <c r="C77" s="321"/>
      <c r="D77" s="321"/>
      <c r="E77" s="321"/>
      <c r="F77" s="321"/>
      <c r="G77" s="321"/>
      <c r="H77" s="321"/>
      <c r="I77" s="321"/>
      <c r="J77" s="321"/>
      <c r="K77" s="321"/>
      <c r="L77" s="321"/>
      <c r="M77" s="321"/>
      <c r="N77" s="321"/>
      <c r="O77" s="321"/>
      <c r="P77" s="321"/>
      <c r="Q77" s="321"/>
      <c r="R77" s="321"/>
      <c r="S77" s="321"/>
      <c r="T77" s="321"/>
      <c r="U77" s="321"/>
      <c r="V77" s="321"/>
      <c r="W77" s="321"/>
      <c r="X77" s="321"/>
      <c r="Y77" s="321"/>
      <c r="Z77" s="321"/>
      <c r="AA77" s="321"/>
      <c r="AB77" s="321"/>
      <c r="AC77" s="321"/>
      <c r="AD77" s="321"/>
      <c r="AE77" s="321"/>
      <c r="AF77" s="321"/>
      <c r="AG77" s="321"/>
      <c r="AH77" s="321"/>
      <c r="AI77" s="321"/>
      <c r="AJ77" s="321"/>
      <c r="AK77" s="321"/>
      <c r="AL77" s="321"/>
      <c r="AM77" s="321"/>
      <c r="AN77" s="321"/>
      <c r="AO77" s="321"/>
      <c r="AP77" s="321"/>
      <c r="AQ77" s="321"/>
      <c r="AR77" s="321"/>
      <c r="AS77" s="321"/>
      <c r="AT77" s="321"/>
      <c r="AU77" s="321"/>
      <c r="AV77" s="321"/>
      <c r="AW77" s="321"/>
      <c r="AX77" s="321"/>
      <c r="AY77" s="321"/>
    </row>
    <row r="78" spans="1:51">
      <c r="A78" s="321"/>
      <c r="B78" s="321"/>
      <c r="C78" s="321"/>
      <c r="D78" s="321"/>
      <c r="E78" s="321"/>
      <c r="F78" s="321"/>
      <c r="G78" s="321"/>
      <c r="H78" s="321"/>
      <c r="I78" s="321"/>
      <c r="J78" s="321"/>
      <c r="K78" s="321"/>
      <c r="L78" s="321"/>
      <c r="M78" s="321"/>
      <c r="N78" s="321"/>
      <c r="O78" s="321"/>
      <c r="P78" s="321"/>
      <c r="Q78" s="321"/>
      <c r="R78" s="321"/>
      <c r="S78" s="321"/>
      <c r="T78" s="321"/>
      <c r="U78" s="321"/>
      <c r="V78" s="321"/>
      <c r="W78" s="321"/>
      <c r="X78" s="321"/>
      <c r="Y78" s="321"/>
      <c r="Z78" s="321"/>
      <c r="AA78" s="321"/>
      <c r="AB78" s="321"/>
      <c r="AC78" s="321"/>
      <c r="AD78" s="321"/>
      <c r="AE78" s="321"/>
      <c r="AF78" s="321"/>
      <c r="AG78" s="321"/>
      <c r="AH78" s="321"/>
      <c r="AI78" s="321"/>
      <c r="AJ78" s="321"/>
      <c r="AK78" s="321"/>
      <c r="AL78" s="321"/>
      <c r="AM78" s="321"/>
      <c r="AN78" s="321"/>
      <c r="AO78" s="321"/>
      <c r="AP78" s="321"/>
      <c r="AQ78" s="321"/>
      <c r="AR78" s="321"/>
      <c r="AS78" s="321"/>
      <c r="AT78" s="321"/>
      <c r="AU78" s="321"/>
      <c r="AV78" s="321"/>
      <c r="AW78" s="321"/>
      <c r="AX78" s="321"/>
      <c r="AY78" s="321"/>
    </row>
    <row r="79" spans="1:51">
      <c r="A79" s="321"/>
      <c r="B79" s="321"/>
      <c r="C79" s="321"/>
      <c r="D79" s="321"/>
      <c r="E79" s="321"/>
      <c r="F79" s="321"/>
      <c r="G79" s="321"/>
      <c r="H79" s="321"/>
      <c r="I79" s="321"/>
      <c r="J79" s="321"/>
      <c r="K79" s="321"/>
      <c r="L79" s="321"/>
      <c r="M79" s="321"/>
      <c r="N79" s="321"/>
      <c r="O79" s="321"/>
      <c r="P79" s="321"/>
      <c r="Q79" s="321"/>
      <c r="R79" s="321"/>
      <c r="S79" s="321"/>
      <c r="T79" s="321"/>
      <c r="U79" s="321"/>
      <c r="V79" s="321"/>
      <c r="W79" s="321"/>
      <c r="X79" s="321"/>
      <c r="Y79" s="321"/>
      <c r="Z79" s="321"/>
      <c r="AA79" s="321"/>
      <c r="AB79" s="321"/>
      <c r="AC79" s="321"/>
      <c r="AD79" s="321"/>
      <c r="AE79" s="321"/>
      <c r="AF79" s="321"/>
      <c r="AG79" s="321"/>
      <c r="AH79" s="321"/>
      <c r="AI79" s="321"/>
      <c r="AJ79" s="321"/>
      <c r="AK79" s="321"/>
      <c r="AL79" s="321"/>
      <c r="AM79" s="321"/>
      <c r="AN79" s="321"/>
      <c r="AO79" s="321"/>
      <c r="AP79" s="321"/>
      <c r="AQ79" s="321"/>
      <c r="AR79" s="321"/>
      <c r="AS79" s="321"/>
      <c r="AT79" s="321"/>
      <c r="AU79" s="321"/>
      <c r="AV79" s="321"/>
      <c r="AW79" s="321"/>
      <c r="AX79" s="321"/>
      <c r="AY79" s="321"/>
    </row>
    <row r="80" spans="1:51">
      <c r="A80" s="321"/>
      <c r="B80" s="321"/>
      <c r="C80" s="321"/>
      <c r="D80" s="321"/>
      <c r="E80" s="321"/>
      <c r="F80" s="321"/>
      <c r="G80" s="321"/>
      <c r="H80" s="321"/>
      <c r="I80" s="321"/>
      <c r="J80" s="321"/>
      <c r="K80" s="321"/>
      <c r="L80" s="321"/>
      <c r="M80" s="321"/>
      <c r="N80" s="321"/>
      <c r="O80" s="321"/>
      <c r="P80" s="321"/>
      <c r="Q80" s="321"/>
      <c r="R80" s="321"/>
      <c r="S80" s="321"/>
      <c r="T80" s="321"/>
      <c r="U80" s="321"/>
      <c r="V80" s="321"/>
      <c r="W80" s="321"/>
      <c r="X80" s="321"/>
      <c r="Y80" s="321"/>
      <c r="Z80" s="321"/>
      <c r="AA80" s="321"/>
      <c r="AB80" s="321"/>
      <c r="AC80" s="321"/>
      <c r="AD80" s="321"/>
      <c r="AE80" s="321"/>
      <c r="AF80" s="321"/>
      <c r="AG80" s="321"/>
      <c r="AH80" s="321"/>
      <c r="AI80" s="321"/>
      <c r="AJ80" s="321"/>
      <c r="AK80" s="321"/>
      <c r="AL80" s="321"/>
      <c r="AM80" s="321"/>
      <c r="AN80" s="321"/>
      <c r="AO80" s="321"/>
      <c r="AP80" s="321"/>
      <c r="AQ80" s="321"/>
      <c r="AR80" s="321"/>
      <c r="AS80" s="321"/>
      <c r="AT80" s="321"/>
      <c r="AU80" s="321"/>
      <c r="AV80" s="321"/>
      <c r="AW80" s="321"/>
      <c r="AX80" s="321"/>
      <c r="AY80" s="321"/>
    </row>
    <row r="81" spans="1:51">
      <c r="A81" s="321"/>
      <c r="B81" s="321"/>
      <c r="C81" s="321"/>
      <c r="D81" s="321"/>
      <c r="E81" s="321"/>
      <c r="F81" s="321"/>
      <c r="G81" s="321"/>
      <c r="H81" s="321"/>
      <c r="I81" s="321"/>
      <c r="J81" s="321"/>
      <c r="K81" s="321"/>
      <c r="L81" s="321"/>
      <c r="M81" s="321"/>
      <c r="N81" s="321"/>
      <c r="O81" s="321"/>
      <c r="P81" s="321"/>
      <c r="Q81" s="321"/>
      <c r="R81" s="321"/>
      <c r="S81" s="321"/>
      <c r="T81" s="321"/>
      <c r="U81" s="321"/>
      <c r="V81" s="321"/>
      <c r="W81" s="321"/>
      <c r="X81" s="321"/>
      <c r="Y81" s="321"/>
      <c r="Z81" s="321"/>
      <c r="AA81" s="321"/>
      <c r="AB81" s="321"/>
      <c r="AC81" s="321"/>
      <c r="AD81" s="321"/>
      <c r="AE81" s="321"/>
      <c r="AF81" s="321"/>
      <c r="AG81" s="321"/>
      <c r="AH81" s="321"/>
      <c r="AI81" s="321"/>
      <c r="AJ81" s="321"/>
      <c r="AK81" s="321"/>
      <c r="AL81" s="321"/>
      <c r="AM81" s="321"/>
      <c r="AN81" s="321"/>
      <c r="AO81" s="321"/>
      <c r="AP81" s="321"/>
      <c r="AQ81" s="321"/>
      <c r="AR81" s="321"/>
      <c r="AS81" s="321"/>
      <c r="AT81" s="321"/>
      <c r="AU81" s="321"/>
      <c r="AV81" s="321"/>
      <c r="AW81" s="321"/>
      <c r="AX81" s="321"/>
      <c r="AY81" s="321"/>
    </row>
    <row r="82" spans="1:51">
      <c r="A82" s="321"/>
      <c r="B82" s="321"/>
      <c r="C82" s="321"/>
      <c r="D82" s="321"/>
      <c r="E82" s="321"/>
      <c r="F82" s="321"/>
      <c r="G82" s="321"/>
      <c r="H82" s="321"/>
      <c r="I82" s="321"/>
      <c r="J82" s="321"/>
      <c r="K82" s="321"/>
      <c r="L82" s="321"/>
      <c r="M82" s="321"/>
      <c r="N82" s="321"/>
      <c r="O82" s="321"/>
      <c r="P82" s="321"/>
      <c r="Q82" s="321"/>
      <c r="R82" s="321"/>
      <c r="S82" s="321"/>
      <c r="T82" s="321"/>
      <c r="U82" s="321"/>
      <c r="V82" s="321"/>
      <c r="W82" s="321"/>
      <c r="X82" s="321"/>
      <c r="Y82" s="321"/>
      <c r="Z82" s="321"/>
      <c r="AA82" s="321"/>
      <c r="AB82" s="321"/>
      <c r="AC82" s="321"/>
      <c r="AD82" s="321"/>
      <c r="AE82" s="321"/>
      <c r="AF82" s="321"/>
      <c r="AG82" s="321"/>
      <c r="AH82" s="321"/>
      <c r="AI82" s="321"/>
      <c r="AJ82" s="321"/>
      <c r="AK82" s="321"/>
      <c r="AL82" s="321"/>
      <c r="AM82" s="321"/>
      <c r="AN82" s="321"/>
      <c r="AO82" s="321"/>
      <c r="AP82" s="321"/>
      <c r="AQ82" s="321"/>
      <c r="AR82" s="321"/>
      <c r="AS82" s="321"/>
      <c r="AT82" s="321"/>
      <c r="AU82" s="321"/>
      <c r="AV82" s="321"/>
      <c r="AW82" s="321"/>
      <c r="AX82" s="321"/>
      <c r="AY82" s="321"/>
    </row>
    <row r="83" spans="1:51">
      <c r="A83" s="321"/>
      <c r="B83" s="321"/>
      <c r="C83" s="321"/>
      <c r="D83" s="321"/>
      <c r="E83" s="321"/>
      <c r="F83" s="321"/>
      <c r="G83" s="321"/>
      <c r="H83" s="321"/>
      <c r="I83" s="321"/>
      <c r="J83" s="321"/>
      <c r="K83" s="321"/>
      <c r="L83" s="321"/>
      <c r="M83" s="321"/>
      <c r="N83" s="321"/>
      <c r="O83" s="321"/>
      <c r="P83" s="321"/>
      <c r="Q83" s="321"/>
      <c r="R83" s="321"/>
      <c r="S83" s="321"/>
      <c r="T83" s="321"/>
      <c r="U83" s="321"/>
      <c r="V83" s="321"/>
      <c r="W83" s="321"/>
      <c r="X83" s="321"/>
      <c r="Y83" s="321"/>
      <c r="Z83" s="321"/>
      <c r="AA83" s="321"/>
      <c r="AB83" s="321"/>
      <c r="AC83" s="321"/>
      <c r="AD83" s="321"/>
      <c r="AE83" s="321"/>
      <c r="AF83" s="321"/>
      <c r="AG83" s="321"/>
      <c r="AH83" s="321"/>
      <c r="AI83" s="321"/>
      <c r="AJ83" s="321"/>
      <c r="AK83" s="321"/>
      <c r="AL83" s="321"/>
      <c r="AM83" s="321"/>
      <c r="AN83" s="321"/>
      <c r="AO83" s="321"/>
      <c r="AP83" s="321"/>
      <c r="AQ83" s="321"/>
      <c r="AR83" s="321"/>
      <c r="AS83" s="321"/>
      <c r="AT83" s="321"/>
      <c r="AU83" s="321"/>
      <c r="AV83" s="321"/>
      <c r="AW83" s="321"/>
      <c r="AX83" s="321"/>
      <c r="AY83" s="321"/>
    </row>
    <row r="84" spans="1:51">
      <c r="A84" s="321"/>
      <c r="B84" s="321"/>
      <c r="C84" s="321"/>
      <c r="D84" s="321"/>
      <c r="E84" s="321"/>
      <c r="F84" s="321"/>
      <c r="G84" s="321"/>
      <c r="H84" s="321"/>
      <c r="I84" s="321"/>
      <c r="J84" s="321"/>
      <c r="K84" s="321"/>
      <c r="L84" s="321"/>
      <c r="M84" s="321"/>
      <c r="N84" s="321"/>
      <c r="O84" s="321"/>
      <c r="P84" s="321"/>
      <c r="Q84" s="321"/>
      <c r="R84" s="321"/>
      <c r="S84" s="321"/>
      <c r="T84" s="321"/>
      <c r="U84" s="321"/>
      <c r="V84" s="321"/>
      <c r="W84" s="321"/>
      <c r="X84" s="321"/>
      <c r="Y84" s="321"/>
      <c r="Z84" s="321"/>
      <c r="AA84" s="321"/>
      <c r="AB84" s="321"/>
      <c r="AC84" s="321"/>
      <c r="AD84" s="321"/>
      <c r="AE84" s="321"/>
      <c r="AF84" s="321"/>
      <c r="AG84" s="321"/>
      <c r="AH84" s="321"/>
      <c r="AI84" s="321"/>
      <c r="AJ84" s="321"/>
      <c r="AK84" s="321"/>
      <c r="AL84" s="321"/>
      <c r="AM84" s="321"/>
      <c r="AN84" s="321"/>
      <c r="AO84" s="321"/>
      <c r="AP84" s="321"/>
      <c r="AQ84" s="321"/>
      <c r="AR84" s="321"/>
      <c r="AS84" s="321"/>
      <c r="AT84" s="321"/>
      <c r="AU84" s="321"/>
      <c r="AV84" s="321"/>
      <c r="AW84" s="321"/>
      <c r="AX84" s="321"/>
      <c r="AY84" s="321"/>
    </row>
    <row r="85" spans="1:51">
      <c r="A85" s="321"/>
      <c r="B85" s="321"/>
      <c r="C85" s="321"/>
      <c r="D85" s="321"/>
      <c r="E85" s="321"/>
      <c r="F85" s="321"/>
      <c r="G85" s="321"/>
      <c r="H85" s="321"/>
      <c r="I85" s="321"/>
      <c r="J85" s="321"/>
      <c r="K85" s="321"/>
      <c r="L85" s="321"/>
      <c r="M85" s="321"/>
      <c r="N85" s="321"/>
      <c r="O85" s="321"/>
      <c r="P85" s="321"/>
      <c r="Q85" s="321"/>
      <c r="R85" s="321"/>
      <c r="S85" s="321"/>
      <c r="T85" s="321"/>
      <c r="U85" s="321"/>
      <c r="V85" s="321"/>
      <c r="W85" s="321"/>
      <c r="X85" s="321"/>
      <c r="Y85" s="321"/>
      <c r="Z85" s="321"/>
      <c r="AA85" s="321"/>
      <c r="AB85" s="321"/>
      <c r="AC85" s="321"/>
      <c r="AD85" s="321"/>
      <c r="AE85" s="321"/>
      <c r="AF85" s="321"/>
      <c r="AG85" s="321"/>
      <c r="AH85" s="321"/>
      <c r="AI85" s="321"/>
      <c r="AJ85" s="321"/>
      <c r="AK85" s="321"/>
      <c r="AL85" s="321"/>
      <c r="AM85" s="321"/>
      <c r="AN85" s="321"/>
      <c r="AO85" s="321"/>
      <c r="AP85" s="321"/>
      <c r="AQ85" s="321"/>
      <c r="AR85" s="321"/>
      <c r="AS85" s="321"/>
      <c r="AT85" s="321"/>
      <c r="AU85" s="321"/>
      <c r="AV85" s="321"/>
      <c r="AW85" s="321"/>
      <c r="AX85" s="321"/>
      <c r="AY85" s="321"/>
    </row>
    <row r="86" spans="1:51">
      <c r="A86" s="321"/>
      <c r="B86" s="321"/>
      <c r="C86" s="321"/>
      <c r="D86" s="321"/>
      <c r="E86" s="321"/>
      <c r="F86" s="321"/>
      <c r="G86" s="321"/>
      <c r="H86" s="321"/>
      <c r="I86" s="321"/>
      <c r="J86" s="321"/>
      <c r="K86" s="321"/>
      <c r="L86" s="321"/>
      <c r="M86" s="321"/>
      <c r="N86" s="321"/>
      <c r="O86" s="321"/>
      <c r="P86" s="321"/>
      <c r="Q86" s="321"/>
      <c r="R86" s="321"/>
      <c r="S86" s="321"/>
      <c r="T86" s="321"/>
      <c r="U86" s="321"/>
      <c r="V86" s="321"/>
      <c r="W86" s="321"/>
      <c r="X86" s="321"/>
      <c r="Y86" s="321"/>
      <c r="Z86" s="321"/>
      <c r="AA86" s="321"/>
      <c r="AB86" s="321"/>
      <c r="AC86" s="321"/>
      <c r="AD86" s="321"/>
      <c r="AE86" s="321"/>
      <c r="AF86" s="321"/>
      <c r="AG86" s="321"/>
      <c r="AH86" s="321"/>
      <c r="AI86" s="321"/>
      <c r="AJ86" s="321"/>
      <c r="AK86" s="321"/>
      <c r="AL86" s="321"/>
      <c r="AM86" s="321"/>
      <c r="AN86" s="321"/>
      <c r="AO86" s="321"/>
      <c r="AP86" s="321"/>
      <c r="AQ86" s="321"/>
      <c r="AR86" s="321"/>
      <c r="AS86" s="321"/>
      <c r="AT86" s="321"/>
      <c r="AU86" s="321"/>
      <c r="AV86" s="321"/>
      <c r="AW86" s="321"/>
      <c r="AX86" s="321"/>
      <c r="AY86" s="321"/>
    </row>
    <row r="87" spans="1:51">
      <c r="A87" s="321"/>
      <c r="B87" s="321"/>
      <c r="C87" s="321"/>
      <c r="D87" s="321"/>
      <c r="E87" s="321"/>
      <c r="F87" s="321"/>
      <c r="G87" s="321"/>
      <c r="H87" s="321"/>
      <c r="I87" s="321"/>
      <c r="J87" s="321"/>
      <c r="K87" s="321"/>
      <c r="L87" s="321"/>
      <c r="M87" s="321"/>
      <c r="N87" s="321"/>
      <c r="O87" s="321"/>
      <c r="P87" s="321"/>
      <c r="Q87" s="321"/>
      <c r="R87" s="321"/>
      <c r="S87" s="321"/>
      <c r="T87" s="321"/>
      <c r="U87" s="321"/>
      <c r="V87" s="321"/>
      <c r="W87" s="321"/>
      <c r="X87" s="321"/>
      <c r="Y87" s="321"/>
      <c r="Z87" s="321"/>
      <c r="AA87" s="321"/>
      <c r="AB87" s="321"/>
      <c r="AC87" s="321"/>
      <c r="AD87" s="321"/>
      <c r="AE87" s="321"/>
      <c r="AF87" s="321"/>
      <c r="AG87" s="321"/>
      <c r="AH87" s="321"/>
      <c r="AI87" s="321"/>
      <c r="AJ87" s="321"/>
      <c r="AK87" s="321"/>
      <c r="AL87" s="321"/>
      <c r="AM87" s="321"/>
      <c r="AN87" s="321"/>
      <c r="AO87" s="321"/>
      <c r="AP87" s="321"/>
      <c r="AQ87" s="321"/>
      <c r="AR87" s="321"/>
      <c r="AS87" s="321"/>
      <c r="AT87" s="321"/>
      <c r="AU87" s="321"/>
      <c r="AV87" s="321"/>
      <c r="AW87" s="321"/>
      <c r="AX87" s="321"/>
      <c r="AY87" s="321"/>
    </row>
    <row r="88" spans="1:51">
      <c r="A88" s="321"/>
      <c r="B88" s="321"/>
      <c r="C88" s="321"/>
      <c r="D88" s="321"/>
      <c r="E88" s="321"/>
      <c r="F88" s="321"/>
      <c r="G88" s="321"/>
      <c r="H88" s="321"/>
      <c r="I88" s="321"/>
      <c r="J88" s="321"/>
      <c r="K88" s="321"/>
      <c r="L88" s="321"/>
      <c r="M88" s="321"/>
      <c r="N88" s="321"/>
      <c r="O88" s="321"/>
      <c r="P88" s="321"/>
      <c r="Q88" s="321"/>
      <c r="R88" s="321"/>
      <c r="S88" s="321"/>
      <c r="T88" s="321"/>
      <c r="U88" s="321"/>
      <c r="V88" s="321"/>
      <c r="W88" s="321"/>
      <c r="X88" s="321"/>
      <c r="Y88" s="321"/>
      <c r="Z88" s="321"/>
      <c r="AA88" s="321"/>
      <c r="AB88" s="321"/>
      <c r="AC88" s="321"/>
      <c r="AD88" s="321"/>
      <c r="AE88" s="321"/>
      <c r="AF88" s="321"/>
      <c r="AG88" s="321"/>
      <c r="AH88" s="321"/>
      <c r="AI88" s="321"/>
      <c r="AJ88" s="321"/>
      <c r="AK88" s="321"/>
      <c r="AL88" s="321"/>
      <c r="AM88" s="321"/>
      <c r="AN88" s="321"/>
      <c r="AO88" s="321"/>
      <c r="AP88" s="321"/>
      <c r="AQ88" s="321"/>
      <c r="AR88" s="321"/>
      <c r="AS88" s="321"/>
      <c r="AT88" s="321"/>
      <c r="AU88" s="321"/>
      <c r="AV88" s="321"/>
      <c r="AW88" s="321"/>
      <c r="AX88" s="321"/>
      <c r="AY88" s="321"/>
    </row>
    <row r="89" spans="1:51">
      <c r="A89" s="321"/>
      <c r="B89" s="321"/>
      <c r="C89" s="321"/>
      <c r="D89" s="321"/>
      <c r="E89" s="321"/>
      <c r="F89" s="321"/>
      <c r="G89" s="321"/>
      <c r="H89" s="321"/>
      <c r="I89" s="321"/>
      <c r="J89" s="321"/>
      <c r="K89" s="321"/>
      <c r="L89" s="321"/>
      <c r="M89" s="321"/>
      <c r="N89" s="321"/>
      <c r="O89" s="321"/>
      <c r="P89" s="321"/>
      <c r="Q89" s="321"/>
      <c r="R89" s="321"/>
      <c r="S89" s="321"/>
      <c r="T89" s="321"/>
      <c r="U89" s="321"/>
      <c r="V89" s="321"/>
      <c r="W89" s="321"/>
      <c r="X89" s="321"/>
      <c r="Y89" s="321"/>
      <c r="Z89" s="321"/>
      <c r="AA89" s="321"/>
      <c r="AB89" s="321"/>
      <c r="AC89" s="321"/>
      <c r="AD89" s="321"/>
      <c r="AE89" s="321"/>
      <c r="AF89" s="321"/>
      <c r="AG89" s="321"/>
      <c r="AH89" s="321"/>
      <c r="AI89" s="321"/>
      <c r="AJ89" s="321"/>
      <c r="AK89" s="321"/>
      <c r="AL89" s="321"/>
      <c r="AM89" s="321"/>
      <c r="AN89" s="321"/>
      <c r="AO89" s="321"/>
      <c r="AP89" s="321"/>
      <c r="AQ89" s="321"/>
      <c r="AR89" s="321"/>
      <c r="AS89" s="321"/>
      <c r="AT89" s="321"/>
      <c r="AU89" s="321"/>
      <c r="AV89" s="321"/>
      <c r="AW89" s="321"/>
      <c r="AX89" s="321"/>
      <c r="AY89" s="321"/>
    </row>
    <row r="90" spans="1:51">
      <c r="A90" s="321"/>
      <c r="B90" s="321"/>
      <c r="C90" s="321"/>
      <c r="D90" s="321"/>
      <c r="E90" s="321"/>
      <c r="F90" s="321"/>
      <c r="G90" s="321"/>
      <c r="H90" s="321"/>
      <c r="I90" s="321"/>
      <c r="J90" s="321"/>
      <c r="K90" s="321"/>
      <c r="L90" s="321"/>
      <c r="M90" s="321"/>
      <c r="N90" s="321"/>
      <c r="O90" s="321"/>
      <c r="P90" s="321"/>
      <c r="Q90" s="321"/>
      <c r="R90" s="321"/>
      <c r="S90" s="321"/>
      <c r="T90" s="321"/>
      <c r="U90" s="321"/>
      <c r="V90" s="321"/>
      <c r="W90" s="321"/>
      <c r="X90" s="321"/>
      <c r="Y90" s="321"/>
      <c r="Z90" s="321"/>
      <c r="AA90" s="321"/>
      <c r="AB90" s="321"/>
      <c r="AC90" s="321"/>
      <c r="AD90" s="321"/>
      <c r="AE90" s="321"/>
      <c r="AF90" s="321"/>
      <c r="AG90" s="321"/>
      <c r="AH90" s="321"/>
      <c r="AI90" s="321"/>
      <c r="AJ90" s="321"/>
      <c r="AK90" s="321"/>
      <c r="AL90" s="321"/>
      <c r="AM90" s="321"/>
      <c r="AN90" s="321"/>
      <c r="AO90" s="321"/>
      <c r="AP90" s="321"/>
      <c r="AQ90" s="321"/>
      <c r="AR90" s="321"/>
      <c r="AS90" s="321"/>
      <c r="AT90" s="321"/>
      <c r="AU90" s="321"/>
      <c r="AV90" s="321"/>
      <c r="AW90" s="321"/>
      <c r="AX90" s="321"/>
      <c r="AY90" s="321"/>
    </row>
    <row r="91" spans="1:51">
      <c r="A91" s="321"/>
      <c r="B91" s="321"/>
      <c r="C91" s="321"/>
      <c r="D91" s="321"/>
      <c r="E91" s="321"/>
      <c r="F91" s="321"/>
      <c r="G91" s="321"/>
      <c r="H91" s="321"/>
      <c r="I91" s="321"/>
      <c r="J91" s="321"/>
      <c r="K91" s="321"/>
      <c r="L91" s="321"/>
      <c r="M91" s="321"/>
      <c r="N91" s="321"/>
      <c r="O91" s="321"/>
      <c r="P91" s="321"/>
      <c r="Q91" s="321"/>
      <c r="R91" s="321"/>
      <c r="S91" s="321"/>
      <c r="T91" s="321"/>
      <c r="U91" s="321"/>
      <c r="V91" s="321"/>
      <c r="W91" s="321"/>
      <c r="X91" s="321"/>
      <c r="Y91" s="321"/>
      <c r="Z91" s="321"/>
      <c r="AA91" s="321"/>
      <c r="AB91" s="321"/>
      <c r="AC91" s="321"/>
      <c r="AD91" s="321"/>
      <c r="AE91" s="321"/>
      <c r="AF91" s="321"/>
      <c r="AG91" s="321"/>
      <c r="AH91" s="321"/>
      <c r="AI91" s="321"/>
      <c r="AJ91" s="321"/>
      <c r="AK91" s="321"/>
      <c r="AL91" s="321"/>
      <c r="AM91" s="321"/>
      <c r="AN91" s="321"/>
      <c r="AO91" s="321"/>
      <c r="AP91" s="321"/>
      <c r="AQ91" s="321"/>
      <c r="AR91" s="321"/>
      <c r="AS91" s="321"/>
      <c r="AT91" s="321"/>
      <c r="AU91" s="321"/>
      <c r="AV91" s="321"/>
      <c r="AW91" s="321"/>
      <c r="AX91" s="321"/>
      <c r="AY91" s="321"/>
    </row>
    <row r="92" spans="1:51">
      <c r="A92" s="321"/>
      <c r="B92" s="321"/>
      <c r="C92" s="321"/>
      <c r="D92" s="321"/>
      <c r="E92" s="321"/>
      <c r="F92" s="321"/>
      <c r="G92" s="321"/>
      <c r="H92" s="321"/>
      <c r="I92" s="321"/>
      <c r="J92" s="321"/>
      <c r="K92" s="321"/>
      <c r="L92" s="321"/>
      <c r="M92" s="321"/>
      <c r="N92" s="321"/>
      <c r="O92" s="321"/>
      <c r="P92" s="321"/>
      <c r="Q92" s="321"/>
      <c r="R92" s="321"/>
      <c r="S92" s="321"/>
      <c r="T92" s="321"/>
      <c r="U92" s="321"/>
      <c r="V92" s="321"/>
      <c r="W92" s="321"/>
      <c r="X92" s="321"/>
      <c r="Y92" s="321"/>
      <c r="Z92" s="321"/>
      <c r="AA92" s="321"/>
      <c r="AB92" s="321"/>
      <c r="AC92" s="321"/>
      <c r="AD92" s="321"/>
      <c r="AE92" s="321"/>
      <c r="AF92" s="321"/>
      <c r="AG92" s="321"/>
      <c r="AH92" s="321"/>
      <c r="AI92" s="321"/>
      <c r="AJ92" s="321"/>
      <c r="AK92" s="321"/>
      <c r="AL92" s="321"/>
      <c r="AM92" s="321"/>
      <c r="AN92" s="321"/>
      <c r="AO92" s="321"/>
      <c r="AP92" s="321"/>
      <c r="AQ92" s="321"/>
      <c r="AR92" s="321"/>
      <c r="AS92" s="321"/>
      <c r="AT92" s="321"/>
      <c r="AU92" s="321"/>
      <c r="AV92" s="321"/>
      <c r="AW92" s="321"/>
      <c r="AX92" s="321"/>
      <c r="AY92" s="321"/>
    </row>
    <row r="93" spans="1:51">
      <c r="A93" s="321"/>
      <c r="B93" s="321"/>
      <c r="C93" s="321"/>
      <c r="D93" s="321"/>
      <c r="E93" s="321"/>
      <c r="F93" s="321"/>
      <c r="G93" s="321"/>
      <c r="H93" s="321"/>
      <c r="I93" s="321"/>
      <c r="J93" s="321"/>
      <c r="K93" s="321"/>
      <c r="L93" s="321"/>
      <c r="M93" s="321"/>
      <c r="N93" s="321"/>
      <c r="O93" s="321"/>
      <c r="P93" s="321"/>
      <c r="Q93" s="321"/>
      <c r="R93" s="321"/>
      <c r="S93" s="321"/>
      <c r="T93" s="321"/>
      <c r="U93" s="321"/>
      <c r="V93" s="321"/>
      <c r="W93" s="321"/>
      <c r="X93" s="321"/>
      <c r="Y93" s="321"/>
      <c r="Z93" s="321"/>
      <c r="AA93" s="321"/>
      <c r="AB93" s="321"/>
      <c r="AC93" s="321"/>
      <c r="AD93" s="321"/>
      <c r="AE93" s="321"/>
      <c r="AF93" s="321"/>
      <c r="AG93" s="321"/>
      <c r="AH93" s="321"/>
      <c r="AI93" s="321"/>
      <c r="AJ93" s="321"/>
      <c r="AK93" s="321"/>
      <c r="AL93" s="321"/>
      <c r="AM93" s="321"/>
      <c r="AN93" s="321"/>
      <c r="AO93" s="321"/>
      <c r="AP93" s="321"/>
      <c r="AQ93" s="321"/>
      <c r="AR93" s="321"/>
      <c r="AS93" s="321"/>
      <c r="AT93" s="321"/>
      <c r="AU93" s="321"/>
      <c r="AV93" s="321"/>
      <c r="AW93" s="321"/>
      <c r="AX93" s="321"/>
      <c r="AY93" s="321"/>
    </row>
    <row r="94" spans="1:51">
      <c r="A94" s="321"/>
      <c r="B94" s="321"/>
      <c r="C94" s="321"/>
      <c r="D94" s="321"/>
      <c r="E94" s="321"/>
      <c r="F94" s="321"/>
      <c r="G94" s="321"/>
      <c r="H94" s="321"/>
      <c r="I94" s="321"/>
      <c r="J94" s="321"/>
      <c r="K94" s="321"/>
      <c r="L94" s="321"/>
      <c r="M94" s="321"/>
      <c r="N94" s="321"/>
      <c r="O94" s="321"/>
      <c r="P94" s="321"/>
      <c r="Q94" s="321"/>
      <c r="R94" s="321"/>
      <c r="S94" s="321"/>
      <c r="T94" s="321"/>
      <c r="U94" s="321"/>
      <c r="V94" s="321"/>
      <c r="W94" s="321"/>
      <c r="X94" s="321"/>
      <c r="Y94" s="321"/>
      <c r="Z94" s="321"/>
      <c r="AA94" s="321"/>
      <c r="AB94" s="321"/>
      <c r="AC94" s="321"/>
      <c r="AD94" s="321"/>
      <c r="AE94" s="321"/>
      <c r="AF94" s="321"/>
      <c r="AG94" s="321"/>
      <c r="AH94" s="321"/>
      <c r="AI94" s="321"/>
      <c r="AJ94" s="321"/>
      <c r="AK94" s="321"/>
      <c r="AL94" s="321"/>
      <c r="AM94" s="321"/>
      <c r="AN94" s="321"/>
      <c r="AO94" s="321"/>
      <c r="AP94" s="321"/>
      <c r="AQ94" s="321"/>
      <c r="AR94" s="321"/>
      <c r="AS94" s="321"/>
      <c r="AT94" s="321"/>
      <c r="AU94" s="321"/>
      <c r="AV94" s="321"/>
      <c r="AW94" s="321"/>
      <c r="AX94" s="321"/>
      <c r="AY94" s="321"/>
    </row>
    <row r="95" spans="1:51">
      <c r="A95" s="321"/>
      <c r="B95" s="321"/>
      <c r="C95" s="321"/>
      <c r="D95" s="321"/>
      <c r="E95" s="321"/>
      <c r="F95" s="321"/>
      <c r="G95" s="321"/>
      <c r="H95" s="321"/>
      <c r="I95" s="321"/>
      <c r="J95" s="321"/>
      <c r="K95" s="321"/>
      <c r="L95" s="321"/>
      <c r="M95" s="321"/>
      <c r="N95" s="321"/>
      <c r="O95" s="321"/>
      <c r="P95" s="321"/>
      <c r="Q95" s="321"/>
      <c r="R95" s="321"/>
      <c r="S95" s="321"/>
      <c r="T95" s="321"/>
      <c r="U95" s="321"/>
      <c r="V95" s="321"/>
      <c r="W95" s="321"/>
      <c r="X95" s="321"/>
      <c r="Y95" s="321"/>
      <c r="Z95" s="321"/>
      <c r="AA95" s="321"/>
      <c r="AB95" s="321"/>
      <c r="AC95" s="321"/>
      <c r="AD95" s="321"/>
      <c r="AE95" s="321"/>
      <c r="AF95" s="321"/>
      <c r="AG95" s="321"/>
      <c r="AH95" s="321"/>
      <c r="AI95" s="321"/>
      <c r="AJ95" s="321"/>
      <c r="AK95" s="321"/>
      <c r="AL95" s="321"/>
      <c r="AM95" s="321"/>
      <c r="AN95" s="321"/>
      <c r="AO95" s="321"/>
      <c r="AP95" s="321"/>
      <c r="AQ95" s="321"/>
      <c r="AR95" s="321"/>
      <c r="AS95" s="321"/>
      <c r="AT95" s="321"/>
      <c r="AU95" s="321"/>
      <c r="AV95" s="321"/>
      <c r="AW95" s="321"/>
      <c r="AX95" s="321"/>
      <c r="AY95" s="321"/>
    </row>
    <row r="96" spans="1:51">
      <c r="A96" s="321"/>
      <c r="B96" s="321"/>
      <c r="C96" s="321"/>
      <c r="D96" s="321"/>
      <c r="E96" s="321"/>
      <c r="F96" s="321"/>
      <c r="G96" s="321"/>
      <c r="H96" s="321"/>
      <c r="I96" s="321"/>
      <c r="J96" s="321"/>
      <c r="K96" s="321"/>
      <c r="L96" s="321"/>
      <c r="M96" s="321"/>
      <c r="N96" s="321"/>
      <c r="O96" s="321"/>
      <c r="P96" s="321"/>
      <c r="Q96" s="321"/>
      <c r="R96" s="321"/>
      <c r="S96" s="321"/>
      <c r="T96" s="321"/>
      <c r="U96" s="321"/>
      <c r="V96" s="321"/>
      <c r="W96" s="321"/>
      <c r="X96" s="321"/>
      <c r="Y96" s="321"/>
      <c r="Z96" s="321"/>
      <c r="AA96" s="321"/>
      <c r="AB96" s="321"/>
      <c r="AC96" s="321"/>
      <c r="AD96" s="321"/>
      <c r="AE96" s="321"/>
      <c r="AF96" s="321"/>
      <c r="AG96" s="321"/>
      <c r="AH96" s="321"/>
      <c r="AI96" s="321"/>
      <c r="AJ96" s="321"/>
      <c r="AK96" s="321"/>
      <c r="AL96" s="321"/>
      <c r="AM96" s="321"/>
      <c r="AN96" s="321"/>
      <c r="AO96" s="321"/>
      <c r="AP96" s="321"/>
      <c r="AQ96" s="321"/>
      <c r="AR96" s="321"/>
      <c r="AS96" s="321"/>
      <c r="AT96" s="321"/>
      <c r="AU96" s="321"/>
      <c r="AV96" s="321"/>
      <c r="AW96" s="321"/>
      <c r="AX96" s="321"/>
      <c r="AY96" s="321"/>
    </row>
    <row r="97" spans="1:51">
      <c r="A97" s="321"/>
      <c r="B97" s="321"/>
      <c r="C97" s="321"/>
      <c r="D97" s="321"/>
      <c r="E97" s="321"/>
      <c r="F97" s="321"/>
      <c r="G97" s="321"/>
      <c r="H97" s="321"/>
      <c r="I97" s="321"/>
      <c r="J97" s="321"/>
      <c r="K97" s="321"/>
      <c r="L97" s="321"/>
      <c r="M97" s="321"/>
      <c r="N97" s="321"/>
      <c r="O97" s="321"/>
      <c r="P97" s="321"/>
      <c r="Q97" s="321"/>
      <c r="R97" s="321"/>
      <c r="S97" s="321"/>
      <c r="T97" s="321"/>
      <c r="U97" s="321"/>
      <c r="V97" s="321"/>
      <c r="W97" s="321"/>
      <c r="X97" s="321"/>
      <c r="Y97" s="321"/>
      <c r="Z97" s="321"/>
      <c r="AA97" s="321"/>
      <c r="AB97" s="321"/>
      <c r="AC97" s="321"/>
      <c r="AD97" s="321"/>
      <c r="AE97" s="321"/>
      <c r="AF97" s="321"/>
      <c r="AG97" s="321"/>
      <c r="AH97" s="321"/>
      <c r="AI97" s="321"/>
      <c r="AJ97" s="321"/>
      <c r="AK97" s="321"/>
      <c r="AL97" s="321"/>
      <c r="AM97" s="321"/>
      <c r="AN97" s="321"/>
      <c r="AO97" s="321"/>
      <c r="AP97" s="321"/>
      <c r="AQ97" s="321"/>
      <c r="AR97" s="321"/>
      <c r="AS97" s="321"/>
      <c r="AT97" s="321"/>
      <c r="AU97" s="321"/>
      <c r="AV97" s="321"/>
      <c r="AW97" s="321"/>
      <c r="AX97" s="321"/>
      <c r="AY97" s="321"/>
    </row>
    <row r="98" spans="1:51">
      <c r="A98" s="321"/>
      <c r="B98" s="321"/>
      <c r="C98" s="321"/>
      <c r="D98" s="321"/>
      <c r="E98" s="321"/>
      <c r="F98" s="321"/>
      <c r="G98" s="321"/>
      <c r="H98" s="321"/>
      <c r="I98" s="321"/>
      <c r="J98" s="321"/>
      <c r="K98" s="321"/>
      <c r="L98" s="321"/>
      <c r="M98" s="321"/>
      <c r="N98" s="321"/>
      <c r="O98" s="321"/>
      <c r="P98" s="321"/>
      <c r="Q98" s="321"/>
      <c r="R98" s="321"/>
      <c r="S98" s="321"/>
      <c r="T98" s="321"/>
      <c r="U98" s="321"/>
      <c r="V98" s="321"/>
      <c r="W98" s="321"/>
      <c r="X98" s="321"/>
      <c r="Y98" s="321"/>
      <c r="Z98" s="321"/>
      <c r="AA98" s="321"/>
      <c r="AB98" s="321"/>
      <c r="AC98" s="321"/>
      <c r="AD98" s="321"/>
      <c r="AE98" s="321"/>
      <c r="AF98" s="321"/>
      <c r="AG98" s="321"/>
      <c r="AH98" s="321"/>
      <c r="AI98" s="321"/>
      <c r="AJ98" s="321"/>
      <c r="AK98" s="321"/>
      <c r="AL98" s="321"/>
      <c r="AM98" s="321"/>
      <c r="AN98" s="321"/>
      <c r="AO98" s="321"/>
      <c r="AP98" s="321"/>
      <c r="AQ98" s="321"/>
      <c r="AR98" s="321"/>
      <c r="AS98" s="321"/>
      <c r="AT98" s="321"/>
      <c r="AU98" s="321"/>
      <c r="AV98" s="321"/>
      <c r="AW98" s="321"/>
      <c r="AX98" s="321"/>
      <c r="AY98" s="321"/>
    </row>
    <row r="99" spans="1:51">
      <c r="A99" s="321"/>
      <c r="B99" s="321"/>
      <c r="C99" s="321"/>
      <c r="D99" s="321"/>
      <c r="E99" s="321"/>
      <c r="F99" s="321"/>
      <c r="G99" s="321"/>
      <c r="H99" s="321"/>
      <c r="I99" s="321"/>
      <c r="J99" s="321"/>
      <c r="K99" s="321"/>
      <c r="L99" s="321"/>
      <c r="M99" s="321"/>
      <c r="N99" s="321"/>
      <c r="O99" s="321"/>
      <c r="P99" s="321"/>
      <c r="Q99" s="321"/>
      <c r="R99" s="321"/>
      <c r="S99" s="321"/>
      <c r="T99" s="321"/>
      <c r="U99" s="321"/>
      <c r="V99" s="321"/>
      <c r="W99" s="321"/>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row>
    <row r="100" spans="1:51">
      <c r="A100" s="321"/>
      <c r="B100" s="321"/>
      <c r="C100" s="321"/>
      <c r="D100" s="321"/>
      <c r="E100" s="321"/>
      <c r="F100" s="321"/>
      <c r="G100" s="321"/>
      <c r="H100" s="321"/>
      <c r="I100" s="321"/>
      <c r="J100" s="321"/>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row>
    <row r="101" spans="1:51">
      <c r="A101" s="321"/>
      <c r="B101" s="321"/>
      <c r="C101" s="321"/>
      <c r="D101" s="321"/>
      <c r="E101" s="321"/>
      <c r="F101" s="321"/>
      <c r="G101" s="321"/>
      <c r="H101" s="321"/>
      <c r="I101" s="321"/>
      <c r="J101" s="321"/>
      <c r="K101" s="321"/>
      <c r="L101" s="321"/>
      <c r="M101" s="321"/>
      <c r="N101" s="321"/>
      <c r="O101" s="321"/>
      <c r="P101" s="321"/>
      <c r="Q101" s="321"/>
      <c r="R101" s="321"/>
      <c r="S101" s="321"/>
      <c r="T101" s="321"/>
      <c r="U101" s="321"/>
      <c r="V101" s="321"/>
      <c r="W101" s="321"/>
      <c r="X101" s="321"/>
      <c r="Y101" s="321"/>
      <c r="Z101" s="321"/>
      <c r="AA101" s="321"/>
      <c r="AB101" s="321"/>
      <c r="AC101" s="321"/>
      <c r="AD101" s="321"/>
      <c r="AE101" s="321"/>
      <c r="AF101" s="321"/>
      <c r="AG101" s="321"/>
      <c r="AH101" s="321"/>
      <c r="AI101" s="321"/>
      <c r="AJ101" s="321"/>
      <c r="AK101" s="321"/>
      <c r="AL101" s="321"/>
      <c r="AM101" s="321"/>
      <c r="AN101" s="321"/>
      <c r="AO101" s="321"/>
      <c r="AP101" s="321"/>
      <c r="AQ101" s="321"/>
      <c r="AR101" s="321"/>
      <c r="AS101" s="321"/>
      <c r="AT101" s="321"/>
      <c r="AU101" s="321"/>
      <c r="AV101" s="321"/>
      <c r="AW101" s="321"/>
      <c r="AX101" s="321"/>
      <c r="AY101" s="321"/>
    </row>
    <row r="102" spans="1:51">
      <c r="A102" s="321"/>
      <c r="B102" s="321"/>
      <c r="C102" s="321"/>
      <c r="D102" s="321"/>
      <c r="E102" s="321"/>
      <c r="F102" s="321"/>
      <c r="G102" s="321"/>
      <c r="H102" s="321"/>
      <c r="I102" s="321"/>
      <c r="J102" s="321"/>
      <c r="K102" s="321"/>
      <c r="L102" s="321"/>
      <c r="M102" s="321"/>
      <c r="N102" s="321"/>
      <c r="O102" s="321"/>
      <c r="P102" s="321"/>
      <c r="Q102" s="321"/>
      <c r="R102" s="321"/>
      <c r="S102" s="321"/>
      <c r="T102" s="321"/>
      <c r="U102" s="321"/>
      <c r="V102" s="321"/>
      <c r="W102" s="321"/>
      <c r="X102" s="321"/>
      <c r="Y102" s="321"/>
      <c r="Z102" s="321"/>
      <c r="AA102" s="321"/>
      <c r="AB102" s="321"/>
      <c r="AC102" s="321"/>
      <c r="AD102" s="321"/>
      <c r="AE102" s="321"/>
      <c r="AF102" s="321"/>
      <c r="AG102" s="321"/>
      <c r="AH102" s="321"/>
      <c r="AI102" s="321"/>
      <c r="AJ102" s="321"/>
      <c r="AK102" s="321"/>
      <c r="AL102" s="321"/>
      <c r="AM102" s="321"/>
      <c r="AN102" s="321"/>
      <c r="AO102" s="321"/>
      <c r="AP102" s="321"/>
      <c r="AQ102" s="321"/>
      <c r="AR102" s="321"/>
      <c r="AS102" s="321"/>
      <c r="AT102" s="321"/>
      <c r="AU102" s="321"/>
      <c r="AV102" s="321"/>
      <c r="AW102" s="321"/>
      <c r="AX102" s="321"/>
      <c r="AY102" s="321"/>
    </row>
    <row r="103" spans="1:51">
      <c r="A103" s="321"/>
      <c r="B103" s="321"/>
      <c r="C103" s="321"/>
      <c r="D103" s="321"/>
      <c r="E103" s="321"/>
      <c r="F103" s="321"/>
      <c r="G103" s="321"/>
      <c r="H103" s="321"/>
      <c r="I103" s="321"/>
      <c r="J103" s="321"/>
      <c r="K103" s="321"/>
      <c r="L103" s="321"/>
      <c r="M103" s="321"/>
      <c r="N103" s="321"/>
      <c r="O103" s="321"/>
      <c r="P103" s="321"/>
      <c r="Q103" s="321"/>
      <c r="R103" s="321"/>
      <c r="S103" s="321"/>
      <c r="T103" s="321"/>
      <c r="U103" s="321"/>
      <c r="V103" s="321"/>
      <c r="W103" s="321"/>
      <c r="X103" s="321"/>
      <c r="Y103" s="321"/>
      <c r="Z103" s="321"/>
      <c r="AA103" s="321"/>
      <c r="AB103" s="321"/>
      <c r="AC103" s="321"/>
      <c r="AD103" s="321"/>
      <c r="AE103" s="321"/>
      <c r="AF103" s="321"/>
      <c r="AG103" s="321"/>
      <c r="AH103" s="321"/>
      <c r="AI103" s="321"/>
      <c r="AJ103" s="321"/>
      <c r="AK103" s="321"/>
      <c r="AL103" s="321"/>
      <c r="AM103" s="321"/>
      <c r="AN103" s="321"/>
      <c r="AO103" s="321"/>
      <c r="AP103" s="321"/>
      <c r="AQ103" s="321"/>
      <c r="AR103" s="321"/>
      <c r="AS103" s="321"/>
      <c r="AT103" s="321"/>
      <c r="AU103" s="321"/>
      <c r="AV103" s="321"/>
      <c r="AW103" s="321"/>
      <c r="AX103" s="321"/>
      <c r="AY103" s="321"/>
    </row>
    <row r="104" spans="1:51">
      <c r="A104" s="321"/>
      <c r="B104" s="321"/>
      <c r="C104" s="321"/>
      <c r="D104" s="321"/>
      <c r="E104" s="321"/>
      <c r="F104" s="321"/>
      <c r="G104" s="321"/>
      <c r="H104" s="321"/>
      <c r="I104" s="321"/>
      <c r="J104" s="321"/>
      <c r="K104" s="321"/>
      <c r="L104" s="321"/>
      <c r="M104" s="321"/>
      <c r="N104" s="321"/>
      <c r="O104" s="321"/>
      <c r="P104" s="321"/>
      <c r="Q104" s="321"/>
      <c r="R104" s="321"/>
      <c r="S104" s="321"/>
      <c r="T104" s="321"/>
      <c r="U104" s="321"/>
      <c r="V104" s="321"/>
      <c r="W104" s="321"/>
      <c r="X104" s="321"/>
      <c r="Y104" s="321"/>
      <c r="Z104" s="321"/>
      <c r="AA104" s="321"/>
      <c r="AB104" s="321"/>
      <c r="AC104" s="321"/>
      <c r="AD104" s="321"/>
      <c r="AE104" s="321"/>
      <c r="AF104" s="321"/>
      <c r="AG104" s="321"/>
      <c r="AH104" s="321"/>
      <c r="AI104" s="321"/>
      <c r="AJ104" s="321"/>
      <c r="AK104" s="321"/>
      <c r="AL104" s="321"/>
      <c r="AM104" s="321"/>
      <c r="AN104" s="321"/>
      <c r="AO104" s="321"/>
      <c r="AP104" s="321"/>
      <c r="AQ104" s="321"/>
      <c r="AR104" s="321"/>
      <c r="AS104" s="321"/>
      <c r="AT104" s="321"/>
      <c r="AU104" s="321"/>
      <c r="AV104" s="321"/>
      <c r="AW104" s="321"/>
      <c r="AX104" s="321"/>
      <c r="AY104" s="321"/>
    </row>
    <row r="105" spans="1:51">
      <c r="A105" s="321"/>
      <c r="B105" s="321"/>
      <c r="C105" s="321"/>
      <c r="D105" s="321"/>
      <c r="E105" s="321"/>
      <c r="F105" s="321"/>
      <c r="G105" s="321"/>
      <c r="H105" s="321"/>
      <c r="I105" s="321"/>
      <c r="J105" s="321"/>
      <c r="K105" s="321"/>
      <c r="L105" s="321"/>
      <c r="M105" s="321"/>
      <c r="N105" s="321"/>
      <c r="O105" s="321"/>
      <c r="P105" s="321"/>
      <c r="Q105" s="321"/>
      <c r="R105" s="321"/>
      <c r="S105" s="321"/>
      <c r="T105" s="321"/>
      <c r="U105" s="321"/>
      <c r="V105" s="321"/>
      <c r="W105" s="321"/>
      <c r="X105" s="321"/>
      <c r="Y105" s="321"/>
      <c r="Z105" s="321"/>
      <c r="AA105" s="321"/>
      <c r="AB105" s="321"/>
      <c r="AC105" s="321"/>
      <c r="AD105" s="321"/>
      <c r="AE105" s="321"/>
      <c r="AF105" s="321"/>
      <c r="AG105" s="321"/>
      <c r="AH105" s="321"/>
      <c r="AI105" s="321"/>
      <c r="AJ105" s="321"/>
      <c r="AK105" s="321"/>
      <c r="AL105" s="321"/>
      <c r="AM105" s="321"/>
      <c r="AN105" s="321"/>
      <c r="AO105" s="321"/>
      <c r="AP105" s="321"/>
      <c r="AQ105" s="321"/>
      <c r="AR105" s="321"/>
      <c r="AS105" s="321"/>
      <c r="AT105" s="321"/>
      <c r="AU105" s="321"/>
      <c r="AV105" s="321"/>
      <c r="AW105" s="321"/>
      <c r="AX105" s="321"/>
      <c r="AY105" s="321"/>
    </row>
    <row r="106" spans="1:51">
      <c r="A106" s="321"/>
      <c r="B106" s="321"/>
      <c r="C106" s="321"/>
      <c r="D106" s="321"/>
      <c r="E106" s="321"/>
      <c r="F106" s="321"/>
      <c r="G106" s="321"/>
      <c r="H106" s="321"/>
      <c r="I106" s="321"/>
      <c r="J106" s="321"/>
      <c r="K106" s="321"/>
      <c r="L106" s="321"/>
      <c r="M106" s="321"/>
      <c r="N106" s="321"/>
      <c r="O106" s="321"/>
      <c r="P106" s="321"/>
      <c r="Q106" s="321"/>
      <c r="R106" s="321"/>
      <c r="S106" s="321"/>
      <c r="T106" s="321"/>
      <c r="U106" s="321"/>
      <c r="V106" s="321"/>
      <c r="W106" s="321"/>
      <c r="X106" s="321"/>
      <c r="Y106" s="321"/>
      <c r="Z106" s="321"/>
      <c r="AA106" s="321"/>
      <c r="AB106" s="321"/>
      <c r="AC106" s="321"/>
      <c r="AD106" s="321"/>
      <c r="AE106" s="321"/>
      <c r="AF106" s="321"/>
      <c r="AG106" s="321"/>
      <c r="AH106" s="321"/>
      <c r="AI106" s="321"/>
      <c r="AJ106" s="321"/>
      <c r="AK106" s="321"/>
      <c r="AL106" s="321"/>
      <c r="AM106" s="321"/>
      <c r="AN106" s="321"/>
      <c r="AO106" s="321"/>
      <c r="AP106" s="321"/>
      <c r="AQ106" s="321"/>
      <c r="AR106" s="321"/>
      <c r="AS106" s="321"/>
      <c r="AT106" s="321"/>
      <c r="AU106" s="321"/>
      <c r="AV106" s="321"/>
      <c r="AW106" s="321"/>
      <c r="AX106" s="321"/>
      <c r="AY106" s="321"/>
    </row>
    <row r="107" spans="1:51">
      <c r="A107" s="321"/>
      <c r="B107" s="321"/>
      <c r="C107" s="321"/>
      <c r="D107" s="321"/>
      <c r="E107" s="321"/>
      <c r="F107" s="321"/>
      <c r="G107" s="321"/>
      <c r="H107" s="321"/>
      <c r="I107" s="321"/>
      <c r="J107" s="321"/>
      <c r="K107" s="321"/>
      <c r="L107" s="321"/>
      <c r="M107" s="321"/>
      <c r="N107" s="321"/>
      <c r="O107" s="321"/>
      <c r="P107" s="321"/>
      <c r="Q107" s="321"/>
      <c r="R107" s="321"/>
      <c r="S107" s="321"/>
      <c r="T107" s="321"/>
      <c r="U107" s="321"/>
      <c r="V107" s="321"/>
      <c r="W107" s="321"/>
      <c r="X107" s="321"/>
      <c r="Y107" s="321"/>
      <c r="Z107" s="321"/>
      <c r="AA107" s="321"/>
      <c r="AB107" s="321"/>
      <c r="AC107" s="321"/>
      <c r="AD107" s="321"/>
      <c r="AE107" s="321"/>
      <c r="AF107" s="321"/>
      <c r="AG107" s="321"/>
      <c r="AH107" s="321"/>
      <c r="AI107" s="321"/>
      <c r="AJ107" s="321"/>
      <c r="AK107" s="321"/>
      <c r="AL107" s="321"/>
      <c r="AM107" s="321"/>
      <c r="AN107" s="321"/>
      <c r="AO107" s="321"/>
      <c r="AP107" s="321"/>
      <c r="AQ107" s="321"/>
      <c r="AR107" s="321"/>
      <c r="AS107" s="321"/>
      <c r="AT107" s="321"/>
      <c r="AU107" s="321"/>
      <c r="AV107" s="321"/>
      <c r="AW107" s="321"/>
      <c r="AX107" s="321"/>
      <c r="AY107" s="321"/>
    </row>
    <row r="108" spans="1:51">
      <c r="A108" s="321"/>
      <c r="B108" s="321"/>
      <c r="C108" s="321"/>
      <c r="D108" s="321"/>
      <c r="E108" s="321"/>
      <c r="F108" s="321"/>
      <c r="G108" s="321"/>
      <c r="H108" s="321"/>
      <c r="I108" s="321"/>
      <c r="J108" s="321"/>
      <c r="K108" s="321"/>
      <c r="L108" s="321"/>
      <c r="M108" s="321"/>
      <c r="N108" s="321"/>
      <c r="O108" s="321"/>
      <c r="P108" s="321"/>
      <c r="Q108" s="321"/>
      <c r="R108" s="321"/>
      <c r="S108" s="321"/>
      <c r="T108" s="321"/>
      <c r="U108" s="321"/>
      <c r="V108" s="321"/>
      <c r="W108" s="321"/>
      <c r="X108" s="321"/>
      <c r="Y108" s="321"/>
      <c r="Z108" s="321"/>
      <c r="AA108" s="321"/>
      <c r="AB108" s="321"/>
      <c r="AC108" s="321"/>
      <c r="AD108" s="321"/>
      <c r="AE108" s="321"/>
      <c r="AF108" s="321"/>
      <c r="AG108" s="321"/>
      <c r="AH108" s="321"/>
      <c r="AI108" s="321"/>
      <c r="AJ108" s="321"/>
      <c r="AK108" s="321"/>
      <c r="AL108" s="321"/>
      <c r="AM108" s="321"/>
      <c r="AN108" s="321"/>
      <c r="AO108" s="321"/>
      <c r="AP108" s="321"/>
      <c r="AQ108" s="321"/>
      <c r="AR108" s="321"/>
      <c r="AS108" s="321"/>
      <c r="AT108" s="321"/>
      <c r="AU108" s="321"/>
      <c r="AV108" s="321"/>
      <c r="AW108" s="321"/>
      <c r="AX108" s="321"/>
      <c r="AY108" s="321"/>
    </row>
    <row r="109" spans="1:51">
      <c r="A109" s="321"/>
      <c r="B109" s="321"/>
      <c r="C109" s="321"/>
      <c r="D109" s="321"/>
      <c r="E109" s="321"/>
      <c r="F109" s="321"/>
      <c r="G109" s="321"/>
      <c r="H109" s="321"/>
      <c r="I109" s="321"/>
      <c r="J109" s="321"/>
      <c r="K109" s="321"/>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row>
    <row r="110" spans="1:51">
      <c r="A110" s="321"/>
      <c r="B110" s="321"/>
      <c r="C110" s="321"/>
      <c r="D110" s="321"/>
      <c r="E110" s="321"/>
      <c r="F110" s="321"/>
      <c r="G110" s="321"/>
      <c r="H110" s="321"/>
      <c r="I110" s="321"/>
      <c r="J110" s="321"/>
      <c r="K110" s="321"/>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row>
    <row r="111" spans="1:51">
      <c r="A111" s="321"/>
      <c r="B111" s="321"/>
      <c r="C111" s="321"/>
      <c r="D111" s="321"/>
      <c r="E111" s="321"/>
      <c r="F111" s="321"/>
      <c r="G111" s="321"/>
      <c r="H111" s="321"/>
      <c r="I111" s="321"/>
      <c r="J111" s="321"/>
      <c r="K111" s="321"/>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row>
    <row r="112" spans="1:51">
      <c r="A112" s="321"/>
      <c r="B112" s="321"/>
      <c r="C112" s="321"/>
      <c r="D112" s="321"/>
      <c r="E112" s="321"/>
      <c r="F112" s="321"/>
      <c r="G112" s="321"/>
      <c r="H112" s="321"/>
      <c r="I112" s="321"/>
      <c r="J112" s="321"/>
      <c r="K112" s="321"/>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321"/>
      <c r="AP112" s="321"/>
      <c r="AQ112" s="321"/>
      <c r="AR112" s="321"/>
      <c r="AS112" s="321"/>
      <c r="AT112" s="321"/>
      <c r="AU112" s="321"/>
      <c r="AV112" s="321"/>
      <c r="AW112" s="321"/>
      <c r="AX112" s="321"/>
      <c r="AY112" s="321"/>
    </row>
    <row r="113" spans="1:51">
      <c r="A113" s="321"/>
      <c r="B113" s="321"/>
      <c r="C113" s="321"/>
      <c r="D113" s="321"/>
      <c r="E113" s="321"/>
      <c r="F113" s="321"/>
      <c r="G113" s="321"/>
      <c r="H113" s="321"/>
      <c r="I113" s="321"/>
      <c r="J113" s="321"/>
      <c r="K113" s="321"/>
      <c r="L113" s="321"/>
      <c r="M113" s="321"/>
      <c r="N113" s="321"/>
      <c r="O113" s="321"/>
      <c r="P113" s="321"/>
      <c r="Q113" s="321"/>
      <c r="R113" s="321"/>
      <c r="S113" s="321"/>
      <c r="T113" s="321"/>
      <c r="U113" s="321"/>
      <c r="V113" s="321"/>
      <c r="W113" s="321"/>
      <c r="X113" s="321"/>
      <c r="Y113" s="321"/>
      <c r="Z113" s="321"/>
      <c r="AA113" s="321"/>
      <c r="AB113" s="321"/>
      <c r="AC113" s="321"/>
      <c r="AD113" s="321"/>
      <c r="AE113" s="321"/>
      <c r="AF113" s="321"/>
      <c r="AG113" s="321"/>
      <c r="AH113" s="321"/>
      <c r="AI113" s="321"/>
      <c r="AJ113" s="321"/>
      <c r="AK113" s="321"/>
      <c r="AL113" s="321"/>
      <c r="AM113" s="321"/>
      <c r="AN113" s="321"/>
      <c r="AO113" s="321"/>
      <c r="AP113" s="321"/>
      <c r="AQ113" s="321"/>
      <c r="AR113" s="321"/>
      <c r="AS113" s="321"/>
      <c r="AT113" s="321"/>
      <c r="AU113" s="321"/>
      <c r="AV113" s="321"/>
      <c r="AW113" s="321"/>
      <c r="AX113" s="321"/>
      <c r="AY113" s="321"/>
    </row>
    <row r="114" spans="1:51">
      <c r="A114" s="321"/>
      <c r="B114" s="321"/>
      <c r="C114" s="321"/>
      <c r="D114" s="321"/>
      <c r="E114" s="321"/>
      <c r="F114" s="321"/>
      <c r="G114" s="321"/>
      <c r="H114" s="321"/>
      <c r="I114" s="321"/>
      <c r="J114" s="321"/>
      <c r="K114" s="321"/>
      <c r="L114" s="321"/>
      <c r="M114" s="321"/>
      <c r="N114" s="321"/>
      <c r="O114" s="321"/>
      <c r="P114" s="321"/>
      <c r="Q114" s="321"/>
      <c r="R114" s="321"/>
      <c r="S114" s="321"/>
      <c r="T114" s="321"/>
      <c r="U114" s="321"/>
      <c r="V114" s="321"/>
      <c r="W114" s="321"/>
      <c r="X114" s="321"/>
      <c r="Y114" s="321"/>
      <c r="Z114" s="321"/>
      <c r="AA114" s="321"/>
      <c r="AB114" s="321"/>
      <c r="AC114" s="321"/>
      <c r="AD114" s="321"/>
      <c r="AE114" s="321"/>
      <c r="AF114" s="321"/>
      <c r="AG114" s="321"/>
      <c r="AH114" s="321"/>
      <c r="AI114" s="321"/>
      <c r="AJ114" s="321"/>
      <c r="AK114" s="321"/>
      <c r="AL114" s="321"/>
      <c r="AM114" s="321"/>
      <c r="AN114" s="321"/>
      <c r="AO114" s="321"/>
      <c r="AP114" s="321"/>
      <c r="AQ114" s="321"/>
      <c r="AR114" s="321"/>
      <c r="AS114" s="321"/>
      <c r="AT114" s="321"/>
      <c r="AU114" s="321"/>
      <c r="AV114" s="321"/>
      <c r="AW114" s="321"/>
      <c r="AX114" s="321"/>
      <c r="AY114" s="321"/>
    </row>
    <row r="115" spans="1:51">
      <c r="A115" s="321"/>
      <c r="B115" s="321"/>
      <c r="C115" s="321"/>
      <c r="D115" s="321"/>
      <c r="E115" s="321"/>
      <c r="F115" s="321"/>
      <c r="G115" s="321"/>
      <c r="H115" s="321"/>
      <c r="I115" s="321"/>
      <c r="J115" s="321"/>
      <c r="K115" s="321"/>
      <c r="L115" s="321"/>
      <c r="M115" s="321"/>
      <c r="N115" s="321"/>
      <c r="O115" s="321"/>
      <c r="P115" s="321"/>
      <c r="Q115" s="321"/>
      <c r="R115" s="321"/>
      <c r="S115" s="321"/>
      <c r="T115" s="321"/>
      <c r="U115" s="321"/>
      <c r="V115" s="321"/>
      <c r="W115" s="321"/>
      <c r="X115" s="321"/>
      <c r="Y115" s="321"/>
      <c r="Z115" s="321"/>
      <c r="AA115" s="321"/>
      <c r="AB115" s="321"/>
      <c r="AC115" s="321"/>
      <c r="AD115" s="321"/>
      <c r="AE115" s="321"/>
      <c r="AF115" s="321"/>
      <c r="AG115" s="321"/>
      <c r="AH115" s="321"/>
      <c r="AI115" s="321"/>
      <c r="AJ115" s="321"/>
      <c r="AK115" s="321"/>
      <c r="AL115" s="321"/>
      <c r="AM115" s="321"/>
      <c r="AN115" s="321"/>
      <c r="AO115" s="321"/>
      <c r="AP115" s="321"/>
      <c r="AQ115" s="321"/>
      <c r="AR115" s="321"/>
      <c r="AS115" s="321"/>
      <c r="AT115" s="321"/>
      <c r="AU115" s="321"/>
      <c r="AV115" s="321"/>
      <c r="AW115" s="321"/>
      <c r="AX115" s="321"/>
      <c r="AY115" s="321"/>
    </row>
    <row r="116" spans="1:51">
      <c r="A116" s="321"/>
      <c r="B116" s="321"/>
      <c r="C116" s="321"/>
      <c r="D116" s="321"/>
      <c r="E116" s="321"/>
      <c r="F116" s="321"/>
      <c r="G116" s="321"/>
      <c r="H116" s="321"/>
      <c r="I116" s="321"/>
      <c r="J116" s="321"/>
      <c r="K116" s="321"/>
      <c r="L116" s="321"/>
      <c r="M116" s="321"/>
      <c r="N116" s="321"/>
      <c r="O116" s="321"/>
      <c r="P116" s="321"/>
      <c r="Q116" s="321"/>
      <c r="R116" s="321"/>
      <c r="S116" s="321"/>
      <c r="T116" s="321"/>
      <c r="U116" s="321"/>
      <c r="V116" s="321"/>
      <c r="W116" s="321"/>
      <c r="X116" s="321"/>
      <c r="Y116" s="321"/>
      <c r="Z116" s="321"/>
      <c r="AA116" s="321"/>
      <c r="AB116" s="321"/>
      <c r="AC116" s="321"/>
      <c r="AD116" s="321"/>
      <c r="AE116" s="321"/>
      <c r="AF116" s="321"/>
      <c r="AG116" s="321"/>
      <c r="AH116" s="321"/>
      <c r="AI116" s="321"/>
      <c r="AJ116" s="321"/>
      <c r="AK116" s="321"/>
      <c r="AL116" s="321"/>
      <c r="AM116" s="321"/>
      <c r="AN116" s="321"/>
      <c r="AO116" s="321"/>
      <c r="AP116" s="321"/>
      <c r="AQ116" s="321"/>
      <c r="AR116" s="321"/>
      <c r="AS116" s="321"/>
      <c r="AT116" s="321"/>
      <c r="AU116" s="321"/>
      <c r="AV116" s="321"/>
      <c r="AW116" s="321"/>
      <c r="AX116" s="321"/>
      <c r="AY116" s="321"/>
    </row>
    <row r="117" spans="1:51">
      <c r="A117" s="321"/>
      <c r="B117" s="321"/>
      <c r="C117" s="321"/>
      <c r="D117" s="321"/>
      <c r="E117" s="321"/>
      <c r="F117" s="321"/>
      <c r="G117" s="321"/>
      <c r="H117" s="321"/>
      <c r="I117" s="321"/>
      <c r="J117" s="321"/>
      <c r="K117" s="321"/>
      <c r="L117" s="321"/>
      <c r="M117" s="321"/>
      <c r="N117" s="321"/>
      <c r="O117" s="321"/>
      <c r="P117" s="321"/>
      <c r="Q117" s="321"/>
      <c r="R117" s="321"/>
      <c r="S117" s="321"/>
      <c r="T117" s="321"/>
      <c r="U117" s="321"/>
      <c r="V117" s="321"/>
      <c r="W117" s="321"/>
      <c r="X117" s="321"/>
      <c r="Y117" s="321"/>
      <c r="Z117" s="321"/>
      <c r="AA117" s="321"/>
      <c r="AB117" s="321"/>
      <c r="AC117" s="321"/>
      <c r="AD117" s="321"/>
      <c r="AE117" s="321"/>
      <c r="AF117" s="321"/>
      <c r="AG117" s="321"/>
      <c r="AH117" s="321"/>
      <c r="AI117" s="321"/>
      <c r="AJ117" s="321"/>
      <c r="AK117" s="321"/>
      <c r="AL117" s="321"/>
      <c r="AM117" s="321"/>
      <c r="AN117" s="321"/>
      <c r="AO117" s="321"/>
      <c r="AP117" s="321"/>
      <c r="AQ117" s="321"/>
      <c r="AR117" s="321"/>
      <c r="AS117" s="321"/>
      <c r="AT117" s="321"/>
      <c r="AU117" s="321"/>
      <c r="AV117" s="321"/>
      <c r="AW117" s="321"/>
      <c r="AX117" s="321"/>
      <c r="AY117" s="321"/>
    </row>
    <row r="118" spans="1:51">
      <c r="A118" s="321"/>
      <c r="B118" s="321"/>
      <c r="C118" s="321"/>
      <c r="D118" s="321"/>
      <c r="E118" s="321"/>
      <c r="F118" s="321"/>
      <c r="G118" s="321"/>
      <c r="H118" s="321"/>
      <c r="I118" s="321"/>
      <c r="J118" s="321"/>
      <c r="K118" s="321"/>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row>
    <row r="119" spans="1:51">
      <c r="A119" s="321"/>
      <c r="B119" s="321"/>
      <c r="C119" s="321"/>
      <c r="D119" s="321"/>
      <c r="E119" s="321"/>
      <c r="F119" s="321"/>
      <c r="G119" s="321"/>
      <c r="H119" s="321"/>
      <c r="I119" s="321"/>
      <c r="J119" s="321"/>
      <c r="K119" s="321"/>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row>
    <row r="120" spans="1:51">
      <c r="A120" s="321"/>
      <c r="B120" s="321"/>
      <c r="C120" s="321"/>
      <c r="D120" s="321"/>
      <c r="E120" s="321"/>
      <c r="F120" s="321"/>
      <c r="G120" s="321"/>
      <c r="H120" s="321"/>
      <c r="I120" s="321"/>
      <c r="J120" s="321"/>
      <c r="K120" s="321"/>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row>
    <row r="121" spans="1:51">
      <c r="A121" s="321"/>
      <c r="B121" s="321"/>
      <c r="C121" s="321"/>
      <c r="D121" s="321"/>
      <c r="E121" s="321"/>
      <c r="F121" s="321"/>
      <c r="G121" s="321"/>
      <c r="H121" s="321"/>
      <c r="I121" s="321"/>
      <c r="J121" s="321"/>
      <c r="K121" s="321"/>
      <c r="L121" s="321"/>
      <c r="M121" s="321"/>
      <c r="N121" s="321"/>
      <c r="O121" s="321"/>
      <c r="P121" s="321"/>
      <c r="Q121" s="321"/>
      <c r="R121" s="321"/>
      <c r="S121" s="321"/>
      <c r="T121" s="321"/>
      <c r="U121" s="321"/>
      <c r="V121" s="321"/>
      <c r="W121" s="321"/>
      <c r="X121" s="321"/>
      <c r="Y121" s="321"/>
      <c r="Z121" s="321"/>
      <c r="AA121" s="321"/>
      <c r="AB121" s="321"/>
      <c r="AC121" s="321"/>
      <c r="AD121" s="321"/>
      <c r="AE121" s="321"/>
      <c r="AF121" s="321"/>
      <c r="AG121" s="321"/>
      <c r="AH121" s="321"/>
      <c r="AI121" s="321"/>
      <c r="AJ121" s="321"/>
      <c r="AK121" s="321"/>
      <c r="AL121" s="321"/>
      <c r="AM121" s="321"/>
      <c r="AN121" s="321"/>
      <c r="AO121" s="321"/>
      <c r="AP121" s="321"/>
      <c r="AQ121" s="321"/>
      <c r="AR121" s="321"/>
      <c r="AS121" s="321"/>
      <c r="AT121" s="321"/>
      <c r="AU121" s="321"/>
      <c r="AV121" s="321"/>
      <c r="AW121" s="321"/>
      <c r="AX121" s="321"/>
      <c r="AY121" s="321"/>
    </row>
    <row r="122" spans="1:51">
      <c r="A122" s="321"/>
      <c r="B122" s="321"/>
      <c r="C122" s="321"/>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row>
    <row r="123" spans="1:51">
      <c r="A123" s="321"/>
      <c r="B123" s="321"/>
      <c r="C123" s="321"/>
      <c r="D123" s="321"/>
      <c r="E123" s="321"/>
      <c r="F123" s="321"/>
      <c r="G123" s="321"/>
      <c r="H123" s="321"/>
      <c r="I123" s="321"/>
      <c r="J123" s="321"/>
      <c r="K123" s="321"/>
      <c r="L123" s="321"/>
      <c r="M123" s="321"/>
      <c r="N123" s="321"/>
      <c r="O123" s="321"/>
      <c r="P123" s="321"/>
      <c r="Q123" s="321"/>
      <c r="R123" s="321"/>
      <c r="S123" s="321"/>
      <c r="T123" s="321"/>
      <c r="U123" s="321"/>
      <c r="V123" s="321"/>
      <c r="W123" s="321"/>
      <c r="X123" s="321"/>
      <c r="Y123" s="321"/>
      <c r="Z123" s="321"/>
      <c r="AA123" s="321"/>
      <c r="AB123" s="321"/>
      <c r="AC123" s="321"/>
      <c r="AD123" s="321"/>
      <c r="AE123" s="321"/>
      <c r="AF123" s="321"/>
      <c r="AG123" s="321"/>
      <c r="AH123" s="321"/>
      <c r="AI123" s="321"/>
      <c r="AJ123" s="321"/>
      <c r="AK123" s="321"/>
      <c r="AL123" s="321"/>
      <c r="AM123" s="321"/>
      <c r="AN123" s="321"/>
      <c r="AO123" s="321"/>
      <c r="AP123" s="321"/>
      <c r="AQ123" s="321"/>
      <c r="AR123" s="321"/>
      <c r="AS123" s="321"/>
      <c r="AT123" s="321"/>
      <c r="AU123" s="321"/>
      <c r="AV123" s="321"/>
      <c r="AW123" s="321"/>
      <c r="AX123" s="321"/>
      <c r="AY123" s="321"/>
    </row>
    <row r="124" spans="1:51">
      <c r="A124" s="321"/>
      <c r="B124" s="321"/>
      <c r="C124" s="321"/>
      <c r="D124" s="321"/>
      <c r="E124" s="321"/>
      <c r="F124" s="321"/>
      <c r="G124" s="321"/>
      <c r="H124" s="321"/>
      <c r="I124" s="321"/>
      <c r="J124" s="321"/>
      <c r="K124" s="321"/>
      <c r="L124" s="321"/>
      <c r="M124" s="321"/>
      <c r="N124" s="321"/>
      <c r="O124" s="321"/>
      <c r="P124" s="321"/>
      <c r="Q124" s="321"/>
      <c r="R124" s="321"/>
      <c r="S124" s="321"/>
      <c r="T124" s="321"/>
      <c r="U124" s="321"/>
      <c r="V124" s="321"/>
      <c r="W124" s="321"/>
      <c r="X124" s="321"/>
      <c r="Y124" s="321"/>
      <c r="Z124" s="321"/>
      <c r="AA124" s="321"/>
      <c r="AB124" s="321"/>
      <c r="AC124" s="321"/>
      <c r="AD124" s="321"/>
      <c r="AE124" s="321"/>
      <c r="AF124" s="321"/>
      <c r="AG124" s="321"/>
      <c r="AH124" s="321"/>
      <c r="AI124" s="321"/>
      <c r="AJ124" s="321"/>
      <c r="AK124" s="321"/>
      <c r="AL124" s="321"/>
      <c r="AM124" s="321"/>
      <c r="AN124" s="321"/>
      <c r="AO124" s="321"/>
      <c r="AP124" s="321"/>
      <c r="AQ124" s="321"/>
      <c r="AR124" s="321"/>
      <c r="AS124" s="321"/>
      <c r="AT124" s="321"/>
      <c r="AU124" s="321"/>
      <c r="AV124" s="321"/>
      <c r="AW124" s="321"/>
      <c r="AX124" s="321"/>
      <c r="AY124" s="321"/>
    </row>
    <row r="125" spans="1:51">
      <c r="A125" s="321"/>
      <c r="B125" s="321"/>
      <c r="C125" s="321"/>
      <c r="D125" s="321"/>
      <c r="E125" s="321"/>
      <c r="F125" s="321"/>
      <c r="G125" s="321"/>
      <c r="H125" s="321"/>
      <c r="I125" s="321"/>
      <c r="J125" s="321"/>
      <c r="K125" s="321"/>
      <c r="L125" s="321"/>
      <c r="M125" s="321"/>
      <c r="N125" s="321"/>
      <c r="O125" s="321"/>
      <c r="P125" s="321"/>
      <c r="Q125" s="321"/>
      <c r="R125" s="321"/>
      <c r="S125" s="321"/>
      <c r="T125" s="321"/>
      <c r="U125" s="321"/>
      <c r="V125" s="321"/>
      <c r="W125" s="321"/>
      <c r="X125" s="321"/>
      <c r="Y125" s="321"/>
      <c r="Z125" s="321"/>
      <c r="AA125" s="321"/>
      <c r="AB125" s="321"/>
      <c r="AC125" s="321"/>
      <c r="AD125" s="321"/>
      <c r="AE125" s="321"/>
      <c r="AF125" s="321"/>
      <c r="AG125" s="321"/>
      <c r="AH125" s="321"/>
      <c r="AI125" s="321"/>
      <c r="AJ125" s="321"/>
      <c r="AK125" s="321"/>
      <c r="AL125" s="321"/>
      <c r="AM125" s="321"/>
      <c r="AN125" s="321"/>
      <c r="AO125" s="321"/>
      <c r="AP125" s="321"/>
      <c r="AQ125" s="321"/>
      <c r="AR125" s="321"/>
      <c r="AS125" s="321"/>
      <c r="AT125" s="321"/>
      <c r="AU125" s="321"/>
      <c r="AV125" s="321"/>
      <c r="AW125" s="321"/>
      <c r="AX125" s="321"/>
      <c r="AY125" s="321"/>
    </row>
    <row r="126" spans="1:51">
      <c r="A126" s="321"/>
      <c r="B126" s="321"/>
      <c r="C126" s="321"/>
      <c r="D126" s="321"/>
      <c r="E126" s="321"/>
      <c r="F126" s="321"/>
      <c r="G126" s="321"/>
      <c r="H126" s="321"/>
      <c r="I126" s="321"/>
      <c r="J126" s="321"/>
      <c r="K126" s="321"/>
      <c r="L126" s="321"/>
      <c r="M126" s="321"/>
      <c r="N126" s="321"/>
      <c r="O126" s="321"/>
      <c r="P126" s="321"/>
      <c r="Q126" s="321"/>
      <c r="R126" s="321"/>
      <c r="S126" s="321"/>
      <c r="T126" s="321"/>
      <c r="U126" s="321"/>
      <c r="V126" s="321"/>
      <c r="W126" s="321"/>
      <c r="X126" s="321"/>
      <c r="Y126" s="321"/>
      <c r="Z126" s="321"/>
      <c r="AA126" s="321"/>
      <c r="AB126" s="321"/>
      <c r="AC126" s="321"/>
      <c r="AD126" s="321"/>
      <c r="AE126" s="321"/>
      <c r="AF126" s="321"/>
      <c r="AG126" s="321"/>
      <c r="AH126" s="321"/>
      <c r="AI126" s="321"/>
      <c r="AJ126" s="321"/>
      <c r="AK126" s="321"/>
      <c r="AL126" s="321"/>
      <c r="AM126" s="321"/>
      <c r="AN126" s="321"/>
      <c r="AO126" s="321"/>
      <c r="AP126" s="321"/>
      <c r="AQ126" s="321"/>
      <c r="AR126" s="321"/>
      <c r="AS126" s="321"/>
      <c r="AT126" s="321"/>
      <c r="AU126" s="321"/>
      <c r="AV126" s="321"/>
      <c r="AW126" s="321"/>
      <c r="AX126" s="321"/>
      <c r="AY126" s="321"/>
    </row>
    <row r="127" spans="1:51">
      <c r="A127" s="321"/>
      <c r="B127" s="321"/>
      <c r="C127" s="321"/>
      <c r="D127" s="321"/>
      <c r="E127" s="321"/>
      <c r="F127" s="321"/>
      <c r="G127" s="321"/>
      <c r="H127" s="321"/>
      <c r="I127" s="321"/>
      <c r="J127" s="321"/>
      <c r="K127" s="321"/>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row>
    <row r="128" spans="1:51">
      <c r="A128" s="321"/>
      <c r="B128" s="321"/>
      <c r="C128" s="321"/>
      <c r="D128" s="321"/>
      <c r="E128" s="321"/>
      <c r="F128" s="321"/>
      <c r="G128" s="321"/>
      <c r="H128" s="321"/>
      <c r="I128" s="321"/>
      <c r="J128" s="321"/>
      <c r="K128" s="321"/>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row>
    <row r="129" spans="1:51">
      <c r="A129" s="321"/>
      <c r="B129" s="321"/>
      <c r="C129" s="321"/>
      <c r="D129" s="321"/>
      <c r="E129" s="321"/>
      <c r="F129" s="321"/>
      <c r="G129" s="321"/>
      <c r="H129" s="321"/>
      <c r="I129" s="321"/>
      <c r="J129" s="321"/>
      <c r="K129" s="321"/>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row>
    <row r="130" spans="1:51">
      <c r="A130" s="321"/>
      <c r="B130" s="321"/>
      <c r="C130" s="321"/>
      <c r="D130" s="321"/>
      <c r="E130" s="321"/>
      <c r="F130" s="321"/>
      <c r="G130" s="321"/>
      <c r="H130" s="321"/>
      <c r="I130" s="321"/>
      <c r="J130" s="321"/>
      <c r="K130" s="321"/>
      <c r="L130" s="321"/>
      <c r="M130" s="321"/>
      <c r="N130" s="321"/>
      <c r="O130" s="321"/>
      <c r="P130" s="321"/>
      <c r="Q130" s="321"/>
      <c r="R130" s="321"/>
      <c r="S130" s="321"/>
      <c r="T130" s="321"/>
      <c r="U130" s="321"/>
      <c r="V130" s="321"/>
      <c r="W130" s="321"/>
      <c r="X130" s="321"/>
      <c r="Y130" s="321"/>
      <c r="Z130" s="321"/>
      <c r="AA130" s="321"/>
      <c r="AB130" s="321"/>
      <c r="AC130" s="321"/>
      <c r="AD130" s="321"/>
      <c r="AE130" s="321"/>
      <c r="AF130" s="321"/>
      <c r="AG130" s="321"/>
      <c r="AH130" s="321"/>
      <c r="AI130" s="321"/>
      <c r="AJ130" s="321"/>
      <c r="AK130" s="321"/>
      <c r="AL130" s="321"/>
      <c r="AM130" s="321"/>
      <c r="AN130" s="321"/>
      <c r="AO130" s="321"/>
      <c r="AP130" s="321"/>
      <c r="AQ130" s="321"/>
      <c r="AR130" s="321"/>
      <c r="AS130" s="321"/>
      <c r="AT130" s="321"/>
      <c r="AU130" s="321"/>
      <c r="AV130" s="321"/>
      <c r="AW130" s="321"/>
      <c r="AX130" s="321"/>
      <c r="AY130" s="321"/>
    </row>
    <row r="131" spans="1:51">
      <c r="A131" s="321"/>
      <c r="B131" s="321"/>
      <c r="C131" s="321"/>
      <c r="D131" s="321"/>
      <c r="E131" s="321"/>
      <c r="F131" s="321"/>
      <c r="G131" s="321"/>
      <c r="H131" s="321"/>
      <c r="I131" s="321"/>
      <c r="J131" s="321"/>
      <c r="K131" s="321"/>
      <c r="L131" s="321"/>
      <c r="M131" s="321"/>
      <c r="N131" s="321"/>
      <c r="O131" s="321"/>
      <c r="P131" s="321"/>
      <c r="Q131" s="321"/>
      <c r="R131" s="321"/>
      <c r="S131" s="321"/>
      <c r="T131" s="321"/>
      <c r="U131" s="321"/>
      <c r="V131" s="321"/>
      <c r="W131" s="321"/>
      <c r="X131" s="321"/>
      <c r="Y131" s="321"/>
      <c r="Z131" s="321"/>
      <c r="AA131" s="321"/>
      <c r="AB131" s="321"/>
      <c r="AC131" s="321"/>
      <c r="AD131" s="321"/>
      <c r="AE131" s="321"/>
      <c r="AF131" s="321"/>
      <c r="AG131" s="321"/>
      <c r="AH131" s="321"/>
      <c r="AI131" s="321"/>
      <c r="AJ131" s="321"/>
      <c r="AK131" s="321"/>
      <c r="AL131" s="321"/>
      <c r="AM131" s="321"/>
      <c r="AN131" s="321"/>
      <c r="AO131" s="321"/>
      <c r="AP131" s="321"/>
      <c r="AQ131" s="321"/>
      <c r="AR131" s="321"/>
      <c r="AS131" s="321"/>
      <c r="AT131" s="321"/>
      <c r="AU131" s="321"/>
      <c r="AV131" s="321"/>
      <c r="AW131" s="321"/>
      <c r="AX131" s="321"/>
      <c r="AY131" s="321"/>
    </row>
    <row r="132" spans="1:51">
      <c r="A132" s="321"/>
      <c r="B132" s="321"/>
      <c r="C132" s="321"/>
      <c r="D132" s="321"/>
      <c r="E132" s="321"/>
      <c r="F132" s="321"/>
      <c r="G132" s="321"/>
      <c r="H132" s="321"/>
      <c r="I132" s="321"/>
      <c r="J132" s="321"/>
      <c r="K132" s="321"/>
      <c r="L132" s="321"/>
      <c r="M132" s="321"/>
      <c r="N132" s="321"/>
      <c r="O132" s="321"/>
      <c r="P132" s="321"/>
      <c r="Q132" s="321"/>
      <c r="R132" s="321"/>
      <c r="S132" s="321"/>
      <c r="T132" s="321"/>
      <c r="U132" s="321"/>
      <c r="V132" s="321"/>
      <c r="W132" s="321"/>
      <c r="X132" s="321"/>
      <c r="Y132" s="321"/>
      <c r="Z132" s="321"/>
      <c r="AA132" s="321"/>
      <c r="AB132" s="321"/>
      <c r="AC132" s="321"/>
      <c r="AD132" s="321"/>
      <c r="AE132" s="321"/>
      <c r="AF132" s="321"/>
      <c r="AG132" s="321"/>
      <c r="AH132" s="321"/>
      <c r="AI132" s="321"/>
      <c r="AJ132" s="321"/>
      <c r="AK132" s="321"/>
      <c r="AL132" s="321"/>
      <c r="AM132" s="321"/>
      <c r="AN132" s="321"/>
      <c r="AO132" s="321"/>
      <c r="AP132" s="321"/>
      <c r="AQ132" s="321"/>
      <c r="AR132" s="321"/>
      <c r="AS132" s="321"/>
      <c r="AT132" s="321"/>
      <c r="AU132" s="321"/>
      <c r="AV132" s="321"/>
      <c r="AW132" s="321"/>
      <c r="AX132" s="321"/>
      <c r="AY132" s="321"/>
    </row>
    <row r="133" spans="1:51">
      <c r="A133" s="321"/>
      <c r="B133" s="321"/>
      <c r="C133" s="321"/>
      <c r="D133" s="321"/>
      <c r="E133" s="321"/>
      <c r="F133" s="321"/>
      <c r="G133" s="321"/>
      <c r="H133" s="321"/>
      <c r="I133" s="321"/>
      <c r="J133" s="321"/>
      <c r="K133" s="321"/>
      <c r="L133" s="321"/>
      <c r="M133" s="321"/>
      <c r="N133" s="321"/>
      <c r="O133" s="321"/>
      <c r="P133" s="321"/>
      <c r="Q133" s="321"/>
      <c r="R133" s="321"/>
      <c r="S133" s="321"/>
      <c r="T133" s="321"/>
      <c r="U133" s="321"/>
      <c r="V133" s="321"/>
      <c r="W133" s="321"/>
      <c r="X133" s="321"/>
      <c r="Y133" s="321"/>
      <c r="Z133" s="321"/>
      <c r="AA133" s="321"/>
      <c r="AB133" s="321"/>
      <c r="AC133" s="321"/>
      <c r="AD133" s="321"/>
      <c r="AE133" s="321"/>
      <c r="AF133" s="321"/>
      <c r="AG133" s="321"/>
      <c r="AH133" s="321"/>
      <c r="AI133" s="321"/>
      <c r="AJ133" s="321"/>
      <c r="AK133" s="321"/>
      <c r="AL133" s="321"/>
      <c r="AM133" s="321"/>
      <c r="AN133" s="321"/>
      <c r="AO133" s="321"/>
      <c r="AP133" s="321"/>
      <c r="AQ133" s="321"/>
      <c r="AR133" s="321"/>
      <c r="AS133" s="321"/>
      <c r="AT133" s="321"/>
      <c r="AU133" s="321"/>
      <c r="AV133" s="321"/>
      <c r="AW133" s="321"/>
      <c r="AX133" s="321"/>
      <c r="AY133" s="321"/>
    </row>
    <row r="134" spans="1:51">
      <c r="A134" s="321"/>
      <c r="B134" s="321"/>
      <c r="C134" s="321"/>
      <c r="D134" s="321"/>
      <c r="E134" s="321"/>
      <c r="F134" s="321"/>
      <c r="G134" s="321"/>
      <c r="H134" s="321"/>
      <c r="I134" s="321"/>
      <c r="J134" s="321"/>
      <c r="K134" s="321"/>
      <c r="L134" s="321"/>
      <c r="M134" s="321"/>
      <c r="N134" s="321"/>
      <c r="O134" s="321"/>
      <c r="P134" s="321"/>
      <c r="Q134" s="321"/>
      <c r="R134" s="321"/>
      <c r="S134" s="321"/>
      <c r="T134" s="321"/>
      <c r="U134" s="321"/>
      <c r="V134" s="321"/>
      <c r="W134" s="321"/>
      <c r="X134" s="321"/>
      <c r="Y134" s="321"/>
      <c r="Z134" s="321"/>
      <c r="AA134" s="321"/>
      <c r="AB134" s="321"/>
      <c r="AC134" s="321"/>
      <c r="AD134" s="321"/>
      <c r="AE134" s="321"/>
      <c r="AF134" s="321"/>
      <c r="AG134" s="321"/>
      <c r="AH134" s="321"/>
      <c r="AI134" s="321"/>
      <c r="AJ134" s="321"/>
      <c r="AK134" s="321"/>
      <c r="AL134" s="321"/>
      <c r="AM134" s="321"/>
      <c r="AN134" s="321"/>
      <c r="AO134" s="321"/>
      <c r="AP134" s="321"/>
      <c r="AQ134" s="321"/>
      <c r="AR134" s="321"/>
      <c r="AS134" s="321"/>
      <c r="AT134" s="321"/>
      <c r="AU134" s="321"/>
      <c r="AV134" s="321"/>
      <c r="AW134" s="321"/>
      <c r="AX134" s="321"/>
      <c r="AY134" s="321"/>
    </row>
    <row r="135" spans="1:51">
      <c r="A135" s="321"/>
      <c r="B135" s="321"/>
      <c r="C135" s="321"/>
      <c r="D135" s="321"/>
      <c r="E135" s="321"/>
      <c r="F135" s="321"/>
      <c r="G135" s="321"/>
      <c r="H135" s="321"/>
      <c r="I135" s="321"/>
      <c r="J135" s="321"/>
      <c r="K135" s="321"/>
      <c r="L135" s="321"/>
      <c r="M135" s="321"/>
      <c r="N135" s="321"/>
      <c r="O135" s="321"/>
      <c r="P135" s="321"/>
      <c r="Q135" s="321"/>
      <c r="R135" s="321"/>
      <c r="S135" s="321"/>
      <c r="T135" s="321"/>
      <c r="U135" s="321"/>
      <c r="V135" s="321"/>
      <c r="W135" s="321"/>
      <c r="X135" s="321"/>
      <c r="Y135" s="321"/>
      <c r="Z135" s="321"/>
      <c r="AA135" s="321"/>
      <c r="AB135" s="321"/>
      <c r="AC135" s="321"/>
      <c r="AD135" s="321"/>
      <c r="AE135" s="321"/>
      <c r="AF135" s="321"/>
      <c r="AG135" s="321"/>
      <c r="AH135" s="321"/>
      <c r="AI135" s="321"/>
      <c r="AJ135" s="321"/>
      <c r="AK135" s="321"/>
      <c r="AL135" s="321"/>
      <c r="AM135" s="321"/>
      <c r="AN135" s="321"/>
      <c r="AO135" s="321"/>
      <c r="AP135" s="321"/>
      <c r="AQ135" s="321"/>
      <c r="AR135" s="321"/>
      <c r="AS135" s="321"/>
      <c r="AT135" s="321"/>
      <c r="AU135" s="321"/>
      <c r="AV135" s="321"/>
      <c r="AW135" s="321"/>
      <c r="AX135" s="321"/>
      <c r="AY135" s="321"/>
    </row>
    <row r="136" spans="1:51">
      <c r="A136" s="321"/>
      <c r="B136" s="321"/>
      <c r="C136" s="321"/>
      <c r="D136" s="321"/>
      <c r="E136" s="321"/>
      <c r="F136" s="321"/>
      <c r="G136" s="321"/>
      <c r="H136" s="321"/>
      <c r="I136" s="321"/>
      <c r="J136" s="321"/>
      <c r="K136" s="321"/>
      <c r="L136" s="321"/>
      <c r="M136" s="321"/>
      <c r="N136" s="321"/>
      <c r="O136" s="321"/>
      <c r="P136" s="321"/>
      <c r="Q136" s="321"/>
      <c r="R136" s="321"/>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row>
    <row r="137" spans="1:51">
      <c r="A137" s="321"/>
      <c r="B137" s="321"/>
      <c r="C137" s="321"/>
      <c r="D137" s="321"/>
      <c r="E137" s="321"/>
      <c r="F137" s="321"/>
      <c r="G137" s="321"/>
      <c r="H137" s="321"/>
      <c r="I137" s="321"/>
      <c r="J137" s="321"/>
      <c r="K137" s="321"/>
      <c r="L137" s="321"/>
      <c r="M137" s="321"/>
      <c r="N137" s="321"/>
      <c r="O137" s="321"/>
      <c r="P137" s="321"/>
      <c r="Q137" s="321"/>
      <c r="R137" s="321"/>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row>
    <row r="138" spans="1:51">
      <c r="A138" s="321"/>
      <c r="B138" s="321"/>
      <c r="C138" s="321"/>
      <c r="D138" s="321"/>
      <c r="E138" s="321"/>
      <c r="F138" s="321"/>
      <c r="G138" s="321"/>
      <c r="H138" s="321"/>
      <c r="I138" s="321"/>
      <c r="J138" s="321"/>
      <c r="K138" s="321"/>
      <c r="L138" s="321"/>
      <c r="M138" s="321"/>
      <c r="N138" s="321"/>
      <c r="O138" s="321"/>
      <c r="P138" s="321"/>
      <c r="Q138" s="321"/>
      <c r="R138" s="321"/>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row>
    <row r="139" spans="1:51">
      <c r="A139" s="321"/>
      <c r="B139" s="321"/>
      <c r="C139" s="321"/>
      <c r="D139" s="321"/>
      <c r="E139" s="321"/>
      <c r="F139" s="321"/>
      <c r="G139" s="321"/>
      <c r="H139" s="321"/>
      <c r="I139" s="321"/>
      <c r="J139" s="321"/>
      <c r="K139" s="321"/>
      <c r="L139" s="321"/>
      <c r="M139" s="321"/>
      <c r="N139" s="321"/>
      <c r="O139" s="321"/>
      <c r="P139" s="321"/>
      <c r="Q139" s="321"/>
      <c r="R139" s="321"/>
      <c r="S139" s="321"/>
      <c r="T139" s="321"/>
      <c r="U139" s="321"/>
      <c r="V139" s="321"/>
      <c r="W139" s="321"/>
      <c r="X139" s="321"/>
      <c r="Y139" s="321"/>
      <c r="Z139" s="321"/>
      <c r="AA139" s="321"/>
      <c r="AB139" s="321"/>
      <c r="AC139" s="321"/>
      <c r="AD139" s="321"/>
      <c r="AE139" s="321"/>
      <c r="AF139" s="321"/>
      <c r="AG139" s="321"/>
      <c r="AH139" s="321"/>
      <c r="AI139" s="321"/>
      <c r="AJ139" s="321"/>
      <c r="AK139" s="321"/>
      <c r="AL139" s="321"/>
      <c r="AM139" s="321"/>
      <c r="AN139" s="321"/>
      <c r="AO139" s="321"/>
      <c r="AP139" s="321"/>
      <c r="AQ139" s="321"/>
      <c r="AR139" s="321"/>
      <c r="AS139" s="321"/>
      <c r="AT139" s="321"/>
      <c r="AU139" s="321"/>
      <c r="AV139" s="321"/>
      <c r="AW139" s="321"/>
      <c r="AX139" s="321"/>
      <c r="AY139" s="321"/>
    </row>
    <row r="140" spans="1:51">
      <c r="A140" s="321"/>
      <c r="B140" s="321"/>
      <c r="C140" s="321"/>
      <c r="D140" s="321"/>
      <c r="E140" s="321"/>
      <c r="F140" s="321"/>
      <c r="G140" s="321"/>
      <c r="H140" s="321"/>
      <c r="I140" s="321"/>
      <c r="J140" s="321"/>
      <c r="K140" s="321"/>
      <c r="L140" s="321"/>
      <c r="M140" s="321"/>
      <c r="N140" s="321"/>
      <c r="O140" s="321"/>
      <c r="P140" s="321"/>
      <c r="Q140" s="321"/>
      <c r="R140" s="321"/>
      <c r="S140" s="321"/>
      <c r="T140" s="321"/>
      <c r="U140" s="321"/>
      <c r="V140" s="321"/>
      <c r="W140" s="321"/>
      <c r="X140" s="321"/>
      <c r="Y140" s="321"/>
      <c r="Z140" s="321"/>
      <c r="AA140" s="321"/>
      <c r="AB140" s="321"/>
      <c r="AC140" s="321"/>
      <c r="AD140" s="321"/>
      <c r="AE140" s="321"/>
      <c r="AF140" s="321"/>
      <c r="AG140" s="321"/>
      <c r="AH140" s="321"/>
      <c r="AI140" s="321"/>
      <c r="AJ140" s="321"/>
      <c r="AK140" s="321"/>
      <c r="AL140" s="321"/>
      <c r="AM140" s="321"/>
      <c r="AN140" s="321"/>
      <c r="AO140" s="321"/>
      <c r="AP140" s="321"/>
      <c r="AQ140" s="321"/>
      <c r="AR140" s="321"/>
      <c r="AS140" s="321"/>
      <c r="AT140" s="321"/>
      <c r="AU140" s="321"/>
      <c r="AV140" s="321"/>
      <c r="AW140" s="321"/>
      <c r="AX140" s="321"/>
      <c r="AY140" s="321"/>
    </row>
    <row r="141" spans="1:51">
      <c r="A141" s="321"/>
      <c r="B141" s="321"/>
      <c r="C141" s="321"/>
      <c r="D141" s="321"/>
      <c r="E141" s="321"/>
      <c r="F141" s="321"/>
      <c r="G141" s="321"/>
      <c r="H141" s="321"/>
      <c r="I141" s="321"/>
      <c r="J141" s="321"/>
      <c r="K141" s="321"/>
      <c r="L141" s="321"/>
      <c r="M141" s="321"/>
      <c r="N141" s="321"/>
      <c r="O141" s="321"/>
      <c r="P141" s="321"/>
      <c r="Q141" s="321"/>
      <c r="R141" s="321"/>
      <c r="S141" s="321"/>
      <c r="T141" s="321"/>
      <c r="U141" s="321"/>
      <c r="V141" s="321"/>
      <c r="W141" s="321"/>
      <c r="X141" s="321"/>
      <c r="Y141" s="321"/>
      <c r="Z141" s="321"/>
      <c r="AA141" s="321"/>
      <c r="AB141" s="321"/>
      <c r="AC141" s="321"/>
      <c r="AD141" s="321"/>
      <c r="AE141" s="321"/>
      <c r="AF141" s="321"/>
      <c r="AG141" s="321"/>
      <c r="AH141" s="321"/>
      <c r="AI141" s="321"/>
      <c r="AJ141" s="321"/>
      <c r="AK141" s="321"/>
      <c r="AL141" s="321"/>
      <c r="AM141" s="321"/>
      <c r="AN141" s="321"/>
      <c r="AO141" s="321"/>
      <c r="AP141" s="321"/>
      <c r="AQ141" s="321"/>
      <c r="AR141" s="321"/>
      <c r="AS141" s="321"/>
      <c r="AT141" s="321"/>
      <c r="AU141" s="321"/>
      <c r="AV141" s="321"/>
      <c r="AW141" s="321"/>
      <c r="AX141" s="321"/>
      <c r="AY141" s="321"/>
    </row>
    <row r="142" spans="1:51">
      <c r="A142" s="321"/>
      <c r="B142" s="321"/>
      <c r="C142" s="321"/>
      <c r="D142" s="321"/>
      <c r="E142" s="321"/>
      <c r="F142" s="321"/>
      <c r="G142" s="321"/>
      <c r="H142" s="321"/>
      <c r="I142" s="321"/>
      <c r="J142" s="321"/>
      <c r="K142" s="321"/>
      <c r="L142" s="321"/>
      <c r="M142" s="321"/>
      <c r="N142" s="321"/>
      <c r="O142" s="321"/>
      <c r="P142" s="321"/>
      <c r="Q142" s="321"/>
      <c r="R142" s="321"/>
      <c r="S142" s="321"/>
      <c r="T142" s="321"/>
      <c r="U142" s="321"/>
      <c r="V142" s="321"/>
      <c r="W142" s="321"/>
      <c r="X142" s="321"/>
      <c r="Y142" s="321"/>
      <c r="Z142" s="321"/>
      <c r="AA142" s="321"/>
      <c r="AB142" s="321"/>
      <c r="AC142" s="321"/>
      <c r="AD142" s="321"/>
      <c r="AE142" s="321"/>
      <c r="AF142" s="321"/>
      <c r="AG142" s="321"/>
      <c r="AH142" s="321"/>
      <c r="AI142" s="321"/>
      <c r="AJ142" s="321"/>
      <c r="AK142" s="321"/>
      <c r="AL142" s="321"/>
      <c r="AM142" s="321"/>
      <c r="AN142" s="321"/>
      <c r="AO142" s="321"/>
      <c r="AP142" s="321"/>
      <c r="AQ142" s="321"/>
      <c r="AR142" s="321"/>
      <c r="AS142" s="321"/>
      <c r="AT142" s="321"/>
      <c r="AU142" s="321"/>
      <c r="AV142" s="321"/>
      <c r="AW142" s="321"/>
      <c r="AX142" s="321"/>
      <c r="AY142" s="321"/>
    </row>
    <row r="143" spans="1:51">
      <c r="A143" s="321"/>
      <c r="B143" s="321"/>
      <c r="C143" s="321"/>
      <c r="D143" s="321"/>
      <c r="E143" s="321"/>
      <c r="F143" s="321"/>
      <c r="G143" s="321"/>
      <c r="H143" s="321"/>
      <c r="I143" s="321"/>
      <c r="J143" s="321"/>
      <c r="K143" s="321"/>
      <c r="L143" s="321"/>
      <c r="M143" s="321"/>
      <c r="N143" s="321"/>
      <c r="O143" s="321"/>
      <c r="P143" s="321"/>
      <c r="Q143" s="321"/>
      <c r="R143" s="321"/>
      <c r="S143" s="321"/>
      <c r="T143" s="321"/>
      <c r="U143" s="321"/>
      <c r="V143" s="321"/>
      <c r="W143" s="321"/>
      <c r="X143" s="321"/>
      <c r="Y143" s="321"/>
      <c r="Z143" s="321"/>
      <c r="AA143" s="321"/>
      <c r="AB143" s="321"/>
      <c r="AC143" s="321"/>
      <c r="AD143" s="321"/>
      <c r="AE143" s="321"/>
      <c r="AF143" s="321"/>
      <c r="AG143" s="321"/>
      <c r="AH143" s="321"/>
      <c r="AI143" s="321"/>
      <c r="AJ143" s="321"/>
      <c r="AK143" s="321"/>
      <c r="AL143" s="321"/>
      <c r="AM143" s="321"/>
      <c r="AN143" s="321"/>
      <c r="AO143" s="321"/>
      <c r="AP143" s="321"/>
      <c r="AQ143" s="321"/>
      <c r="AR143" s="321"/>
      <c r="AS143" s="321"/>
      <c r="AT143" s="321"/>
      <c r="AU143" s="321"/>
      <c r="AV143" s="321"/>
      <c r="AW143" s="321"/>
      <c r="AX143" s="321"/>
      <c r="AY143" s="321"/>
    </row>
    <row r="144" spans="1:51">
      <c r="A144" s="321"/>
      <c r="B144" s="321"/>
      <c r="C144" s="321"/>
      <c r="D144" s="321"/>
      <c r="E144" s="321"/>
      <c r="AA144" s="321"/>
      <c r="AB144" s="321"/>
      <c r="AC144" s="321"/>
      <c r="AD144" s="321"/>
      <c r="AE144" s="321"/>
      <c r="AF144" s="321"/>
      <c r="AG144" s="321"/>
      <c r="AH144" s="321"/>
      <c r="AI144" s="321"/>
      <c r="AJ144" s="321"/>
      <c r="AK144" s="321"/>
      <c r="AL144" s="321"/>
      <c r="AM144" s="321"/>
      <c r="AN144" s="321"/>
      <c r="AO144" s="321"/>
      <c r="AP144" s="321"/>
      <c r="AQ144" s="321"/>
      <c r="AR144" s="321"/>
      <c r="AS144" s="321"/>
      <c r="AT144" s="321"/>
      <c r="AU144" s="321"/>
      <c r="AV144" s="321"/>
      <c r="AW144" s="321"/>
      <c r="AX144" s="321"/>
      <c r="AY144" s="321"/>
    </row>
    <row r="145" spans="1:51">
      <c r="A145" s="321"/>
      <c r="B145" s="321"/>
      <c r="C145" s="321"/>
      <c r="D145" s="321"/>
      <c r="E145" s="321"/>
      <c r="AA145" s="321"/>
      <c r="AB145" s="321"/>
      <c r="AC145" s="321"/>
      <c r="AD145" s="321"/>
      <c r="AE145" s="321"/>
      <c r="AF145" s="321"/>
      <c r="AG145" s="321"/>
      <c r="AH145" s="321"/>
      <c r="AI145" s="321"/>
      <c r="AJ145" s="321"/>
      <c r="AK145" s="321"/>
      <c r="AL145" s="321"/>
      <c r="AM145" s="321"/>
      <c r="AN145" s="321"/>
      <c r="AO145" s="321"/>
      <c r="AP145" s="321"/>
      <c r="AQ145" s="321"/>
      <c r="AR145" s="321"/>
      <c r="AS145" s="321"/>
      <c r="AT145" s="321"/>
      <c r="AU145" s="321"/>
      <c r="AV145" s="321"/>
      <c r="AW145" s="321"/>
      <c r="AX145" s="321"/>
      <c r="AY145" s="321"/>
    </row>
    <row r="146" spans="1:51">
      <c r="A146" s="321"/>
      <c r="B146" s="321"/>
      <c r="C146" s="321"/>
      <c r="D146" s="321"/>
      <c r="E146" s="321"/>
      <c r="AA146" s="321"/>
      <c r="AB146" s="321"/>
      <c r="AC146" s="321"/>
      <c r="AD146" s="321"/>
      <c r="AE146" s="321"/>
      <c r="AF146" s="321"/>
      <c r="AG146" s="321"/>
      <c r="AH146" s="321"/>
      <c r="AI146" s="321"/>
      <c r="AJ146" s="321"/>
      <c r="AK146" s="321"/>
      <c r="AL146" s="321"/>
      <c r="AM146" s="321"/>
      <c r="AN146" s="321"/>
      <c r="AO146" s="321"/>
      <c r="AP146" s="321"/>
      <c r="AQ146" s="321"/>
      <c r="AR146" s="321"/>
      <c r="AS146" s="321"/>
      <c r="AT146" s="321"/>
      <c r="AU146" s="321"/>
      <c r="AV146" s="321"/>
      <c r="AW146" s="321"/>
      <c r="AX146" s="321"/>
      <c r="AY146" s="321"/>
    </row>
    <row r="147" spans="1:51">
      <c r="A147" s="321"/>
      <c r="B147" s="321"/>
      <c r="C147" s="321"/>
      <c r="D147" s="321"/>
      <c r="E147" s="321"/>
      <c r="AA147" s="321"/>
      <c r="AB147" s="321"/>
      <c r="AC147" s="321"/>
      <c r="AD147" s="321"/>
      <c r="AE147" s="321"/>
      <c r="AF147" s="321"/>
      <c r="AG147" s="321"/>
      <c r="AH147" s="321"/>
      <c r="AI147" s="321"/>
      <c r="AJ147" s="321"/>
      <c r="AK147" s="321"/>
      <c r="AL147" s="321"/>
      <c r="AM147" s="321"/>
      <c r="AN147" s="321"/>
      <c r="AO147" s="321"/>
      <c r="AP147" s="321"/>
      <c r="AQ147" s="321"/>
      <c r="AR147" s="321"/>
      <c r="AS147" s="321"/>
      <c r="AT147" s="321"/>
      <c r="AU147" s="321"/>
      <c r="AV147" s="321"/>
      <c r="AW147" s="321"/>
      <c r="AX147" s="321"/>
      <c r="AY147" s="321"/>
    </row>
    <row r="148" spans="1:51">
      <c r="A148" s="321"/>
      <c r="B148" s="321"/>
      <c r="C148" s="321"/>
      <c r="D148" s="321"/>
      <c r="E148" s="321"/>
      <c r="AA148" s="321"/>
      <c r="AB148" s="321"/>
      <c r="AC148" s="321"/>
      <c r="AD148" s="321"/>
      <c r="AE148" s="321"/>
      <c r="AF148" s="321"/>
      <c r="AG148" s="321"/>
      <c r="AH148" s="321"/>
      <c r="AI148" s="321"/>
      <c r="AJ148" s="321"/>
      <c r="AK148" s="321"/>
      <c r="AL148" s="321"/>
      <c r="AM148" s="321"/>
      <c r="AN148" s="321"/>
      <c r="AO148" s="321"/>
      <c r="AP148" s="321"/>
      <c r="AQ148" s="321"/>
      <c r="AR148" s="321"/>
      <c r="AS148" s="321"/>
      <c r="AT148" s="321"/>
      <c r="AU148" s="321"/>
      <c r="AV148" s="321"/>
      <c r="AW148" s="321"/>
      <c r="AX148" s="321"/>
      <c r="AY148" s="321"/>
    </row>
    <row r="149" spans="1:51">
      <c r="A149" s="321"/>
      <c r="B149" s="321"/>
      <c r="C149" s="321"/>
      <c r="D149" s="321"/>
      <c r="E149" s="321"/>
      <c r="AA149" s="321"/>
      <c r="AB149" s="321"/>
      <c r="AC149" s="321"/>
      <c r="AD149" s="321"/>
      <c r="AE149" s="321"/>
      <c r="AF149" s="321"/>
      <c r="AG149" s="321"/>
      <c r="AH149" s="321"/>
      <c r="AI149" s="321"/>
      <c r="AJ149" s="321"/>
      <c r="AK149" s="321"/>
      <c r="AL149" s="321"/>
      <c r="AM149" s="321"/>
      <c r="AN149" s="321"/>
      <c r="AO149" s="321"/>
      <c r="AP149" s="321"/>
      <c r="AQ149" s="321"/>
      <c r="AR149" s="321"/>
      <c r="AS149" s="321"/>
      <c r="AT149" s="321"/>
      <c r="AU149" s="321"/>
      <c r="AV149" s="321"/>
      <c r="AW149" s="321"/>
      <c r="AX149" s="321"/>
      <c r="AY149" s="321"/>
    </row>
    <row r="150" spans="1:51">
      <c r="A150" s="321"/>
      <c r="B150" s="321"/>
      <c r="C150" s="321"/>
      <c r="D150" s="321"/>
      <c r="E150" s="321"/>
      <c r="AA150" s="321"/>
      <c r="AB150" s="321"/>
      <c r="AC150" s="321"/>
      <c r="AD150" s="321"/>
      <c r="AE150" s="321"/>
      <c r="AF150" s="321"/>
      <c r="AG150" s="321"/>
      <c r="AH150" s="321"/>
      <c r="AI150" s="321"/>
      <c r="AJ150" s="321"/>
      <c r="AK150" s="321"/>
      <c r="AL150" s="321"/>
      <c r="AM150" s="321"/>
      <c r="AN150" s="321"/>
      <c r="AO150" s="321"/>
      <c r="AP150" s="321"/>
      <c r="AQ150" s="321"/>
      <c r="AR150" s="321"/>
      <c r="AS150" s="321"/>
      <c r="AT150" s="321"/>
      <c r="AU150" s="321"/>
      <c r="AV150" s="321"/>
      <c r="AW150" s="321"/>
      <c r="AX150" s="321"/>
      <c r="AY150" s="321"/>
    </row>
    <row r="151" spans="1:51">
      <c r="A151" s="321"/>
      <c r="B151" s="321"/>
      <c r="C151" s="321"/>
      <c r="D151" s="321"/>
      <c r="E151" s="321"/>
      <c r="AA151" s="321"/>
      <c r="AB151" s="321"/>
      <c r="AC151" s="321"/>
      <c r="AD151" s="321"/>
      <c r="AE151" s="321"/>
      <c r="AF151" s="321"/>
      <c r="AG151" s="321"/>
      <c r="AH151" s="321"/>
      <c r="AI151" s="321"/>
      <c r="AJ151" s="321"/>
      <c r="AK151" s="321"/>
      <c r="AL151" s="321"/>
      <c r="AM151" s="321"/>
      <c r="AN151" s="321"/>
      <c r="AO151" s="321"/>
      <c r="AP151" s="321"/>
      <c r="AQ151" s="321"/>
      <c r="AR151" s="321"/>
      <c r="AS151" s="321"/>
      <c r="AT151" s="321"/>
      <c r="AU151" s="321"/>
      <c r="AV151" s="321"/>
      <c r="AW151" s="321"/>
      <c r="AX151" s="321"/>
      <c r="AY151" s="321"/>
    </row>
    <row r="152" spans="1:51">
      <c r="A152" s="321"/>
      <c r="B152" s="321"/>
      <c r="C152" s="321"/>
      <c r="D152" s="321"/>
      <c r="E152" s="321"/>
      <c r="AA152" s="321"/>
      <c r="AB152" s="321"/>
      <c r="AC152" s="321"/>
      <c r="AD152" s="321"/>
      <c r="AE152" s="321"/>
      <c r="AF152" s="321"/>
      <c r="AG152" s="321"/>
      <c r="AH152" s="321"/>
      <c r="AI152" s="321"/>
      <c r="AJ152" s="321"/>
      <c r="AK152" s="321"/>
      <c r="AL152" s="321"/>
      <c r="AM152" s="321"/>
      <c r="AN152" s="321"/>
      <c r="AO152" s="321"/>
      <c r="AP152" s="321"/>
      <c r="AQ152" s="321"/>
      <c r="AR152" s="321"/>
      <c r="AS152" s="321"/>
      <c r="AT152" s="321"/>
      <c r="AU152" s="321"/>
      <c r="AV152" s="321"/>
      <c r="AW152" s="321"/>
      <c r="AX152" s="321"/>
      <c r="AY152" s="321"/>
    </row>
    <row r="153" spans="1:51">
      <c r="A153" s="321"/>
      <c r="B153" s="321"/>
      <c r="C153" s="321"/>
      <c r="D153" s="321"/>
      <c r="E153" s="321"/>
      <c r="AA153" s="321"/>
      <c r="AB153" s="321"/>
      <c r="AC153" s="321"/>
      <c r="AD153" s="321"/>
      <c r="AE153" s="321"/>
      <c r="AF153" s="321"/>
      <c r="AG153" s="321"/>
      <c r="AH153" s="321"/>
      <c r="AI153" s="321"/>
      <c r="AJ153" s="321"/>
      <c r="AK153" s="321"/>
      <c r="AL153" s="321"/>
      <c r="AM153" s="321"/>
      <c r="AN153" s="321"/>
      <c r="AO153" s="321"/>
      <c r="AP153" s="321"/>
      <c r="AQ153" s="321"/>
      <c r="AR153" s="321"/>
      <c r="AS153" s="321"/>
      <c r="AT153" s="321"/>
      <c r="AU153" s="321"/>
      <c r="AV153" s="321"/>
      <c r="AW153" s="321"/>
      <c r="AX153" s="321"/>
      <c r="AY153" s="321"/>
    </row>
    <row r="154" spans="1:51">
      <c r="A154" s="321"/>
      <c r="B154" s="321"/>
      <c r="C154" s="321"/>
      <c r="D154" s="321"/>
      <c r="E154" s="321"/>
      <c r="AA154" s="321"/>
      <c r="AB154" s="321"/>
      <c r="AC154" s="321"/>
      <c r="AD154" s="321"/>
      <c r="AE154" s="321"/>
      <c r="AF154" s="321"/>
      <c r="AG154" s="321"/>
      <c r="AH154" s="321"/>
      <c r="AI154" s="321"/>
      <c r="AJ154" s="321"/>
      <c r="AK154" s="321"/>
      <c r="AL154" s="321"/>
      <c r="AM154" s="321"/>
      <c r="AN154" s="321"/>
      <c r="AO154" s="321"/>
      <c r="AP154" s="321"/>
      <c r="AQ154" s="321"/>
      <c r="AR154" s="321"/>
      <c r="AS154" s="321"/>
      <c r="AT154" s="321"/>
      <c r="AU154" s="321"/>
      <c r="AV154" s="321"/>
      <c r="AW154" s="321"/>
      <c r="AX154" s="321"/>
      <c r="AY154" s="321"/>
    </row>
    <row r="155" spans="1:51">
      <c r="A155" s="321"/>
      <c r="B155" s="321"/>
      <c r="C155" s="321"/>
      <c r="D155" s="321"/>
      <c r="E155" s="321"/>
      <c r="AA155" s="321"/>
      <c r="AB155" s="321"/>
      <c r="AC155" s="321"/>
      <c r="AD155" s="321"/>
      <c r="AE155" s="321"/>
      <c r="AF155" s="321"/>
      <c r="AG155" s="321"/>
      <c r="AH155" s="321"/>
      <c r="AI155" s="321"/>
      <c r="AJ155" s="321"/>
      <c r="AK155" s="321"/>
      <c r="AL155" s="321"/>
      <c r="AM155" s="321"/>
      <c r="AN155" s="321"/>
      <c r="AO155" s="321"/>
      <c r="AP155" s="321"/>
      <c r="AQ155" s="321"/>
      <c r="AR155" s="321"/>
      <c r="AS155" s="321"/>
      <c r="AT155" s="321"/>
      <c r="AU155" s="321"/>
      <c r="AV155" s="321"/>
      <c r="AW155" s="321"/>
      <c r="AX155" s="321"/>
      <c r="AY155" s="321"/>
    </row>
    <row r="156" spans="1:51">
      <c r="A156" s="321"/>
      <c r="B156" s="321"/>
      <c r="C156" s="321"/>
      <c r="D156" s="321"/>
      <c r="E156" s="321"/>
      <c r="AA156" s="321"/>
      <c r="AB156" s="321"/>
      <c r="AC156" s="321"/>
      <c r="AD156" s="321"/>
      <c r="AE156" s="321"/>
      <c r="AF156" s="321"/>
      <c r="AG156" s="321"/>
      <c r="AH156" s="321"/>
      <c r="AI156" s="321"/>
      <c r="AJ156" s="321"/>
      <c r="AK156" s="321"/>
      <c r="AL156" s="321"/>
      <c r="AM156" s="321"/>
      <c r="AN156" s="321"/>
      <c r="AO156" s="321"/>
      <c r="AP156" s="321"/>
      <c r="AQ156" s="321"/>
      <c r="AR156" s="321"/>
      <c r="AS156" s="321"/>
      <c r="AT156" s="321"/>
      <c r="AU156" s="321"/>
      <c r="AV156" s="321"/>
      <c r="AW156" s="321"/>
      <c r="AX156" s="321"/>
      <c r="AY156" s="321"/>
    </row>
    <row r="157" spans="1:51">
      <c r="A157" s="321"/>
      <c r="B157" s="321"/>
      <c r="C157" s="321"/>
      <c r="D157" s="321"/>
      <c r="E157" s="321"/>
      <c r="AA157" s="321"/>
      <c r="AB157" s="321"/>
      <c r="AC157" s="321"/>
      <c r="AD157" s="321"/>
      <c r="AE157" s="321"/>
      <c r="AF157" s="321"/>
      <c r="AG157" s="321"/>
      <c r="AH157" s="321"/>
      <c r="AI157" s="321"/>
      <c r="AJ157" s="321"/>
      <c r="AK157" s="321"/>
      <c r="AL157" s="321"/>
      <c r="AM157" s="321"/>
      <c r="AN157" s="321"/>
      <c r="AO157" s="321"/>
      <c r="AP157" s="321"/>
      <c r="AQ157" s="321"/>
      <c r="AR157" s="321"/>
      <c r="AS157" s="321"/>
      <c r="AT157" s="321"/>
      <c r="AU157" s="321"/>
      <c r="AV157" s="321"/>
      <c r="AW157" s="321"/>
      <c r="AX157" s="321"/>
      <c r="AY157" s="321"/>
    </row>
    <row r="158" spans="1:51">
      <c r="A158" s="321"/>
      <c r="B158" s="321"/>
      <c r="C158" s="321"/>
      <c r="D158" s="321"/>
      <c r="E158" s="321"/>
      <c r="F158" s="321"/>
      <c r="G158" s="321"/>
      <c r="H158" s="321"/>
      <c r="I158" s="321"/>
      <c r="J158" s="321"/>
      <c r="K158" s="321"/>
      <c r="L158" s="321"/>
      <c r="M158" s="321"/>
      <c r="N158" s="321"/>
      <c r="O158" s="321"/>
      <c r="P158" s="321"/>
      <c r="Q158" s="321"/>
      <c r="R158" s="321"/>
      <c r="S158" s="321"/>
      <c r="T158" s="321"/>
      <c r="U158" s="321"/>
      <c r="V158" s="321"/>
      <c r="W158" s="321"/>
      <c r="X158" s="321"/>
      <c r="Y158" s="321"/>
      <c r="Z158" s="321"/>
      <c r="AA158" s="321"/>
      <c r="AB158" s="321"/>
      <c r="AC158" s="321"/>
      <c r="AD158" s="321"/>
      <c r="AE158" s="321"/>
      <c r="AF158" s="321"/>
      <c r="AG158" s="321"/>
      <c r="AH158" s="321"/>
      <c r="AI158" s="321"/>
      <c r="AJ158" s="321"/>
      <c r="AK158" s="321"/>
      <c r="AL158" s="321"/>
      <c r="AM158" s="321"/>
      <c r="AN158" s="321"/>
      <c r="AO158" s="321"/>
      <c r="AP158" s="321"/>
      <c r="AQ158" s="321"/>
      <c r="AR158" s="321"/>
      <c r="AS158" s="321"/>
      <c r="AT158" s="321"/>
      <c r="AU158" s="321"/>
      <c r="AV158" s="321"/>
      <c r="AW158" s="321"/>
      <c r="AX158" s="321"/>
      <c r="AY158" s="321"/>
    </row>
    <row r="159" spans="1:51">
      <c r="A159" s="321"/>
      <c r="B159" s="321"/>
      <c r="C159" s="321"/>
      <c r="D159" s="321"/>
      <c r="E159" s="321"/>
      <c r="F159" s="321"/>
      <c r="G159" s="321"/>
      <c r="H159" s="321"/>
      <c r="I159" s="321"/>
      <c r="J159" s="321"/>
      <c r="K159" s="321"/>
      <c r="L159" s="321"/>
      <c r="M159" s="321"/>
      <c r="N159" s="321"/>
      <c r="O159" s="321"/>
      <c r="P159" s="321"/>
      <c r="Q159" s="321"/>
      <c r="R159" s="321"/>
      <c r="S159" s="321"/>
      <c r="T159" s="321"/>
      <c r="U159" s="321"/>
      <c r="V159" s="321"/>
      <c r="W159" s="321"/>
      <c r="X159" s="321"/>
      <c r="Y159" s="321"/>
      <c r="Z159" s="321"/>
      <c r="AA159" s="321"/>
      <c r="AB159" s="321"/>
      <c r="AC159" s="321"/>
      <c r="AD159" s="321"/>
      <c r="AE159" s="321"/>
      <c r="AF159" s="321"/>
      <c r="AG159" s="321"/>
      <c r="AH159" s="321"/>
      <c r="AI159" s="321"/>
      <c r="AJ159" s="321"/>
      <c r="AK159" s="321"/>
      <c r="AL159" s="321"/>
      <c r="AM159" s="321"/>
      <c r="AN159" s="321"/>
      <c r="AO159" s="321"/>
      <c r="AP159" s="321"/>
      <c r="AQ159" s="321"/>
      <c r="AR159" s="321"/>
      <c r="AS159" s="321"/>
      <c r="AT159" s="321"/>
      <c r="AU159" s="321"/>
      <c r="AV159" s="321"/>
      <c r="AW159" s="321"/>
      <c r="AX159" s="321"/>
      <c r="AY159" s="321"/>
    </row>
    <row r="160" spans="1:51">
      <c r="A160" s="321"/>
      <c r="B160" s="321"/>
      <c r="C160" s="321"/>
      <c r="D160" s="321"/>
      <c r="E160" s="321"/>
      <c r="F160" s="321"/>
      <c r="G160" s="321"/>
      <c r="H160" s="321"/>
      <c r="I160" s="321"/>
      <c r="J160" s="321"/>
      <c r="K160" s="321"/>
      <c r="L160" s="321"/>
      <c r="M160" s="321"/>
      <c r="N160" s="321"/>
      <c r="O160" s="321"/>
      <c r="P160" s="321"/>
      <c r="Q160" s="321"/>
      <c r="R160" s="321"/>
      <c r="S160" s="321"/>
      <c r="T160" s="321"/>
      <c r="U160" s="321"/>
      <c r="V160" s="321"/>
      <c r="W160" s="321"/>
      <c r="X160" s="321"/>
      <c r="Y160" s="321"/>
      <c r="Z160" s="321"/>
      <c r="AA160" s="321"/>
      <c r="AB160" s="321"/>
      <c r="AC160" s="321"/>
      <c r="AD160" s="321"/>
      <c r="AE160" s="321"/>
      <c r="AF160" s="321"/>
      <c r="AG160" s="321"/>
      <c r="AH160" s="321"/>
      <c r="AI160" s="321"/>
      <c r="AJ160" s="321"/>
      <c r="AK160" s="321"/>
      <c r="AL160" s="321"/>
      <c r="AM160" s="321"/>
      <c r="AN160" s="321"/>
      <c r="AO160" s="321"/>
      <c r="AP160" s="321"/>
      <c r="AQ160" s="321"/>
      <c r="AR160" s="321"/>
      <c r="AS160" s="321"/>
      <c r="AT160" s="321"/>
      <c r="AU160" s="321"/>
      <c r="AV160" s="321"/>
      <c r="AW160" s="321"/>
      <c r="AX160" s="321"/>
      <c r="AY160" s="321"/>
    </row>
    <row r="161" spans="1:51">
      <c r="A161" s="321"/>
      <c r="B161" s="321"/>
      <c r="C161" s="321"/>
      <c r="D161" s="321"/>
      <c r="E161" s="321"/>
      <c r="F161" s="321"/>
      <c r="G161" s="321"/>
      <c r="H161" s="321"/>
      <c r="I161" s="321"/>
      <c r="J161" s="321"/>
      <c r="K161" s="321"/>
      <c r="L161" s="321"/>
      <c r="M161" s="321"/>
      <c r="N161" s="321"/>
      <c r="O161" s="321"/>
      <c r="P161" s="321"/>
      <c r="Q161" s="321"/>
      <c r="R161" s="321"/>
      <c r="S161" s="321"/>
      <c r="T161" s="321"/>
      <c r="U161" s="321"/>
      <c r="V161" s="321"/>
      <c r="W161" s="321"/>
      <c r="X161" s="321"/>
      <c r="Y161" s="321"/>
      <c r="Z161" s="321"/>
      <c r="AA161" s="321"/>
      <c r="AB161" s="321"/>
      <c r="AC161" s="321"/>
      <c r="AD161" s="321"/>
      <c r="AE161" s="321"/>
      <c r="AF161" s="321"/>
      <c r="AG161" s="321"/>
      <c r="AH161" s="321"/>
      <c r="AI161" s="321"/>
      <c r="AJ161" s="321"/>
      <c r="AK161" s="321"/>
      <c r="AL161" s="321"/>
      <c r="AM161" s="321"/>
      <c r="AN161" s="321"/>
      <c r="AO161" s="321"/>
      <c r="AP161" s="321"/>
      <c r="AQ161" s="321"/>
      <c r="AR161" s="321"/>
      <c r="AS161" s="321"/>
      <c r="AT161" s="321"/>
      <c r="AU161" s="321"/>
      <c r="AV161" s="321"/>
      <c r="AW161" s="321"/>
      <c r="AX161" s="321"/>
      <c r="AY161" s="321"/>
    </row>
    <row r="162" spans="1:51">
      <c r="A162" s="321"/>
      <c r="B162" s="321"/>
      <c r="C162" s="321"/>
      <c r="D162" s="321"/>
      <c r="E162" s="321"/>
      <c r="F162" s="321"/>
      <c r="G162" s="321"/>
      <c r="H162" s="321"/>
      <c r="I162" s="321"/>
      <c r="J162" s="321"/>
      <c r="K162" s="321"/>
      <c r="L162" s="321"/>
      <c r="M162" s="321"/>
      <c r="N162" s="321"/>
      <c r="O162" s="321"/>
      <c r="P162" s="321"/>
      <c r="Q162" s="321"/>
      <c r="R162" s="321"/>
      <c r="S162" s="321"/>
      <c r="T162" s="321"/>
      <c r="U162" s="321"/>
      <c r="V162" s="321"/>
      <c r="W162" s="321"/>
      <c r="X162" s="321"/>
      <c r="Y162" s="321"/>
      <c r="Z162" s="321"/>
      <c r="AA162" s="321"/>
      <c r="AB162" s="321"/>
      <c r="AC162" s="321"/>
      <c r="AD162" s="321"/>
      <c r="AE162" s="321"/>
      <c r="AF162" s="321"/>
      <c r="AG162" s="321"/>
      <c r="AH162" s="321"/>
      <c r="AI162" s="321"/>
      <c r="AJ162" s="321"/>
      <c r="AK162" s="321"/>
      <c r="AL162" s="321"/>
      <c r="AM162" s="321"/>
      <c r="AN162" s="321"/>
      <c r="AO162" s="321"/>
      <c r="AP162" s="321"/>
      <c r="AQ162" s="321"/>
      <c r="AR162" s="321"/>
      <c r="AS162" s="321"/>
      <c r="AT162" s="321"/>
      <c r="AU162" s="321"/>
      <c r="AV162" s="321"/>
      <c r="AW162" s="321"/>
      <c r="AX162" s="321"/>
      <c r="AY162" s="321"/>
    </row>
    <row r="163" spans="1:51">
      <c r="A163" s="321"/>
      <c r="B163" s="321"/>
      <c r="C163" s="321"/>
      <c r="D163" s="321"/>
      <c r="E163" s="321"/>
      <c r="F163" s="321"/>
      <c r="G163" s="321"/>
      <c r="H163" s="321"/>
      <c r="I163" s="321"/>
      <c r="J163" s="321"/>
      <c r="K163" s="321"/>
      <c r="L163" s="321"/>
      <c r="M163" s="321"/>
      <c r="N163" s="321"/>
      <c r="O163" s="321"/>
      <c r="P163" s="321"/>
      <c r="Q163" s="321"/>
      <c r="R163" s="321"/>
      <c r="S163" s="321"/>
      <c r="T163" s="321"/>
      <c r="U163" s="321"/>
      <c r="V163" s="321"/>
      <c r="W163" s="321"/>
      <c r="X163" s="321"/>
      <c r="Y163" s="321"/>
      <c r="Z163" s="321"/>
      <c r="AA163" s="321"/>
      <c r="AB163" s="321"/>
      <c r="AC163" s="321"/>
      <c r="AD163" s="321"/>
      <c r="AE163" s="321"/>
      <c r="AF163" s="321"/>
      <c r="AG163" s="321"/>
      <c r="AH163" s="321"/>
      <c r="AI163" s="321"/>
      <c r="AJ163" s="321"/>
      <c r="AK163" s="321"/>
      <c r="AL163" s="321"/>
      <c r="AM163" s="321"/>
      <c r="AN163" s="321"/>
      <c r="AO163" s="321"/>
      <c r="AP163" s="321"/>
      <c r="AQ163" s="321"/>
      <c r="AR163" s="321"/>
      <c r="AS163" s="321"/>
      <c r="AT163" s="321"/>
      <c r="AU163" s="321"/>
      <c r="AV163" s="321"/>
      <c r="AW163" s="321"/>
      <c r="AX163" s="321"/>
      <c r="AY163" s="321"/>
    </row>
    <row r="164" spans="1:51">
      <c r="A164" s="321"/>
      <c r="B164" s="321"/>
      <c r="C164" s="321"/>
      <c r="D164" s="321"/>
      <c r="E164" s="321"/>
      <c r="F164" s="321"/>
      <c r="G164" s="321"/>
      <c r="H164" s="321"/>
      <c r="I164" s="321"/>
      <c r="J164" s="321"/>
      <c r="K164" s="321"/>
      <c r="L164" s="321"/>
      <c r="M164" s="321"/>
      <c r="N164" s="321"/>
      <c r="O164" s="321"/>
      <c r="P164" s="321"/>
      <c r="Q164" s="321"/>
      <c r="R164" s="321"/>
      <c r="S164" s="321"/>
      <c r="T164" s="321"/>
      <c r="U164" s="321"/>
      <c r="V164" s="321"/>
      <c r="W164" s="321"/>
      <c r="X164" s="321"/>
      <c r="Y164" s="321"/>
      <c r="Z164" s="321"/>
      <c r="AA164" s="321"/>
      <c r="AB164" s="321"/>
      <c r="AC164" s="321"/>
      <c r="AD164" s="321"/>
      <c r="AE164" s="321"/>
      <c r="AF164" s="321"/>
      <c r="AG164" s="321"/>
      <c r="AH164" s="321"/>
      <c r="AI164" s="321"/>
      <c r="AJ164" s="321"/>
      <c r="AK164" s="321"/>
      <c r="AL164" s="321"/>
      <c r="AM164" s="321"/>
      <c r="AN164" s="321"/>
      <c r="AO164" s="321"/>
      <c r="AP164" s="321"/>
      <c r="AQ164" s="321"/>
      <c r="AR164" s="321"/>
      <c r="AS164" s="321"/>
      <c r="AT164" s="321"/>
      <c r="AU164" s="321"/>
      <c r="AV164" s="321"/>
      <c r="AW164" s="321"/>
      <c r="AX164" s="321"/>
      <c r="AY164" s="321"/>
    </row>
    <row r="165" spans="1:51">
      <c r="A165" s="321"/>
      <c r="B165" s="321"/>
      <c r="C165" s="321"/>
      <c r="D165" s="321"/>
      <c r="E165" s="321"/>
      <c r="F165" s="321"/>
      <c r="G165" s="321"/>
      <c r="H165" s="321"/>
      <c r="I165" s="321"/>
      <c r="J165" s="321"/>
      <c r="K165" s="321"/>
      <c r="L165" s="321"/>
      <c r="M165" s="321"/>
      <c r="N165" s="321"/>
      <c r="O165" s="321"/>
      <c r="P165" s="321"/>
      <c r="Q165" s="321"/>
      <c r="R165" s="321"/>
      <c r="S165" s="321"/>
      <c r="T165" s="321"/>
      <c r="U165" s="321"/>
      <c r="V165" s="321"/>
      <c r="W165" s="321"/>
      <c r="X165" s="321"/>
      <c r="Y165" s="321"/>
      <c r="Z165" s="321"/>
      <c r="AA165" s="321"/>
      <c r="AB165" s="321"/>
      <c r="AC165" s="321"/>
      <c r="AD165" s="321"/>
      <c r="AE165" s="321"/>
      <c r="AF165" s="321"/>
      <c r="AG165" s="321"/>
      <c r="AH165" s="321"/>
      <c r="AI165" s="321"/>
      <c r="AJ165" s="321"/>
      <c r="AK165" s="321"/>
      <c r="AL165" s="321"/>
      <c r="AM165" s="321"/>
      <c r="AN165" s="321"/>
      <c r="AO165" s="321"/>
      <c r="AP165" s="321"/>
      <c r="AQ165" s="321"/>
      <c r="AR165" s="321"/>
      <c r="AS165" s="321"/>
      <c r="AT165" s="321"/>
      <c r="AU165" s="321"/>
      <c r="AV165" s="321"/>
      <c r="AW165" s="321"/>
      <c r="AX165" s="321"/>
      <c r="AY165" s="321"/>
    </row>
    <row r="166" spans="1:51">
      <c r="A166" s="321"/>
      <c r="B166" s="321"/>
      <c r="C166" s="321"/>
      <c r="D166" s="321"/>
      <c r="E166" s="321"/>
      <c r="F166" s="321"/>
      <c r="G166" s="321"/>
      <c r="H166" s="321"/>
      <c r="I166" s="321"/>
      <c r="J166" s="321"/>
      <c r="K166" s="321"/>
      <c r="L166" s="321"/>
      <c r="M166" s="321"/>
      <c r="N166" s="321"/>
      <c r="O166" s="321"/>
      <c r="P166" s="321"/>
      <c r="Q166" s="321"/>
      <c r="R166" s="321"/>
      <c r="S166" s="321"/>
      <c r="T166" s="321"/>
      <c r="U166" s="321"/>
      <c r="V166" s="321"/>
      <c r="W166" s="321"/>
      <c r="X166" s="321"/>
      <c r="Y166" s="321"/>
      <c r="Z166" s="321"/>
      <c r="AA166" s="321"/>
      <c r="AB166" s="321"/>
      <c r="AC166" s="321"/>
      <c r="AD166" s="321"/>
      <c r="AE166" s="321"/>
      <c r="AF166" s="321"/>
      <c r="AG166" s="321"/>
      <c r="AH166" s="321"/>
      <c r="AI166" s="321"/>
      <c r="AJ166" s="321"/>
      <c r="AK166" s="321"/>
      <c r="AL166" s="321"/>
      <c r="AM166" s="321"/>
      <c r="AN166" s="321"/>
      <c r="AO166" s="321"/>
      <c r="AP166" s="321"/>
      <c r="AQ166" s="321"/>
      <c r="AR166" s="321"/>
      <c r="AS166" s="321"/>
      <c r="AT166" s="321"/>
      <c r="AU166" s="321"/>
      <c r="AV166" s="321"/>
      <c r="AW166" s="321"/>
      <c r="AX166" s="321"/>
      <c r="AY166" s="321"/>
    </row>
    <row r="167" spans="1:51">
      <c r="A167" s="321"/>
      <c r="B167" s="321"/>
      <c r="C167" s="321"/>
      <c r="D167" s="321"/>
      <c r="E167" s="321"/>
      <c r="F167" s="321"/>
      <c r="G167" s="321"/>
      <c r="H167" s="321"/>
      <c r="I167" s="321"/>
      <c r="J167" s="321"/>
      <c r="K167" s="321"/>
      <c r="L167" s="321"/>
      <c r="M167" s="321"/>
      <c r="N167" s="321"/>
      <c r="O167" s="321"/>
      <c r="P167" s="321"/>
      <c r="Q167" s="321"/>
      <c r="R167" s="321"/>
      <c r="S167" s="321"/>
      <c r="T167" s="321"/>
      <c r="U167" s="321"/>
      <c r="V167" s="321"/>
      <c r="W167" s="321"/>
      <c r="X167" s="321"/>
      <c r="Y167" s="321"/>
      <c r="Z167" s="321"/>
      <c r="AA167" s="321"/>
      <c r="AB167" s="321"/>
      <c r="AC167" s="321"/>
      <c r="AD167" s="321"/>
      <c r="AE167" s="321"/>
      <c r="AF167" s="321"/>
      <c r="AG167" s="321"/>
      <c r="AH167" s="321"/>
      <c r="AI167" s="321"/>
      <c r="AJ167" s="321"/>
      <c r="AK167" s="321"/>
      <c r="AL167" s="321"/>
      <c r="AM167" s="321"/>
      <c r="AN167" s="321"/>
      <c r="AO167" s="321"/>
      <c r="AP167" s="321"/>
      <c r="AQ167" s="321"/>
      <c r="AR167" s="321"/>
      <c r="AS167" s="321"/>
      <c r="AT167" s="321"/>
      <c r="AU167" s="321"/>
      <c r="AV167" s="321"/>
      <c r="AW167" s="321"/>
      <c r="AX167" s="321"/>
      <c r="AY167" s="321"/>
    </row>
    <row r="168" spans="1:51">
      <c r="A168" s="321"/>
      <c r="B168" s="321"/>
      <c r="C168" s="321"/>
      <c r="D168" s="321"/>
      <c r="E168" s="321"/>
      <c r="F168" s="321"/>
      <c r="G168" s="321"/>
      <c r="H168" s="321"/>
      <c r="I168" s="321"/>
      <c r="J168" s="321"/>
      <c r="K168" s="321"/>
      <c r="L168" s="321"/>
      <c r="M168" s="321"/>
      <c r="N168" s="321"/>
      <c r="O168" s="321"/>
      <c r="P168" s="321"/>
      <c r="Q168" s="321"/>
      <c r="R168" s="321"/>
      <c r="S168" s="321"/>
      <c r="T168" s="321"/>
      <c r="U168" s="321"/>
      <c r="V168" s="321"/>
      <c r="W168" s="321"/>
      <c r="X168" s="321"/>
      <c r="Y168" s="321"/>
      <c r="Z168" s="321"/>
      <c r="AA168" s="321"/>
      <c r="AB168" s="321"/>
      <c r="AC168" s="321"/>
      <c r="AD168" s="321"/>
      <c r="AE168" s="321"/>
      <c r="AF168" s="321"/>
      <c r="AG168" s="321"/>
      <c r="AH168" s="321"/>
      <c r="AI168" s="321"/>
      <c r="AJ168" s="321"/>
      <c r="AK168" s="321"/>
      <c r="AL168" s="321"/>
      <c r="AM168" s="321"/>
      <c r="AN168" s="321"/>
      <c r="AO168" s="321"/>
      <c r="AP168" s="321"/>
      <c r="AQ168" s="321"/>
      <c r="AR168" s="321"/>
      <c r="AS168" s="321"/>
      <c r="AT168" s="321"/>
      <c r="AU168" s="321"/>
      <c r="AV168" s="321"/>
      <c r="AW168" s="321"/>
      <c r="AX168" s="321"/>
      <c r="AY168" s="321"/>
    </row>
    <row r="169" spans="1:51">
      <c r="A169" s="321"/>
      <c r="B169" s="321"/>
      <c r="C169" s="321"/>
      <c r="D169" s="321"/>
      <c r="E169" s="321"/>
      <c r="F169" s="321"/>
      <c r="G169" s="321"/>
      <c r="H169" s="321"/>
      <c r="I169" s="321"/>
      <c r="J169" s="321"/>
      <c r="K169" s="321"/>
      <c r="L169" s="321"/>
      <c r="M169" s="321"/>
      <c r="N169" s="321"/>
      <c r="O169" s="321"/>
      <c r="P169" s="321"/>
      <c r="Q169" s="321"/>
      <c r="R169" s="321"/>
      <c r="S169" s="321"/>
      <c r="T169" s="321"/>
      <c r="U169" s="321"/>
      <c r="V169" s="321"/>
      <c r="W169" s="321"/>
      <c r="X169" s="321"/>
      <c r="Y169" s="321"/>
      <c r="Z169" s="321"/>
      <c r="AA169" s="321"/>
      <c r="AB169" s="321"/>
      <c r="AC169" s="321"/>
      <c r="AD169" s="321"/>
      <c r="AE169" s="321"/>
      <c r="AF169" s="321"/>
      <c r="AG169" s="321"/>
      <c r="AH169" s="321"/>
      <c r="AI169" s="321"/>
      <c r="AJ169" s="321"/>
      <c r="AK169" s="321"/>
      <c r="AL169" s="321"/>
      <c r="AM169" s="321"/>
      <c r="AN169" s="321"/>
      <c r="AO169" s="321"/>
      <c r="AP169" s="321"/>
      <c r="AQ169" s="321"/>
      <c r="AR169" s="321"/>
      <c r="AS169" s="321"/>
      <c r="AT169" s="321"/>
      <c r="AU169" s="321"/>
      <c r="AV169" s="321"/>
      <c r="AW169" s="321"/>
      <c r="AX169" s="321"/>
      <c r="AY169" s="321"/>
    </row>
    <row r="170" spans="1:51">
      <c r="A170" s="321"/>
      <c r="B170" s="321"/>
      <c r="C170" s="321"/>
      <c r="D170" s="321"/>
      <c r="E170" s="321"/>
      <c r="F170" s="321"/>
      <c r="G170" s="321"/>
      <c r="H170" s="321"/>
      <c r="I170" s="321"/>
      <c r="J170" s="321"/>
      <c r="K170" s="321"/>
      <c r="L170" s="321"/>
      <c r="M170" s="321"/>
      <c r="N170" s="321"/>
      <c r="O170" s="321"/>
      <c r="P170" s="321"/>
      <c r="Q170" s="321"/>
      <c r="R170" s="321"/>
      <c r="S170" s="321"/>
      <c r="T170" s="321"/>
      <c r="U170" s="321"/>
      <c r="V170" s="321"/>
      <c r="W170" s="321"/>
      <c r="X170" s="321"/>
      <c r="Y170" s="321"/>
      <c r="Z170" s="321"/>
      <c r="AA170" s="321"/>
      <c r="AB170" s="321"/>
      <c r="AC170" s="321"/>
      <c r="AD170" s="321"/>
      <c r="AE170" s="321"/>
      <c r="AF170" s="321"/>
      <c r="AG170" s="321"/>
      <c r="AH170" s="321"/>
      <c r="AI170" s="321"/>
      <c r="AJ170" s="321"/>
      <c r="AK170" s="321"/>
      <c r="AL170" s="321"/>
      <c r="AM170" s="321"/>
      <c r="AN170" s="321"/>
      <c r="AO170" s="321"/>
      <c r="AP170" s="321"/>
      <c r="AQ170" s="321"/>
      <c r="AR170" s="321"/>
      <c r="AS170" s="321"/>
      <c r="AT170" s="321"/>
      <c r="AU170" s="321"/>
      <c r="AV170" s="321"/>
      <c r="AW170" s="321"/>
      <c r="AX170" s="321"/>
      <c r="AY170" s="321"/>
    </row>
    <row r="171" spans="1:51">
      <c r="A171" s="321"/>
      <c r="B171" s="321"/>
      <c r="C171" s="321"/>
      <c r="D171" s="321"/>
      <c r="E171" s="321"/>
      <c r="F171" s="321"/>
      <c r="G171" s="321"/>
      <c r="H171" s="321"/>
      <c r="I171" s="321"/>
      <c r="J171" s="321"/>
      <c r="K171" s="321"/>
      <c r="L171" s="321"/>
      <c r="M171" s="321"/>
      <c r="N171" s="321"/>
      <c r="O171" s="321"/>
      <c r="P171" s="321"/>
      <c r="Q171" s="321"/>
      <c r="R171" s="321"/>
      <c r="S171" s="321"/>
      <c r="T171" s="321"/>
      <c r="U171" s="321"/>
      <c r="V171" s="321"/>
      <c r="W171" s="321"/>
      <c r="X171" s="321"/>
      <c r="Y171" s="321"/>
      <c r="Z171" s="321"/>
      <c r="AA171" s="321"/>
      <c r="AB171" s="321"/>
      <c r="AC171" s="321"/>
      <c r="AD171" s="321"/>
      <c r="AE171" s="321"/>
      <c r="AF171" s="321"/>
      <c r="AG171" s="321"/>
      <c r="AH171" s="321"/>
      <c r="AI171" s="321"/>
      <c r="AJ171" s="321"/>
      <c r="AK171" s="321"/>
      <c r="AL171" s="321"/>
      <c r="AM171" s="321"/>
      <c r="AN171" s="321"/>
      <c r="AO171" s="321"/>
      <c r="AP171" s="321"/>
      <c r="AQ171" s="321"/>
      <c r="AR171" s="321"/>
      <c r="AS171" s="321"/>
      <c r="AT171" s="321"/>
      <c r="AU171" s="321"/>
      <c r="AV171" s="321"/>
      <c r="AW171" s="321"/>
      <c r="AX171" s="321"/>
      <c r="AY171" s="321"/>
    </row>
    <row r="172" spans="1:51">
      <c r="A172" s="321"/>
      <c r="B172" s="321"/>
      <c r="C172" s="321"/>
      <c r="D172" s="321"/>
      <c r="E172" s="321"/>
      <c r="F172" s="321"/>
      <c r="G172" s="321"/>
      <c r="H172" s="321"/>
      <c r="I172" s="321"/>
      <c r="J172" s="321"/>
      <c r="K172" s="321"/>
      <c r="L172" s="321"/>
      <c r="M172" s="321"/>
      <c r="N172" s="321"/>
      <c r="O172" s="321"/>
      <c r="P172" s="321"/>
      <c r="Q172" s="321"/>
      <c r="R172" s="321"/>
      <c r="S172" s="321"/>
      <c r="T172" s="321"/>
      <c r="U172" s="321"/>
      <c r="V172" s="321"/>
      <c r="W172" s="321"/>
      <c r="X172" s="321"/>
      <c r="Y172" s="321"/>
      <c r="Z172" s="321"/>
      <c r="AA172" s="321"/>
      <c r="AB172" s="321"/>
      <c r="AC172" s="321"/>
      <c r="AD172" s="321"/>
      <c r="AE172" s="321"/>
      <c r="AF172" s="321"/>
      <c r="AG172" s="321"/>
      <c r="AH172" s="321"/>
      <c r="AI172" s="321"/>
      <c r="AJ172" s="321"/>
      <c r="AK172" s="321"/>
      <c r="AL172" s="321"/>
      <c r="AM172" s="321"/>
      <c r="AN172" s="321"/>
      <c r="AO172" s="321"/>
      <c r="AP172" s="321"/>
      <c r="AQ172" s="321"/>
      <c r="AR172" s="321"/>
      <c r="AS172" s="321"/>
      <c r="AT172" s="321"/>
      <c r="AU172" s="321"/>
      <c r="AV172" s="321"/>
      <c r="AW172" s="321"/>
      <c r="AX172" s="321"/>
      <c r="AY172" s="321"/>
    </row>
    <row r="173" spans="1:51">
      <c r="A173" s="321"/>
      <c r="B173" s="321"/>
      <c r="C173" s="321"/>
      <c r="D173" s="321"/>
      <c r="E173" s="321"/>
      <c r="F173" s="321"/>
      <c r="G173" s="321"/>
      <c r="H173" s="321"/>
      <c r="I173" s="321"/>
      <c r="J173" s="321"/>
      <c r="K173" s="321"/>
      <c r="L173" s="321"/>
      <c r="M173" s="321"/>
      <c r="N173" s="321"/>
      <c r="O173" s="321"/>
      <c r="P173" s="321"/>
      <c r="Q173" s="321"/>
      <c r="R173" s="321"/>
      <c r="S173" s="321"/>
      <c r="T173" s="321"/>
      <c r="U173" s="321"/>
      <c r="V173" s="321"/>
      <c r="W173" s="321"/>
      <c r="X173" s="321"/>
      <c r="Y173" s="321"/>
      <c r="Z173" s="321"/>
      <c r="AA173" s="321"/>
      <c r="AB173" s="321"/>
      <c r="AC173" s="321"/>
      <c r="AD173" s="321"/>
      <c r="AE173" s="321"/>
      <c r="AF173" s="321"/>
      <c r="AG173" s="321"/>
      <c r="AH173" s="321"/>
      <c r="AI173" s="321"/>
      <c r="AJ173" s="321"/>
      <c r="AK173" s="321"/>
      <c r="AL173" s="321"/>
      <c r="AM173" s="321"/>
      <c r="AN173" s="321"/>
      <c r="AO173" s="321"/>
      <c r="AP173" s="321"/>
      <c r="AQ173" s="321"/>
      <c r="AR173" s="321"/>
      <c r="AS173" s="321"/>
      <c r="AT173" s="321"/>
      <c r="AU173" s="321"/>
      <c r="AV173" s="321"/>
      <c r="AW173" s="321"/>
      <c r="AX173" s="321"/>
      <c r="AY173" s="321"/>
    </row>
    <row r="174" spans="1:51">
      <c r="A174" s="321"/>
      <c r="B174" s="321"/>
      <c r="C174" s="321"/>
      <c r="D174" s="321"/>
      <c r="E174" s="321"/>
      <c r="F174" s="321"/>
      <c r="G174" s="321"/>
      <c r="H174" s="321"/>
      <c r="I174" s="321"/>
      <c r="J174" s="321"/>
      <c r="K174" s="321"/>
      <c r="L174" s="321"/>
      <c r="M174" s="321"/>
      <c r="N174" s="321"/>
      <c r="O174" s="321"/>
      <c r="P174" s="321"/>
      <c r="Q174" s="321"/>
      <c r="R174" s="321"/>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row>
    <row r="175" spans="1:51">
      <c r="A175" s="321"/>
      <c r="B175" s="321"/>
      <c r="C175" s="321"/>
      <c r="D175" s="321"/>
      <c r="E175" s="321"/>
      <c r="F175" s="321"/>
      <c r="G175" s="321"/>
      <c r="H175" s="321"/>
      <c r="I175" s="321"/>
      <c r="J175" s="321"/>
      <c r="K175" s="321"/>
      <c r="L175" s="321"/>
      <c r="M175" s="321"/>
      <c r="N175" s="321"/>
      <c r="O175" s="321"/>
      <c r="P175" s="321"/>
      <c r="Q175" s="321"/>
      <c r="R175" s="321"/>
      <c r="S175" s="321"/>
      <c r="T175" s="321"/>
      <c r="U175" s="321"/>
      <c r="V175" s="321"/>
      <c r="W175" s="321"/>
      <c r="X175" s="321"/>
      <c r="Y175" s="321"/>
      <c r="Z175" s="321"/>
      <c r="AA175" s="321"/>
      <c r="AB175" s="321"/>
      <c r="AC175" s="321"/>
      <c r="AD175" s="321"/>
      <c r="AE175" s="321"/>
      <c r="AF175" s="321"/>
      <c r="AG175" s="321"/>
      <c r="AH175" s="321"/>
      <c r="AI175" s="321"/>
      <c r="AJ175" s="321"/>
      <c r="AK175" s="321"/>
      <c r="AL175" s="321"/>
      <c r="AM175" s="321"/>
      <c r="AN175" s="321"/>
      <c r="AO175" s="321"/>
      <c r="AP175" s="321"/>
      <c r="AQ175" s="321"/>
      <c r="AR175" s="321"/>
      <c r="AS175" s="321"/>
      <c r="AT175" s="321"/>
      <c r="AU175" s="321"/>
      <c r="AV175" s="321"/>
      <c r="AW175" s="321"/>
      <c r="AX175" s="321"/>
      <c r="AY175" s="321"/>
    </row>
    <row r="176" spans="1:51">
      <c r="A176" s="321"/>
      <c r="B176" s="321"/>
      <c r="C176" s="321"/>
      <c r="D176" s="321"/>
      <c r="E176" s="321"/>
      <c r="F176" s="321"/>
      <c r="G176" s="321"/>
      <c r="H176" s="321"/>
      <c r="I176" s="321"/>
      <c r="J176" s="321"/>
      <c r="K176" s="321"/>
      <c r="L176" s="321"/>
      <c r="M176" s="321"/>
      <c r="N176" s="321"/>
      <c r="O176" s="321"/>
      <c r="P176" s="321"/>
      <c r="Q176" s="321"/>
      <c r="R176" s="321"/>
      <c r="S176" s="321"/>
      <c r="T176" s="321"/>
      <c r="U176" s="321"/>
      <c r="V176" s="321"/>
      <c r="W176" s="321"/>
      <c r="X176" s="321"/>
      <c r="Y176" s="321"/>
      <c r="Z176" s="321"/>
      <c r="AA176" s="321"/>
      <c r="AB176" s="321"/>
      <c r="AC176" s="321"/>
      <c r="AD176" s="321"/>
      <c r="AE176" s="321"/>
      <c r="AF176" s="321"/>
      <c r="AG176" s="321"/>
      <c r="AH176" s="321"/>
      <c r="AI176" s="321"/>
      <c r="AJ176" s="321"/>
      <c r="AK176" s="321"/>
      <c r="AL176" s="321"/>
      <c r="AM176" s="321"/>
      <c r="AN176" s="321"/>
      <c r="AO176" s="321"/>
      <c r="AP176" s="321"/>
      <c r="AQ176" s="321"/>
      <c r="AR176" s="321"/>
      <c r="AS176" s="321"/>
      <c r="AT176" s="321"/>
      <c r="AU176" s="321"/>
      <c r="AV176" s="321"/>
      <c r="AW176" s="321"/>
      <c r="AX176" s="321"/>
      <c r="AY176" s="321"/>
    </row>
    <row r="177" spans="1:51">
      <c r="A177" s="321"/>
      <c r="B177" s="321"/>
      <c r="C177" s="321"/>
      <c r="D177" s="321"/>
      <c r="E177" s="321"/>
      <c r="F177" s="321"/>
      <c r="G177" s="321"/>
      <c r="H177" s="321"/>
      <c r="I177" s="321"/>
      <c r="J177" s="321"/>
      <c r="K177" s="321"/>
      <c r="L177" s="321"/>
      <c r="M177" s="321"/>
      <c r="N177" s="321"/>
      <c r="O177" s="321"/>
      <c r="P177" s="321"/>
      <c r="Q177" s="321"/>
      <c r="R177" s="321"/>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row>
    <row r="178" spans="1:51">
      <c r="A178" s="321"/>
      <c r="B178" s="321"/>
      <c r="C178" s="321"/>
      <c r="D178" s="321"/>
      <c r="E178" s="321"/>
      <c r="F178" s="321"/>
      <c r="G178" s="321"/>
      <c r="H178" s="321"/>
      <c r="I178" s="321"/>
      <c r="J178" s="321"/>
      <c r="K178" s="321"/>
      <c r="L178" s="321"/>
      <c r="M178" s="321"/>
      <c r="N178" s="321"/>
      <c r="O178" s="321"/>
      <c r="P178" s="321"/>
      <c r="Q178" s="321"/>
      <c r="R178" s="321"/>
      <c r="S178" s="321"/>
      <c r="T178" s="321"/>
      <c r="U178" s="321"/>
      <c r="V178" s="321"/>
      <c r="W178" s="321"/>
      <c r="X178" s="321"/>
      <c r="Y178" s="321"/>
      <c r="Z178" s="321"/>
      <c r="AA178" s="321"/>
      <c r="AB178" s="321"/>
      <c r="AC178" s="321"/>
      <c r="AD178" s="321"/>
      <c r="AE178" s="321"/>
      <c r="AF178" s="321"/>
      <c r="AG178" s="321"/>
      <c r="AH178" s="321"/>
      <c r="AI178" s="321"/>
      <c r="AJ178" s="321"/>
      <c r="AK178" s="321"/>
      <c r="AL178" s="321"/>
      <c r="AM178" s="321"/>
      <c r="AN178" s="321"/>
      <c r="AO178" s="321"/>
      <c r="AP178" s="321"/>
      <c r="AQ178" s="321"/>
      <c r="AR178" s="321"/>
      <c r="AS178" s="321"/>
      <c r="AT178" s="321"/>
      <c r="AU178" s="321"/>
      <c r="AV178" s="321"/>
      <c r="AW178" s="321"/>
      <c r="AX178" s="321"/>
      <c r="AY178" s="321"/>
    </row>
    <row r="179" spans="1:51">
      <c r="A179" s="321"/>
      <c r="B179" s="321"/>
      <c r="C179" s="321"/>
      <c r="D179" s="321"/>
      <c r="E179" s="321"/>
      <c r="F179" s="321"/>
      <c r="G179" s="321"/>
      <c r="H179" s="321"/>
      <c r="I179" s="321"/>
      <c r="J179" s="321"/>
      <c r="K179" s="321"/>
      <c r="L179" s="321"/>
      <c r="M179" s="321"/>
      <c r="N179" s="321"/>
      <c r="O179" s="321"/>
      <c r="P179" s="321"/>
      <c r="Q179" s="321"/>
      <c r="R179" s="321"/>
      <c r="S179" s="321"/>
      <c r="T179" s="321"/>
      <c r="U179" s="321"/>
      <c r="V179" s="321"/>
      <c r="W179" s="321"/>
      <c r="X179" s="321"/>
      <c r="Y179" s="321"/>
      <c r="Z179" s="321"/>
      <c r="AA179" s="321"/>
      <c r="AB179" s="321"/>
      <c r="AC179" s="321"/>
      <c r="AD179" s="321"/>
      <c r="AE179" s="321"/>
      <c r="AF179" s="321"/>
      <c r="AG179" s="321"/>
      <c r="AH179" s="321"/>
      <c r="AI179" s="321"/>
      <c r="AJ179" s="321"/>
      <c r="AK179" s="321"/>
      <c r="AL179" s="321"/>
      <c r="AM179" s="321"/>
      <c r="AN179" s="321"/>
      <c r="AO179" s="321"/>
      <c r="AP179" s="321"/>
      <c r="AQ179" s="321"/>
      <c r="AR179" s="321"/>
      <c r="AS179" s="321"/>
      <c r="AT179" s="321"/>
      <c r="AU179" s="321"/>
      <c r="AV179" s="321"/>
      <c r="AW179" s="321"/>
      <c r="AX179" s="321"/>
      <c r="AY179" s="321"/>
    </row>
    <row r="180" spans="1:51">
      <c r="A180" s="321"/>
      <c r="B180" s="321"/>
      <c r="C180" s="321"/>
      <c r="D180" s="321"/>
      <c r="E180" s="321"/>
      <c r="F180" s="321"/>
      <c r="G180" s="321"/>
      <c r="H180" s="321"/>
      <c r="I180" s="321"/>
      <c r="J180" s="321"/>
      <c r="K180" s="321"/>
      <c r="L180" s="321"/>
      <c r="M180" s="321"/>
      <c r="N180" s="321"/>
      <c r="O180" s="321"/>
      <c r="P180" s="321"/>
      <c r="Q180" s="321"/>
      <c r="R180" s="321"/>
      <c r="S180" s="321"/>
      <c r="T180" s="321"/>
      <c r="U180" s="321"/>
      <c r="V180" s="321"/>
      <c r="W180" s="321"/>
      <c r="X180" s="321"/>
      <c r="Y180" s="321"/>
      <c r="Z180" s="321"/>
      <c r="AA180" s="321"/>
      <c r="AB180" s="321"/>
      <c r="AC180" s="321"/>
      <c r="AD180" s="321"/>
      <c r="AE180" s="321"/>
      <c r="AF180" s="321"/>
      <c r="AG180" s="321"/>
      <c r="AH180" s="321"/>
      <c r="AI180" s="321"/>
      <c r="AJ180" s="321"/>
      <c r="AK180" s="321"/>
      <c r="AL180" s="321"/>
      <c r="AM180" s="321"/>
      <c r="AN180" s="321"/>
      <c r="AO180" s="321"/>
      <c r="AP180" s="321"/>
      <c r="AQ180" s="321"/>
      <c r="AR180" s="321"/>
      <c r="AS180" s="321"/>
      <c r="AT180" s="321"/>
      <c r="AU180" s="321"/>
      <c r="AV180" s="321"/>
      <c r="AW180" s="321"/>
      <c r="AX180" s="321"/>
      <c r="AY180" s="321"/>
    </row>
    <row r="181" spans="1:51">
      <c r="A181" s="321"/>
      <c r="B181" s="321"/>
      <c r="C181" s="321"/>
      <c r="D181" s="321"/>
      <c r="E181" s="321"/>
      <c r="F181" s="321"/>
      <c r="G181" s="321"/>
      <c r="H181" s="321"/>
      <c r="I181" s="321"/>
      <c r="J181" s="321"/>
      <c r="K181" s="321"/>
      <c r="L181" s="321"/>
      <c r="M181" s="321"/>
      <c r="N181" s="321"/>
      <c r="O181" s="321"/>
      <c r="P181" s="321"/>
      <c r="Q181" s="321"/>
      <c r="R181" s="321"/>
      <c r="S181" s="321"/>
      <c r="T181" s="321"/>
      <c r="U181" s="321"/>
      <c r="V181" s="321"/>
      <c r="W181" s="321"/>
      <c r="X181" s="321"/>
      <c r="Y181" s="321"/>
      <c r="Z181" s="321"/>
      <c r="AA181" s="321"/>
      <c r="AB181" s="321"/>
      <c r="AC181" s="321"/>
      <c r="AD181" s="321"/>
      <c r="AE181" s="321"/>
      <c r="AF181" s="321"/>
      <c r="AG181" s="321"/>
      <c r="AH181" s="321"/>
      <c r="AI181" s="321"/>
      <c r="AJ181" s="321"/>
      <c r="AK181" s="321"/>
      <c r="AL181" s="321"/>
      <c r="AM181" s="321"/>
      <c r="AN181" s="321"/>
      <c r="AO181" s="321"/>
      <c r="AP181" s="321"/>
      <c r="AQ181" s="321"/>
      <c r="AR181" s="321"/>
      <c r="AS181" s="321"/>
      <c r="AT181" s="321"/>
      <c r="AU181" s="321"/>
      <c r="AV181" s="321"/>
      <c r="AW181" s="321"/>
      <c r="AX181" s="321"/>
      <c r="AY181" s="321"/>
    </row>
  </sheetData>
  <sheetProtection password="E43A" sheet="1" objects="1" scenarios="1"/>
  <protectedRanges>
    <protectedRange algorithmName="SHA-512" hashValue="GbAChyjhvVM+NYtHqS3IaL8SX+2Yegt8dZdc+L2sHXFtkCjrkQpL5Ut1kHF9B1uBBXFfiPQMfifkpkd6Jb+wvQ==" saltValue="ebkM/969HZgh6oD4+WFBUw==" spinCount="100000" sqref="E22 E32:E37 D18:E20 D9:E16 E25:E30" name="DATOS"/>
  </protectedRanges>
  <autoFilter ref="B8:E22" xr:uid="{00000000-0009-0000-0000-000000000000}">
    <filterColumn colId="0" showButton="0"/>
    <filterColumn colId="1" showButton="0"/>
    <filterColumn colId="2" showButton="0"/>
  </autoFilter>
  <dataConsolidate/>
  <mergeCells count="52">
    <mergeCell ref="H51:H55"/>
    <mergeCell ref="H41:H43"/>
    <mergeCell ref="H12:H16"/>
    <mergeCell ref="H44:H47"/>
    <mergeCell ref="H48:H50"/>
    <mergeCell ref="D31:E31"/>
    <mergeCell ref="D21:E21"/>
    <mergeCell ref="D11:E11"/>
    <mergeCell ref="H29:H40"/>
    <mergeCell ref="B11:C11"/>
    <mergeCell ref="D24:E24"/>
    <mergeCell ref="H17:H25"/>
    <mergeCell ref="B19:C19"/>
    <mergeCell ref="D19:E19"/>
    <mergeCell ref="D20:E20"/>
    <mergeCell ref="B17:C17"/>
    <mergeCell ref="B21:C21"/>
    <mergeCell ref="B20:C20"/>
    <mergeCell ref="D18:E18"/>
    <mergeCell ref="D17:E17"/>
    <mergeCell ref="B12:C12"/>
    <mergeCell ref="O27:Q27"/>
    <mergeCell ref="O4:Q4"/>
    <mergeCell ref="O5:Q5"/>
    <mergeCell ref="B8:E8"/>
    <mergeCell ref="B9:C9"/>
    <mergeCell ref="B10:C10"/>
    <mergeCell ref="D9:E9"/>
    <mergeCell ref="D10:E10"/>
    <mergeCell ref="M10:Q10"/>
    <mergeCell ref="I10:K10"/>
    <mergeCell ref="K7:M7"/>
    <mergeCell ref="Q18:Q19"/>
    <mergeCell ref="M14:Q14"/>
    <mergeCell ref="M18:M19"/>
    <mergeCell ref="N18:N19"/>
    <mergeCell ref="P18:P19"/>
    <mergeCell ref="B13:C13"/>
    <mergeCell ref="D12:E12"/>
    <mergeCell ref="B18:C18"/>
    <mergeCell ref="B14:C14"/>
    <mergeCell ref="B16:C16"/>
    <mergeCell ref="B15:C15"/>
    <mergeCell ref="D13:E13"/>
    <mergeCell ref="D14:E14"/>
    <mergeCell ref="D15:E15"/>
    <mergeCell ref="D16:E16"/>
    <mergeCell ref="H56:H57"/>
    <mergeCell ref="G71:Q74"/>
    <mergeCell ref="G61:H61"/>
    <mergeCell ref="G64:H64"/>
    <mergeCell ref="G66:H66"/>
  </mergeCells>
  <conditionalFormatting sqref="Q15:Q18">
    <cfRule type="colorScale" priority="138">
      <colorScale>
        <cfvo type="min"/>
        <cfvo type="max"/>
        <color rgb="FFFCFCFF"/>
        <color rgb="FF63BE7B"/>
      </colorScale>
    </cfRule>
    <cfRule type="colorScale" priority="140">
      <colorScale>
        <cfvo type="min"/>
        <cfvo type="percentile" val="50"/>
        <cfvo type="max"/>
        <color rgb="FFF8696B"/>
        <color rgb="FFFFEB84"/>
        <color rgb="FF63BE7B"/>
      </colorScale>
    </cfRule>
  </conditionalFormatting>
  <conditionalFormatting sqref="Q15:Q18">
    <cfRule type="colorScale" priority="131">
      <colorScale>
        <cfvo type="min"/>
        <cfvo type="max"/>
        <color rgb="FFFCFCFF"/>
        <color rgb="FF63BE7B"/>
      </colorScale>
    </cfRule>
  </conditionalFormatting>
  <conditionalFormatting sqref="Q15:Q18">
    <cfRule type="colorScale" priority="128">
      <colorScale>
        <cfvo type="min"/>
        <cfvo type="max"/>
        <color rgb="FFFFEF9C"/>
        <color rgb="FF63BE7B"/>
      </colorScale>
    </cfRule>
    <cfRule type="top10" dxfId="1452" priority="129" percent="1" rank="10"/>
    <cfRule type="top10" priority="130" percent="1" rank="50"/>
  </conditionalFormatting>
  <conditionalFormatting sqref="Q15:Q19">
    <cfRule type="colorScale" priority="127">
      <colorScale>
        <cfvo type="min"/>
        <cfvo type="max"/>
        <color rgb="FFFFEF9C"/>
        <color rgb="FF63BE7B"/>
      </colorScale>
    </cfRule>
  </conditionalFormatting>
  <conditionalFormatting sqref="Q20:Q21">
    <cfRule type="expression" dxfId="1451" priority="100">
      <formula>"SI=$J$14:$J$18=&gt;50"</formula>
    </cfRule>
  </conditionalFormatting>
  <conditionalFormatting sqref="Q20:Q21">
    <cfRule type="colorScale" priority="98">
      <colorScale>
        <cfvo type="min"/>
        <cfvo type="max"/>
        <color rgb="FFFCFCFF"/>
        <color rgb="FF63BE7B"/>
      </colorScale>
    </cfRule>
    <cfRule type="colorScale" priority="99">
      <colorScale>
        <cfvo type="min"/>
        <cfvo type="percentile" val="50"/>
        <cfvo type="max"/>
        <color rgb="FFF8696B"/>
        <color rgb="FFFFEB84"/>
        <color rgb="FF63BE7B"/>
      </colorScale>
    </cfRule>
  </conditionalFormatting>
  <conditionalFormatting sqref="Q20:Q21">
    <cfRule type="colorScale" priority="97">
      <colorScale>
        <cfvo type="min"/>
        <cfvo type="max"/>
        <color rgb="FFFCFCFF"/>
        <color rgb="FF63BE7B"/>
      </colorScale>
    </cfRule>
  </conditionalFormatting>
  <conditionalFormatting sqref="Q20:Q21">
    <cfRule type="colorScale" priority="94">
      <colorScale>
        <cfvo type="min"/>
        <cfvo type="max"/>
        <color rgb="FFFFEF9C"/>
        <color rgb="FF63BE7B"/>
      </colorScale>
    </cfRule>
    <cfRule type="top10" dxfId="1450" priority="95" percent="1" rank="10"/>
    <cfRule type="top10" priority="96" percent="1" rank="50"/>
  </conditionalFormatting>
  <conditionalFormatting sqref="Q20:Q21">
    <cfRule type="colorScale" priority="93">
      <colorScale>
        <cfvo type="min"/>
        <cfvo type="max"/>
        <color rgb="FFFFEF9C"/>
        <color rgb="FF63BE7B"/>
      </colorScale>
    </cfRule>
  </conditionalFormatting>
  <conditionalFormatting sqref="Q29:Q33">
    <cfRule type="colorScale" priority="76">
      <colorScale>
        <cfvo type="min"/>
        <cfvo type="max"/>
        <color rgb="FFFFEF9C"/>
        <color rgb="FF63BE7B"/>
      </colorScale>
    </cfRule>
    <cfRule type="top10" dxfId="1449" priority="78" percent="1" rank="10"/>
    <cfRule type="top10" priority="79" percent="1" rank="50"/>
  </conditionalFormatting>
  <conditionalFormatting sqref="Q29:Q33">
    <cfRule type="expression" dxfId="1448" priority="77">
      <formula>"SI=$J$14:$J$18=&gt;50"</formula>
    </cfRule>
  </conditionalFormatting>
  <conditionalFormatting sqref="Q34:Q37">
    <cfRule type="expression" dxfId="1447" priority="75">
      <formula>"SI=$J$14:$J$18=&gt;50"</formula>
    </cfRule>
  </conditionalFormatting>
  <conditionalFormatting sqref="Q34:Q37">
    <cfRule type="colorScale" priority="74">
      <colorScale>
        <cfvo type="min"/>
        <cfvo type="max"/>
        <color rgb="FFFCFCFF"/>
        <color rgb="FF63BE7B"/>
      </colorScale>
    </cfRule>
  </conditionalFormatting>
  <conditionalFormatting sqref="Q34:Q37">
    <cfRule type="colorScale" priority="71">
      <colorScale>
        <cfvo type="min"/>
        <cfvo type="max"/>
        <color rgb="FFFFEF9C"/>
        <color rgb="FF63BE7B"/>
      </colorScale>
    </cfRule>
    <cfRule type="top10" dxfId="1446" priority="72" percent="1" rank="10"/>
    <cfRule type="top10" priority="73" percent="1" rank="50"/>
  </conditionalFormatting>
  <conditionalFormatting sqref="Q38:Q39">
    <cfRule type="expression" dxfId="1445" priority="70">
      <formula>"SI=$J$14:$J$18=&gt;50"</formula>
    </cfRule>
  </conditionalFormatting>
  <conditionalFormatting sqref="Q38:Q39">
    <cfRule type="colorScale" priority="69">
      <colorScale>
        <cfvo type="min"/>
        <cfvo type="max"/>
        <color rgb="FFFCFCFF"/>
        <color rgb="FF63BE7B"/>
      </colorScale>
    </cfRule>
  </conditionalFormatting>
  <conditionalFormatting sqref="Q38:Q39">
    <cfRule type="colorScale" priority="66">
      <colorScale>
        <cfvo type="min"/>
        <cfvo type="max"/>
        <color rgb="FFFFEF9C"/>
        <color rgb="FF63BE7B"/>
      </colorScale>
    </cfRule>
    <cfRule type="top10" dxfId="1444" priority="67" percent="1" rank="10"/>
    <cfRule type="top10" priority="68" percent="1" rank="50"/>
  </conditionalFormatting>
  <conditionalFormatting sqref="Q12:Q13">
    <cfRule type="expression" dxfId="1443" priority="65">
      <formula>"SI=$J$14:$J$18=&gt;50"</formula>
    </cfRule>
  </conditionalFormatting>
  <conditionalFormatting sqref="Q12:Q13">
    <cfRule type="colorScale" priority="63">
      <colorScale>
        <cfvo type="min"/>
        <cfvo type="max"/>
        <color rgb="FFFCFCFF"/>
        <color rgb="FF63BE7B"/>
      </colorScale>
    </cfRule>
    <cfRule type="colorScale" priority="64">
      <colorScale>
        <cfvo type="min"/>
        <cfvo type="percentile" val="50"/>
        <cfvo type="max"/>
        <color rgb="FFF8696B"/>
        <color rgb="FFFFEB84"/>
        <color rgb="FF63BE7B"/>
      </colorScale>
    </cfRule>
  </conditionalFormatting>
  <conditionalFormatting sqref="Q12:Q13">
    <cfRule type="colorScale" priority="62">
      <colorScale>
        <cfvo type="min"/>
        <cfvo type="max"/>
        <color rgb="FFFCFCFF"/>
        <color rgb="FF63BE7B"/>
      </colorScale>
    </cfRule>
  </conditionalFormatting>
  <conditionalFormatting sqref="Q12:Q13">
    <cfRule type="colorScale" priority="59">
      <colorScale>
        <cfvo type="min"/>
        <cfvo type="max"/>
        <color rgb="FFFFEF9C"/>
        <color rgb="FF63BE7B"/>
      </colorScale>
    </cfRule>
    <cfRule type="top10" dxfId="1442" priority="60" percent="1" rank="10"/>
    <cfRule type="top10" priority="61" percent="1" rank="50"/>
  </conditionalFormatting>
  <conditionalFormatting sqref="Q12:Q13">
    <cfRule type="colorScale" priority="58">
      <colorScale>
        <cfvo type="min"/>
        <cfvo type="max"/>
        <color rgb="FFFFEF9C"/>
        <color rgb="FF63BE7B"/>
      </colorScale>
    </cfRule>
  </conditionalFormatting>
  <conditionalFormatting sqref="Q22">
    <cfRule type="expression" dxfId="1441" priority="42">
      <formula>"SI=$J$14:$J$18=&gt;50"</formula>
    </cfRule>
  </conditionalFormatting>
  <conditionalFormatting sqref="Q22">
    <cfRule type="colorScale" priority="40">
      <colorScale>
        <cfvo type="min"/>
        <cfvo type="max"/>
        <color rgb="FFFCFCFF"/>
        <color rgb="FF63BE7B"/>
      </colorScale>
    </cfRule>
    <cfRule type="colorScale" priority="41">
      <colorScale>
        <cfvo type="min"/>
        <cfvo type="percentile" val="50"/>
        <cfvo type="max"/>
        <color rgb="FFF8696B"/>
        <color rgb="FFFFEB84"/>
        <color rgb="FF63BE7B"/>
      </colorScale>
    </cfRule>
  </conditionalFormatting>
  <conditionalFormatting sqref="Q22">
    <cfRule type="colorScale" priority="39">
      <colorScale>
        <cfvo type="min"/>
        <cfvo type="max"/>
        <color rgb="FFFCFCFF"/>
        <color rgb="FF63BE7B"/>
      </colorScale>
    </cfRule>
  </conditionalFormatting>
  <conditionalFormatting sqref="Q22">
    <cfRule type="colorScale" priority="36">
      <colorScale>
        <cfvo type="min"/>
        <cfvo type="max"/>
        <color rgb="FFFFEF9C"/>
        <color rgb="FF63BE7B"/>
      </colorScale>
    </cfRule>
    <cfRule type="top10" dxfId="1440" priority="37" percent="1" rank="10"/>
    <cfRule type="top10" priority="38" percent="1" rank="50"/>
  </conditionalFormatting>
  <conditionalFormatting sqref="Q22">
    <cfRule type="colorScale" priority="35">
      <colorScale>
        <cfvo type="min"/>
        <cfvo type="max"/>
        <color rgb="FFFFEF9C"/>
        <color rgb="FF63BE7B"/>
      </colorScale>
    </cfRule>
  </conditionalFormatting>
  <conditionalFormatting sqref="K44:K55 K12:K42">
    <cfRule type="colorScale" priority="23182">
      <colorScale>
        <cfvo type="min"/>
        <cfvo type="max"/>
        <color rgb="FFFFEF9C"/>
        <color rgb="FF63BE7B"/>
      </colorScale>
    </cfRule>
    <cfRule type="colorScale" priority="23183">
      <colorScale>
        <cfvo type="min"/>
        <cfvo type="percentile" val="50"/>
        <cfvo type="max"/>
        <color rgb="FFF8696B"/>
        <color rgb="FFFCFCFF"/>
        <color rgb="FF63BE7B"/>
      </colorScale>
    </cfRule>
  </conditionalFormatting>
  <conditionalFormatting sqref="K43">
    <cfRule type="colorScale" priority="13">
      <colorScale>
        <cfvo type="min"/>
        <cfvo type="max"/>
        <color rgb="FFFFEF9C"/>
        <color rgb="FF63BE7B"/>
      </colorScale>
    </cfRule>
    <cfRule type="colorScale" priority="14">
      <colorScale>
        <cfvo type="min"/>
        <cfvo type="percentile" val="50"/>
        <cfvo type="max"/>
        <color rgb="FFF8696B"/>
        <color rgb="FFFCFCFF"/>
        <color rgb="FF63BE7B"/>
      </colorScale>
    </cfRule>
  </conditionalFormatting>
  <conditionalFormatting sqref="K56:K57">
    <cfRule type="colorScale" priority="3">
      <colorScale>
        <cfvo type="min"/>
        <cfvo type="max"/>
        <color rgb="FFFFEF9C"/>
        <color rgb="FF63BE7B"/>
      </colorScale>
    </cfRule>
    <cfRule type="colorScale" priority="4">
      <colorScale>
        <cfvo type="min"/>
        <cfvo type="percentile" val="50"/>
        <cfvo type="max"/>
        <color rgb="FFF8696B"/>
        <color rgb="FFFCFCFF"/>
        <color rgb="FF63BE7B"/>
      </colorScale>
    </cfRule>
  </conditionalFormatting>
  <conditionalFormatting sqref="Q23">
    <cfRule type="colorScale" priority="1">
      <colorScale>
        <cfvo type="min"/>
        <cfvo type="max"/>
        <color rgb="FFFFEF9C"/>
        <color rgb="FF63BE7B"/>
      </colorScale>
    </cfRule>
    <cfRule type="colorScale" priority="2">
      <colorScale>
        <cfvo type="min"/>
        <cfvo type="percentile" val="50"/>
        <cfvo type="max"/>
        <color rgb="FFF8696B"/>
        <color rgb="FFFCFCFF"/>
        <color rgb="FF63BE7B"/>
      </colorScale>
    </cfRule>
  </conditionalFormatting>
  <dataValidations count="15">
    <dataValidation type="list" allowBlank="1" showInputMessage="1" showErrorMessage="1" sqref="O18" xr:uid="{00000000-0002-0000-0000-000000000000}">
      <formula1>"E1,E2,E3,E4,E5,E6,E7,E8,E9,E10,E11,E12,E13,E14,E15"</formula1>
    </dataValidation>
    <dataValidation type="list" allowBlank="1" showInputMessage="1" showErrorMessage="1" sqref="O19" xr:uid="{00000000-0002-0000-0000-000001000000}">
      <formula1>"P0,P1,P2,P3,P4,P5,P6,P7,P8"</formula1>
    </dataValidation>
    <dataValidation type="list" allowBlank="1" showInputMessage="1" showErrorMessage="1" sqref="D18" xr:uid="{00000000-0002-0000-0000-000002000000}">
      <formula1>"2.0TD,3.0TD,6.1TD"</formula1>
    </dataValidation>
    <dataValidation type="list" allowBlank="1" showInputMessage="1" showErrorMessage="1" sqref="D19" xr:uid="{00000000-0002-0000-0000-000003000000}">
      <formula1>"INDEXADO,PRECIO FIJO"</formula1>
    </dataValidation>
    <dataValidation type="list" allowBlank="1" showInputMessage="1" showErrorMessage="1" sqref="D20" xr:uid="{00000000-0002-0000-0000-000004000000}">
      <formula1>"ENERO,FEBRERO,MARZO,ABRIL,MAYO,JUNIO,JULIO,AGOSTO,SEPTIEMBRE,OCTUBRE,NOVIEMBRE,DICIEMBRE"</formula1>
    </dataValidation>
    <dataValidation type="list" allowBlank="1" showInputMessage="1" showErrorMessage="1" sqref="O15 O12" xr:uid="{00000000-0002-0000-0000-000005000000}">
      <formula1>$I$12:$I$16</formula1>
    </dataValidation>
    <dataValidation type="list" allowBlank="1" showInputMessage="1" showErrorMessage="1" sqref="O16" xr:uid="{00000000-0002-0000-0000-000006000000}">
      <formula1>$I$17:$I$28</formula1>
    </dataValidation>
    <dataValidation type="list" allowBlank="1" showInputMessage="1" showErrorMessage="1" sqref="O21" xr:uid="{00000000-0002-0000-0000-000007000000}">
      <formula1>$I$41:$I$43</formula1>
    </dataValidation>
    <dataValidation type="list" allowBlank="1" showInputMessage="1" showErrorMessage="1" sqref="O17" xr:uid="{00000000-0002-0000-0000-000008000000}">
      <formula1>$I$29:$I$40</formula1>
    </dataValidation>
    <dataValidation type="list" allowBlank="1" showInputMessage="1" showErrorMessage="1" sqref="O20" xr:uid="{00000000-0002-0000-0000-000009000000}">
      <formula1>$I$44:$I$47</formula1>
    </dataValidation>
    <dataValidation type="list" allowBlank="1" showInputMessage="1" showErrorMessage="1" sqref="O22" xr:uid="{00000000-0002-0000-0000-00000A000000}">
      <formula1>$I$51:$I$55</formula1>
    </dataValidation>
    <dataValidation type="list" allowBlank="1" showInputMessage="1" showErrorMessage="1" sqref="N47" xr:uid="{00000000-0002-0000-0000-00000B000000}">
      <formula1>"3,4,5,6"</formula1>
    </dataValidation>
    <dataValidation type="list" allowBlank="1" showInputMessage="1" showErrorMessage="1" sqref="O13" xr:uid="{00000000-0002-0000-0000-00000C000000}">
      <formula1>$O$34:$O$39</formula1>
    </dataValidation>
    <dataValidation type="list" allowBlank="1" showInputMessage="1" showErrorMessage="1" sqref="O23" xr:uid="{00000000-0002-0000-0000-00000D000000}">
      <formula1>$I$56:$I$57</formula1>
    </dataValidation>
    <dataValidation type="list" allowBlank="1" showInputMessage="1" showErrorMessage="1" sqref="D21:E21" xr:uid="{00000000-0002-0000-0000-00000E000000}">
      <formula1>"21 %,10 %,5 %"</formula1>
    </dataValidation>
  </dataValidations>
  <pageMargins left="0.70866141732283472" right="0.70866141732283472"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4" tint="0.59999389629810485"/>
  </sheetPr>
  <dimension ref="A1:M363"/>
  <sheetViews>
    <sheetView showGridLines="0" showZeros="0" tabSelected="1" topLeftCell="A41" zoomScaleNormal="100" workbookViewId="0">
      <selection activeCell="L94" sqref="L94"/>
    </sheetView>
  </sheetViews>
  <sheetFormatPr defaultColWidth="11.42578125" defaultRowHeight="14.45"/>
  <cols>
    <col min="1" max="1" width="4.7109375" style="143" customWidth="1"/>
    <col min="2" max="2" width="22.28515625" style="142" customWidth="1"/>
    <col min="3" max="3" width="20.140625" style="142" customWidth="1"/>
    <col min="4" max="4" width="9.7109375" style="142" bestFit="1" customWidth="1"/>
    <col min="5" max="11" width="10.28515625" style="142" customWidth="1"/>
    <col min="12" max="16384" width="11.42578125" style="142"/>
  </cols>
  <sheetData>
    <row r="1" spans="1:13" s="143" customFormat="1" ht="13.5" customHeight="1">
      <c r="A1" s="134"/>
      <c r="B1" s="134"/>
      <c r="C1" s="134"/>
      <c r="D1" s="134"/>
      <c r="E1" s="134"/>
      <c r="F1" s="134"/>
      <c r="G1" s="134"/>
      <c r="H1" s="134"/>
      <c r="I1" s="134"/>
      <c r="J1" s="134"/>
      <c r="K1" s="134"/>
      <c r="L1" s="142"/>
    </row>
    <row r="2" spans="1:13" ht="13.5" customHeight="1">
      <c r="A2" s="134"/>
      <c r="B2" s="134"/>
      <c r="C2" s="134"/>
      <c r="D2" s="134"/>
      <c r="E2" s="134"/>
      <c r="F2" s="134"/>
      <c r="G2" s="134"/>
      <c r="H2" s="134"/>
      <c r="I2" s="134"/>
      <c r="J2" s="134"/>
      <c r="K2" s="134"/>
    </row>
    <row r="3" spans="1:13" ht="13.5" customHeight="1">
      <c r="A3" s="134"/>
      <c r="B3" s="134"/>
      <c r="C3" s="134"/>
      <c r="D3" s="134"/>
      <c r="E3" s="134"/>
      <c r="F3" s="134"/>
      <c r="G3" s="134"/>
      <c r="H3" s="134"/>
      <c r="I3" s="134"/>
      <c r="J3" s="134"/>
      <c r="K3" s="134"/>
    </row>
    <row r="4" spans="1:13" ht="13.5" customHeight="1">
      <c r="A4" s="134"/>
      <c r="B4" s="134"/>
      <c r="C4" s="134"/>
      <c r="D4" s="134"/>
      <c r="E4" s="134"/>
      <c r="F4" s="134"/>
      <c r="G4" s="134"/>
      <c r="H4" s="134"/>
      <c r="I4" s="134"/>
      <c r="J4" s="134"/>
      <c r="K4" s="134"/>
    </row>
    <row r="5" spans="1:13" ht="13.5" customHeight="1">
      <c r="A5" s="134"/>
      <c r="B5" s="134"/>
      <c r="C5" s="134"/>
      <c r="D5" s="134"/>
      <c r="E5" s="134"/>
      <c r="F5" s="134"/>
      <c r="G5" s="134"/>
      <c r="H5" s="134"/>
      <c r="I5" s="134"/>
      <c r="J5" s="134"/>
      <c r="K5" s="134"/>
    </row>
    <row r="6" spans="1:13" ht="13.5" customHeight="1">
      <c r="A6" s="134"/>
      <c r="B6" s="134"/>
      <c r="C6" s="134"/>
      <c r="D6" s="134"/>
      <c r="E6" s="134"/>
      <c r="F6" s="134"/>
      <c r="G6" s="134"/>
      <c r="H6" s="134"/>
      <c r="I6" s="134"/>
      <c r="J6" s="134"/>
      <c r="K6" s="134"/>
    </row>
    <row r="7" spans="1:13" ht="13.5" customHeight="1">
      <c r="A7" s="134"/>
      <c r="B7" s="134"/>
      <c r="C7" s="134"/>
      <c r="D7" s="134"/>
      <c r="E7" s="134"/>
      <c r="F7" s="134"/>
      <c r="G7" s="134"/>
      <c r="H7" s="134"/>
      <c r="I7" s="134"/>
      <c r="J7" s="134"/>
      <c r="K7" s="134"/>
    </row>
    <row r="8" spans="1:13" ht="13.5" customHeight="1">
      <c r="A8" s="134"/>
      <c r="B8" s="134"/>
      <c r="C8" s="134"/>
      <c r="D8" s="134"/>
      <c r="E8" s="134"/>
      <c r="F8" s="134"/>
      <c r="G8" s="134"/>
      <c r="H8" s="134"/>
      <c r="I8" s="134"/>
      <c r="J8" s="134"/>
      <c r="K8" s="134"/>
    </row>
    <row r="9" spans="1:13" ht="13.5" customHeight="1">
      <c r="A9" s="134"/>
      <c r="B9" s="134"/>
      <c r="C9" s="134"/>
      <c r="D9" s="134"/>
      <c r="E9" s="134"/>
      <c r="F9" s="134"/>
      <c r="G9" s="134"/>
      <c r="H9" s="134"/>
      <c r="I9" s="134"/>
      <c r="J9" s="134"/>
      <c r="K9" s="134"/>
    </row>
    <row r="10" spans="1:13" ht="13.5" customHeight="1">
      <c r="A10" s="134"/>
      <c r="B10" s="134"/>
      <c r="C10" s="134"/>
      <c r="D10" s="134"/>
      <c r="E10" s="134"/>
      <c r="F10" s="134"/>
      <c r="G10" s="134"/>
      <c r="H10" s="134"/>
      <c r="I10" s="134"/>
      <c r="J10" s="134"/>
      <c r="K10" s="134"/>
      <c r="M10"/>
    </row>
    <row r="11" spans="1:13" ht="13.5" customHeight="1">
      <c r="A11" s="134"/>
      <c r="B11" s="134"/>
      <c r="C11" s="134"/>
      <c r="D11" s="134"/>
      <c r="E11" s="134"/>
      <c r="F11" s="134"/>
      <c r="G11" s="134"/>
      <c r="H11" s="134"/>
      <c r="I11" s="134"/>
      <c r="J11" s="134"/>
      <c r="K11" s="134"/>
    </row>
    <row r="12" spans="1:13" ht="13.5" customHeight="1">
      <c r="A12" s="134"/>
      <c r="B12" s="134"/>
      <c r="C12" s="134"/>
      <c r="D12" s="134"/>
      <c r="E12" s="134"/>
      <c r="F12" s="134"/>
      <c r="G12" s="134"/>
      <c r="H12" s="134"/>
      <c r="I12" s="134"/>
      <c r="J12" s="134"/>
      <c r="K12" s="134"/>
    </row>
    <row r="13" spans="1:13" ht="13.5" customHeight="1">
      <c r="A13" s="134"/>
      <c r="B13" s="134"/>
      <c r="C13" s="134"/>
      <c r="D13" s="134"/>
      <c r="E13" s="134"/>
      <c r="F13" s="134"/>
      <c r="G13" s="134"/>
      <c r="H13" s="134"/>
      <c r="I13" s="134"/>
      <c r="J13" s="134"/>
      <c r="K13" s="134"/>
    </row>
    <row r="14" spans="1:13" ht="13.5" customHeight="1">
      <c r="A14" s="135"/>
      <c r="B14" s="135"/>
      <c r="C14" s="135"/>
      <c r="D14" s="135"/>
      <c r="E14" s="135"/>
      <c r="F14" s="135"/>
      <c r="G14" s="135"/>
      <c r="H14" s="135"/>
      <c r="I14" s="135"/>
      <c r="J14" s="135"/>
      <c r="K14" s="135"/>
    </row>
    <row r="15" spans="1:13" ht="13.5" customHeight="1">
      <c r="A15" s="135"/>
      <c r="B15" s="135"/>
      <c r="C15" s="135"/>
      <c r="D15" s="135"/>
      <c r="E15" s="135"/>
      <c r="F15" s="135"/>
      <c r="G15" s="135"/>
      <c r="H15" s="135"/>
      <c r="I15" s="135"/>
      <c r="J15" s="135"/>
      <c r="K15" s="135"/>
    </row>
    <row r="16" spans="1:13" ht="13.5" customHeight="1">
      <c r="A16" s="563" t="s">
        <v>105</v>
      </c>
      <c r="B16" s="563"/>
      <c r="C16" s="563"/>
      <c r="D16" s="563"/>
      <c r="E16" s="563"/>
      <c r="F16" s="563"/>
      <c r="G16" s="563"/>
      <c r="H16" s="563"/>
      <c r="I16" s="563"/>
      <c r="J16" s="563"/>
      <c r="K16" s="563"/>
    </row>
    <row r="17" spans="1:12" ht="13.5" customHeight="1">
      <c r="A17" s="563"/>
      <c r="B17" s="563"/>
      <c r="C17" s="563"/>
      <c r="D17" s="563"/>
      <c r="E17" s="563"/>
      <c r="F17" s="563"/>
      <c r="G17" s="563"/>
      <c r="H17" s="563"/>
      <c r="I17" s="563"/>
      <c r="J17" s="563"/>
      <c r="K17" s="563"/>
    </row>
    <row r="18" spans="1:12" ht="13.5" customHeight="1">
      <c r="A18" s="135"/>
      <c r="B18" s="135"/>
      <c r="C18" s="135"/>
      <c r="D18" s="135"/>
      <c r="E18" s="135"/>
      <c r="F18" s="135"/>
      <c r="G18" s="135"/>
      <c r="H18" s="135"/>
      <c r="I18" s="135"/>
      <c r="J18" s="135"/>
      <c r="K18"/>
    </row>
    <row r="19" spans="1:12" ht="13.5" customHeight="1">
      <c r="A19" s="224"/>
      <c r="B19" s="133"/>
      <c r="C19" s="133"/>
      <c r="D19" s="133"/>
      <c r="E19" s="133"/>
      <c r="F19" s="133"/>
      <c r="G19" s="133"/>
      <c r="H19" s="133"/>
      <c r="I19" s="133"/>
      <c r="J19" s="133"/>
      <c r="K19" s="133"/>
    </row>
    <row r="20" spans="1:12" ht="13.5" customHeight="1">
      <c r="A20" s="224"/>
      <c r="B20" s="133"/>
      <c r="C20" s="133"/>
      <c r="D20" s="133"/>
      <c r="E20" s="133"/>
      <c r="F20" s="133"/>
      <c r="G20" s="133"/>
      <c r="H20" s="133"/>
      <c r="I20" s="133"/>
      <c r="J20" s="133"/>
      <c r="K20" s="133"/>
    </row>
    <row r="21" spans="1:12" ht="15.95" customHeight="1">
      <c r="A21" s="565"/>
      <c r="B21" s="565"/>
      <c r="C21" s="565"/>
      <c r="D21" s="565"/>
      <c r="E21" s="565"/>
      <c r="F21" s="649"/>
      <c r="G21" s="565"/>
      <c r="H21" s="565"/>
      <c r="I21" s="565"/>
      <c r="J21" s="565"/>
      <c r="K21" s="565"/>
    </row>
    <row r="22" spans="1:12" ht="15.95" customHeight="1">
      <c r="A22" s="135"/>
      <c r="B22" s="135"/>
      <c r="C22" s="135"/>
      <c r="D22" s="135"/>
      <c r="E22" s="136" t="str">
        <f>'INTRODUCIR DATOS'!D9</f>
        <v>GEMA GARCIA ESCUDERO</v>
      </c>
      <c r="F22" s="135"/>
      <c r="G22" s="135"/>
      <c r="H22" s="135"/>
      <c r="I22" s="135"/>
      <c r="J22" s="135"/>
      <c r="K22" s="135"/>
    </row>
    <row r="23" spans="1:12" ht="15.95" customHeight="1">
      <c r="A23" s="137"/>
      <c r="B23" s="137"/>
      <c r="C23" s="137"/>
      <c r="D23" s="137"/>
      <c r="E23" s="138" t="str">
        <f>'INTRODUCIR DATOS'!D10</f>
        <v>C/LOS HUERTOS</v>
      </c>
      <c r="F23" s="137"/>
      <c r="G23" s="137"/>
      <c r="H23" s="137"/>
      <c r="I23" s="137"/>
      <c r="J23" s="137"/>
      <c r="K23" s="137"/>
    </row>
    <row r="24" spans="1:12" ht="15.95" customHeight="1">
      <c r="A24" s="137"/>
      <c r="B24" s="137"/>
      <c r="C24" s="137"/>
      <c r="D24" s="137"/>
      <c r="E24" s="138" t="str">
        <f>'INTRODUCIR DATOS'!D11</f>
        <v>ENCINILLAS</v>
      </c>
      <c r="F24" s="137"/>
      <c r="G24" s="137"/>
      <c r="H24" s="137"/>
      <c r="I24" s="137"/>
      <c r="J24" s="137"/>
      <c r="K24" s="137"/>
    </row>
    <row r="25" spans="1:12" ht="15.95" customHeight="1">
      <c r="A25" s="139"/>
      <c r="B25" s="139"/>
      <c r="C25" s="139"/>
      <c r="D25" s="139"/>
      <c r="E25" s="138" t="str">
        <f>'INTRODUCIR DATOS'!D12</f>
        <v>ES0022000005229900QD</v>
      </c>
      <c r="F25" s="139"/>
      <c r="G25" s="139"/>
      <c r="H25" s="139"/>
      <c r="I25" s="139"/>
      <c r="J25" s="139"/>
      <c r="K25" s="139"/>
    </row>
    <row r="26" spans="1:12" ht="15.95" customHeight="1">
      <c r="A26" s="135"/>
      <c r="B26" s="135"/>
      <c r="C26" s="135"/>
      <c r="D26" s="140"/>
      <c r="E26" s="141"/>
      <c r="F26" s="141"/>
      <c r="G26" s="141"/>
      <c r="H26" s="140"/>
      <c r="I26" s="135"/>
      <c r="J26" s="135"/>
      <c r="K26" s="135"/>
    </row>
    <row r="27" spans="1:12" ht="13.5" customHeight="1">
      <c r="A27" s="135"/>
      <c r="B27" s="135"/>
      <c r="C27" s="135"/>
      <c r="D27" s="140"/>
      <c r="E27" s="141"/>
      <c r="F27" s="141"/>
      <c r="G27" s="141"/>
      <c r="H27" s="140"/>
      <c r="I27" s="135"/>
      <c r="J27" s="135"/>
      <c r="K27" s="135"/>
    </row>
    <row r="28" spans="1:12" ht="13.5" customHeight="1">
      <c r="A28" s="567" t="s">
        <v>106</v>
      </c>
      <c r="B28" s="568"/>
      <c r="C28" s="568"/>
      <c r="D28" s="82"/>
      <c r="E28"/>
      <c r="F28"/>
      <c r="G28"/>
      <c r="H28"/>
      <c r="I28"/>
      <c r="J28"/>
      <c r="K28"/>
      <c r="L28"/>
    </row>
    <row r="29" spans="1:12" ht="13.5" customHeight="1">
      <c r="A29"/>
      <c r="B29"/>
      <c r="C29"/>
      <c r="D29"/>
      <c r="E29"/>
      <c r="F29"/>
      <c r="G29"/>
      <c r="H29"/>
      <c r="I29"/>
      <c r="J29"/>
      <c r="K29"/>
      <c r="L29"/>
    </row>
    <row r="30" spans="1:12" ht="13.5" customHeight="1">
      <c r="A30"/>
      <c r="B30"/>
      <c r="C30"/>
      <c r="D30"/>
      <c r="E30"/>
      <c r="F30"/>
      <c r="G30"/>
      <c r="H30"/>
      <c r="I30"/>
      <c r="J30"/>
      <c r="K30"/>
      <c r="L30"/>
    </row>
    <row r="31" spans="1:12" ht="13.5" customHeight="1">
      <c r="A31"/>
      <c r="B31"/>
      <c r="C31"/>
      <c r="D31"/>
      <c r="E31"/>
      <c r="F31"/>
      <c r="G31"/>
      <c r="H31"/>
      <c r="I31"/>
      <c r="J31"/>
      <c r="K31"/>
      <c r="L31"/>
    </row>
    <row r="32" spans="1:12" ht="13.5" customHeight="1">
      <c r="A32"/>
      <c r="B32"/>
      <c r="C32"/>
      <c r="D32"/>
      <c r="E32"/>
      <c r="F32"/>
      <c r="G32"/>
      <c r="H32"/>
      <c r="I32"/>
      <c r="J32"/>
      <c r="K32"/>
      <c r="L32"/>
    </row>
    <row r="33" spans="1:12" ht="13.5" customHeight="1">
      <c r="A33"/>
      <c r="B33"/>
      <c r="C33"/>
      <c r="D33"/>
      <c r="E33"/>
      <c r="F33"/>
      <c r="G33"/>
      <c r="H33"/>
      <c r="I33"/>
      <c r="J33"/>
      <c r="K33"/>
      <c r="L33"/>
    </row>
    <row r="34" spans="1:12" ht="13.5" customHeight="1">
      <c r="A34"/>
      <c r="B34"/>
      <c r="C34"/>
      <c r="D34"/>
      <c r="E34"/>
      <c r="F34"/>
      <c r="G34"/>
      <c r="H34"/>
      <c r="I34"/>
      <c r="J34"/>
      <c r="K34"/>
      <c r="L34"/>
    </row>
    <row r="35" spans="1:12" ht="13.5" customHeight="1">
      <c r="A35" s="556" t="s">
        <v>107</v>
      </c>
      <c r="B35" s="556"/>
      <c r="C35" s="556"/>
      <c r="D35" s="556"/>
      <c r="E35" s="556"/>
      <c r="F35" s="556"/>
      <c r="G35" s="556"/>
      <c r="H35" s="556"/>
      <c r="I35" s="556"/>
      <c r="J35" s="556"/>
      <c r="K35" s="556"/>
    </row>
    <row r="36" spans="1:12" ht="13.5" customHeight="1">
      <c r="A36" s="557" t="s">
        <v>108</v>
      </c>
      <c r="B36" s="558"/>
      <c r="C36" s="558"/>
      <c r="D36" s="558"/>
      <c r="E36" s="558"/>
      <c r="F36" s="558"/>
      <c r="G36" s="558"/>
      <c r="H36" s="558"/>
      <c r="I36" s="558"/>
      <c r="J36" s="558"/>
      <c r="K36" s="558"/>
      <c r="L36"/>
    </row>
    <row r="37" spans="1:12" ht="13.5" customHeight="1">
      <c r="A37" s="142"/>
    </row>
    <row r="38" spans="1:12" ht="13.5" customHeight="1">
      <c r="B38" s="143"/>
      <c r="C38" s="143"/>
      <c r="D38" s="143"/>
      <c r="E38" s="143"/>
      <c r="F38" s="143"/>
      <c r="G38" s="143"/>
      <c r="H38" s="143"/>
      <c r="I38" s="143"/>
      <c r="J38" s="143"/>
      <c r="K38" s="143"/>
    </row>
    <row r="39" spans="1:12" ht="13.5" customHeight="1">
      <c r="B39" s="15"/>
      <c r="C39" s="15"/>
      <c r="D39" s="15"/>
      <c r="E39" s="15"/>
      <c r="F39" s="559" t="s">
        <v>109</v>
      </c>
      <c r="G39" s="559"/>
      <c r="H39" s="560" t="str">
        <f>'INTRODUCIR DATOS'!$D$9</f>
        <v>GEMA GARCIA ESCUDERO</v>
      </c>
      <c r="I39" s="560"/>
      <c r="J39" s="560"/>
      <c r="K39" s="560"/>
    </row>
    <row r="40" spans="1:12" ht="13.5" customHeight="1">
      <c r="B40" s="143"/>
      <c r="C40" s="15"/>
      <c r="D40" s="15"/>
      <c r="E40" s="15"/>
      <c r="F40" s="559" t="s">
        <v>110</v>
      </c>
      <c r="G40" s="559"/>
      <c r="H40" s="560" t="str">
        <f>'INTRODUCIR DATOS'!$D$10</f>
        <v>C/LOS HUERTOS</v>
      </c>
      <c r="I40" s="560"/>
      <c r="J40" s="560"/>
      <c r="K40" s="560"/>
    </row>
    <row r="41" spans="1:12" ht="13.5" customHeight="1">
      <c r="B41" s="143"/>
      <c r="C41" s="15"/>
      <c r="D41" s="15"/>
      <c r="E41" s="15"/>
      <c r="F41" s="559" t="s">
        <v>111</v>
      </c>
      <c r="G41" s="559"/>
      <c r="H41" s="560" t="str">
        <f>'INTRODUCIR DATOS'!$D$11</f>
        <v>ENCINILLAS</v>
      </c>
      <c r="I41" s="560"/>
      <c r="J41" s="560"/>
      <c r="K41" s="560"/>
    </row>
    <row r="42" spans="1:12" ht="13.5" customHeight="1">
      <c r="B42" s="15"/>
      <c r="C42" s="15"/>
      <c r="D42" s="15"/>
      <c r="E42" s="15"/>
      <c r="F42" s="559" t="s">
        <v>112</v>
      </c>
      <c r="G42" s="559"/>
      <c r="H42" s="558" t="str">
        <f>'INTRODUCIR DATOS'!D18</f>
        <v>2.0TD</v>
      </c>
      <c r="I42" s="558"/>
      <c r="J42" s="558"/>
      <c r="K42" s="558"/>
    </row>
    <row r="43" spans="1:12" ht="13.5" customHeight="1">
      <c r="B43" s="15"/>
      <c r="C43" s="15"/>
      <c r="D43" s="15"/>
      <c r="E43" s="15"/>
      <c r="F43" s="559" t="s">
        <v>113</v>
      </c>
      <c r="G43" s="559"/>
      <c r="H43" s="561">
        <f>'INTRODUCIR DATOS'!D13</f>
        <v>32</v>
      </c>
      <c r="I43" s="561"/>
      <c r="J43" s="561"/>
      <c r="K43" s="561"/>
    </row>
    <row r="44" spans="1:12" ht="13.5" customHeight="1">
      <c r="B44" s="15"/>
      <c r="C44" s="15"/>
      <c r="D44" s="15"/>
      <c r="E44" s="15"/>
      <c r="F44" s="15"/>
      <c r="G44" s="15"/>
      <c r="H44" s="15"/>
      <c r="I44" s="15"/>
      <c r="J44" s="15"/>
      <c r="K44" s="15"/>
    </row>
    <row r="45" spans="1:12" ht="13.5" customHeight="1">
      <c r="B45" s="15"/>
      <c r="C45" s="15"/>
      <c r="D45" s="15"/>
      <c r="E45" s="15"/>
      <c r="F45" s="15"/>
      <c r="G45" s="15"/>
      <c r="H45" s="15"/>
      <c r="I45" s="15"/>
      <c r="J45" s="15"/>
      <c r="K45" s="15"/>
    </row>
    <row r="46" spans="1:12" ht="13.5" customHeight="1">
      <c r="B46" s="83" t="s">
        <v>114</v>
      </c>
      <c r="C46" s="83" t="str">
        <f>'INTRODUCIR DATOS'!O15</f>
        <v>T1</v>
      </c>
      <c r="D46" s="2"/>
      <c r="E46" s="2"/>
      <c r="F46" s="2"/>
      <c r="G46" s="2"/>
      <c r="H46" s="2"/>
      <c r="I46" s="2"/>
      <c r="J46" s="2"/>
      <c r="K46" s="16"/>
    </row>
    <row r="47" spans="1:12" ht="13.5" customHeight="1">
      <c r="B47" s="84"/>
      <c r="C47" s="84"/>
      <c r="D47" s="3" t="s">
        <v>115</v>
      </c>
      <c r="E47" s="3" t="s">
        <v>116</v>
      </c>
      <c r="F47" s="3" t="s">
        <v>60</v>
      </c>
      <c r="G47" s="3" t="s">
        <v>62</v>
      </c>
      <c r="H47" s="3" t="s">
        <v>63</v>
      </c>
      <c r="I47" s="3" t="s">
        <v>65</v>
      </c>
      <c r="J47" s="3"/>
      <c r="K47" s="143"/>
    </row>
    <row r="48" spans="1:12" ht="13.5" customHeight="1">
      <c r="B48" s="84"/>
      <c r="C48" s="4" t="s">
        <v>117</v>
      </c>
      <c r="D48" s="14">
        <f>IF(AND('RESULTADO PRECIO FIJO'!$C$2="AUDAX",$H$42='RESULTADO PRECIO FIJO'!$E$2,$C$46='RESULTADO PRECIO FIJO'!$D$2,'INTRODUCIR DATOS'!$E$25&lt;=10),'RESULTADO PRECIO FIJO'!G2,IF(AND('RESULTADO PRECIO FIJO'!$C$4="AUDAX",$H$42='RESULTADO PRECIO FIJO'!$E$4,$C$46='RESULTADO PRECIO FIJO'!$D$4,'INTRODUCIR DATOS'!$E$25&gt;10,'INTRODUCIR DATOS'!$E$25&lt;=15),'RESULTADO PRECIO FIJO'!G4,IF(AND('RESULTADO PRECIO FIJO'!$C$6="AUDAX",$H$42='RESULTADO PRECIO FIJO'!$E$6,$C$46='RESULTADO PRECIO FIJO'!$D$6,'INTRODUCIR DATOS'!$E$25&lt;=10),'RESULTADO PRECIO FIJO'!G6,IF(AND('RESULTADO PRECIO FIJO'!$C$8="AUDAX",$H$42='RESULTADO PRECIO FIJO'!$E$8,$C$46='RESULTADO PRECIO FIJO'!$D$8,'INTRODUCIR DATOS'!$E$25&gt;10,'INTRODUCIR DATOS'!$E$25&lt;=15),'RESULTADO PRECIO FIJO'!G8,IF(AND('RESULTADO PRECIO FIJO'!$C$10="AUDAX",$H$42='RESULTADO PRECIO FIJO'!$E$10,$C$46='RESULTADO PRECIO FIJO'!$D$10,'INTRODUCIR DATOS'!$E$25&lt;=10),'RESULTADO PRECIO FIJO'!G10,IF(AND('RESULTADO PRECIO FIJO'!$C$12="AUDAX",$H$42='RESULTADO PRECIO FIJO'!$E$12,$C$46='RESULTADO PRECIO FIJO'!$D$12,'INTRODUCIR DATOS'!$E$25&gt;10,'INTRODUCIR DATOS'!$E$25&lt;=15),'RESULTADO PRECIO FIJO'!G12,IF(AND('RESULTADO PRECIO FIJO'!$C$14="AUDAX",$H$42='RESULTADO PRECIO FIJO'!$E$14,$C$46='RESULTADO PRECIO FIJO'!$D$14,'INTRODUCIR DATOS'!$E$25&lt;=10),'RESULTADO PRECIO FIJO'!G14,IF(AND('RESULTADO PRECIO FIJO'!$C$16="AUDAX",$H$42='RESULTADO PRECIO FIJO'!$E$16,$C$46='RESULTADO PRECIO FIJO'!$D$16,'INTRODUCIR DATOS'!$E$25&gt;10,'INTRODUCIR DATOS'!$E$25&lt;=15),'RESULTADO PRECIO FIJO'!G16,IF(AND('RESULTADO PRECIO FIJO'!$C$18="AUDAX",$H$42='RESULTADO PRECIO FIJO'!$E$18,$C$46='RESULTADO PRECIO FIJO'!$D$18,'INTRODUCIR DATOS'!$E$25&lt;=10),'RESULTADO PRECIO FIJO'!G18,IF(AND('RESULTADO PRECIO FIJO'!$C$20="AUDAX",$H$42='RESULTADO PRECIO FIJO'!$E$20,$C$46='RESULTADO PRECIO FIJO'!$D$20,'INTRODUCIR DATOS'!$E$25&gt;10,'INTRODUCIR DATOS'!$E$25&lt;=15),'RESULTADO PRECIO FIJO'!G20,IF(AND('RESULTADO PRECIO FIJO'!$C$22="AUDAX",$H$42='RESULTADO PRECIO FIJO'!$E$22,$C$46='RESULTADO PRECIO FIJO'!$D$22),'RESULTADO PRECIO FIJO'!G22,IF(AND('RESULTADO PRECIO FIJO'!$C$24="AUDAX",$H$42='RESULTADO PRECIO FIJO'!$E$24,$C$46='RESULTADO PRECIO FIJO'!$D$24),'RESULTADO PRECIO FIJO'!G24,IF(AND('RESULTADO PRECIO FIJO'!$C$26="AUDAX",$H$42='RESULTADO PRECIO FIJO'!$E$26,$C$46='RESULTADO PRECIO FIJO'!$D$26),'RESULTADO PRECIO FIJO'!G26,IF(AND('RESULTADO PRECIO FIJO'!$C$28="AUDAX",$H$42='RESULTADO PRECIO FIJO'!$E$28,$C$46='RESULTADO PRECIO FIJO'!$D$28),'RESULTADO PRECIO FIJO'!G28,IF(AND('RESULTADO PRECIO FIJO'!$C$30="AUDAX",$H$42='RESULTADO PRECIO FIJO'!$E$30,$C$46='RESULTADO PRECIO FIJO'!$D$30),'RESULTADO PRECIO FIJO'!G30,IF(AND('RESULTADO PRECIO FIJO'!$C$32="AUDAX",$H$42='RESULTADO PRECIO FIJO'!$E$32,$C$46='RESULTADO PRECIO FIJO'!$D$32),'RESULTADO PRECIO FIJO'!G32,IF(AND('RESULTADO PRECIO FIJO'!$C$34="AUDAX",$H$42='RESULTADO PRECIO FIJO'!$E$34,$C$46='RESULTADO PRECIO FIJO'!$D$34),'RESULTADO PRECIO FIJO'!G34,IF(AND('RESULTADO PRECIO FIJO'!$C$36="AUDAX",$H$42='RESULTADO PRECIO FIJO'!$E$36,$C$46='RESULTADO PRECIO FIJO'!$D$36),'RESULTADO PRECIO FIJO'!G36,IF(AND('RESULTADO PRECIO FIJO'!$C$38="AUDAX",$H$42='RESULTADO PRECIO FIJO'!$E$38,$C$46='RESULTADO PRECIO FIJO'!$D$38),'RESULTADO PRECIO FIJO'!G38,IF(AND('RESULTADO PRECIO FIJO'!#REF!="AUDAX",$H$42='RESULTADO PRECIO FIJO'!#REF!,$C$46='RESULTADO PRECIO FIJO'!#REF!),'RESULTADO PRECIO FIJO'!#REF!))))))))))))))))))))</f>
        <v>9.6747747945205478E-2</v>
      </c>
      <c r="E48" s="14">
        <f>IF(AND('RESULTADO PRECIO FIJO'!$C$2="AUDAX",$H$42='RESULTADO PRECIO FIJO'!$E$2,$C$46='RESULTADO PRECIO FIJO'!$D$2,'INTRODUCIR DATOS'!$E$25&lt;=10),'RESULTADO PRECIO FIJO'!H2,IF(AND('RESULTADO PRECIO FIJO'!$C$4="AUDAX",$H$42='RESULTADO PRECIO FIJO'!$E$4,$C$46='RESULTADO PRECIO FIJO'!$D$4,'INTRODUCIR DATOS'!$E$25&gt;10,'INTRODUCIR DATOS'!$E$25&lt;=15),'RESULTADO PRECIO FIJO'!H4,IF(AND('RESULTADO PRECIO FIJO'!$C$6="AUDAX",$H$42='RESULTADO PRECIO FIJO'!$E$6,$C$46='RESULTADO PRECIO FIJO'!$D$6,'INTRODUCIR DATOS'!$E$25&lt;=10),'RESULTADO PRECIO FIJO'!H6,IF(AND('RESULTADO PRECIO FIJO'!$C$8="AUDAX",$H$42='RESULTADO PRECIO FIJO'!$E$8,$C$46='RESULTADO PRECIO FIJO'!$D$8,'INTRODUCIR DATOS'!$E$25&gt;10,'INTRODUCIR DATOS'!$E$25&lt;=15),'RESULTADO PRECIO FIJO'!H8,IF(AND('RESULTADO PRECIO FIJO'!$C$10="AUDAX",$H$42='RESULTADO PRECIO FIJO'!$E$10,$C$46='RESULTADO PRECIO FIJO'!$D$10,'INTRODUCIR DATOS'!$E$25&lt;=10),'RESULTADO PRECIO FIJO'!H10,IF(AND('RESULTADO PRECIO FIJO'!$C$12="AUDAX",$H$42='RESULTADO PRECIO FIJO'!$E$12,$C$46='RESULTADO PRECIO FIJO'!$D$12,'INTRODUCIR DATOS'!$E$25&gt;10,'INTRODUCIR DATOS'!$E$25&lt;=15),'RESULTADO PRECIO FIJO'!H12,IF(AND('RESULTADO PRECIO FIJO'!$C$14="AUDAX",$H$42='RESULTADO PRECIO FIJO'!$E$14,$C$46='RESULTADO PRECIO FIJO'!$D$14,'INTRODUCIR DATOS'!$E$25&lt;=10),'RESULTADO PRECIO FIJO'!H14,IF(AND('RESULTADO PRECIO FIJO'!$C$16="AUDAX",$H$42='RESULTADO PRECIO FIJO'!$E$16,$C$46='RESULTADO PRECIO FIJO'!$D$16,'INTRODUCIR DATOS'!$E$25&gt;10,'INTRODUCIR DATOS'!$E$25&lt;=15),'RESULTADO PRECIO FIJO'!H16,IF(AND('RESULTADO PRECIO FIJO'!$C$18="AUDAX",$H$42='RESULTADO PRECIO FIJO'!$E$18,$C$46='RESULTADO PRECIO FIJO'!$D$18,'INTRODUCIR DATOS'!$E$25&lt;=10),'RESULTADO PRECIO FIJO'!H18,IF(AND('RESULTADO PRECIO FIJO'!$C$20="AUDAX",$H$42='RESULTADO PRECIO FIJO'!$E$20,$C$46='RESULTADO PRECIO FIJO'!$D$20,'INTRODUCIR DATOS'!$E$25&gt;10,'INTRODUCIR DATOS'!$E$25&lt;=15),'RESULTADO PRECIO FIJO'!H20,IF(AND('RESULTADO PRECIO FIJO'!$C$22="AUDAX",$H$42='RESULTADO PRECIO FIJO'!$E$22,$C$46='RESULTADO PRECIO FIJO'!$D$22),'RESULTADO PRECIO FIJO'!H22,IF(AND('RESULTADO PRECIO FIJO'!$C$24="AUDAX",$H$42='RESULTADO PRECIO FIJO'!$E$24,$C$46='RESULTADO PRECIO FIJO'!$D$24),'RESULTADO PRECIO FIJO'!H24,IF(AND('RESULTADO PRECIO FIJO'!$C$26="AUDAX",$H$42='RESULTADO PRECIO FIJO'!$E$26,$C$46='RESULTADO PRECIO FIJO'!$D$26),'RESULTADO PRECIO FIJO'!H26,IF(AND('RESULTADO PRECIO FIJO'!$C$28="AUDAX",$H$42='RESULTADO PRECIO FIJO'!$E$28,$C$46='RESULTADO PRECIO FIJO'!$D$28),'RESULTADO PRECIO FIJO'!H28,IF(AND('RESULTADO PRECIO FIJO'!$C$30="AUDAX",$H$42='RESULTADO PRECIO FIJO'!$E$30,$C$46='RESULTADO PRECIO FIJO'!$D$30),'RESULTADO PRECIO FIJO'!H30,IF(AND('RESULTADO PRECIO FIJO'!$C$32="AUDAX",$H$42='RESULTADO PRECIO FIJO'!$E$32,$C$46='RESULTADO PRECIO FIJO'!$D$32),'RESULTADO PRECIO FIJO'!H32,IF(AND('RESULTADO PRECIO FIJO'!$C$34="AUDAX",$H$42='RESULTADO PRECIO FIJO'!$E$34,$C$46='RESULTADO PRECIO FIJO'!$D$34),'RESULTADO PRECIO FIJO'!H34,IF(AND('RESULTADO PRECIO FIJO'!$C$36="AUDAX",$H$42='RESULTADO PRECIO FIJO'!$E$36,$C$46='RESULTADO PRECIO FIJO'!$D$36),'RESULTADO PRECIO FIJO'!H36,IF(AND('RESULTADO PRECIO FIJO'!$C$38="AUDAX",$H$42='RESULTADO PRECIO FIJO'!$E$38,$C$46='RESULTADO PRECIO FIJO'!$D$38),'RESULTADO PRECIO FIJO'!H38,IF(AND('RESULTADO PRECIO FIJO'!#REF!="AUDAX",$H$42='RESULTADO PRECIO FIJO'!#REF!,$C$46='RESULTADO PRECIO FIJO'!#REF!),'RESULTADO PRECIO FIJO'!#REF!))))))))))))))))))))</f>
        <v>2.4409893150684932E-2</v>
      </c>
      <c r="F48" s="14">
        <f>IF(AND('RESULTADO PRECIO FIJO'!$C$2="AUDAX",$H$42='RESULTADO PRECIO FIJO'!$E$2,$C$46='RESULTADO PRECIO FIJO'!$D$2,'INTRODUCIR DATOS'!$E$25&lt;=10),'RESULTADO PRECIO FIJO'!I2,IF(AND('RESULTADO PRECIO FIJO'!$C$4="AUDAX",$H$42='RESULTADO PRECIO FIJO'!$E$4,$C$46='RESULTADO PRECIO FIJO'!$D$4,'INTRODUCIR DATOS'!$E$25&gt;10,'INTRODUCIR DATOS'!$E$25&lt;=15),'RESULTADO PRECIO FIJO'!I4,IF(AND('RESULTADO PRECIO FIJO'!$C$6="AUDAX",$H$42='RESULTADO PRECIO FIJO'!$E$6,$C$46='RESULTADO PRECIO FIJO'!$D$6,'INTRODUCIR DATOS'!$E$25&lt;=10),'RESULTADO PRECIO FIJO'!I6,IF(AND('RESULTADO PRECIO FIJO'!$C$8="AUDAX",$H$42='RESULTADO PRECIO FIJO'!$E$8,$C$46='RESULTADO PRECIO FIJO'!$D$8,'INTRODUCIR DATOS'!$E$25&gt;10,'INTRODUCIR DATOS'!$E$25&lt;=15),'RESULTADO PRECIO FIJO'!I8,IF(AND('RESULTADO PRECIO FIJO'!$C$10="AUDAX",$H$42='RESULTADO PRECIO FIJO'!$E$10,$C$46='RESULTADO PRECIO FIJO'!$D$10,'INTRODUCIR DATOS'!$E$25&lt;=10),'RESULTADO PRECIO FIJO'!I10,IF(AND('RESULTADO PRECIO FIJO'!$C$12="AUDAX",$H$42='RESULTADO PRECIO FIJO'!$E$12,$C$46='RESULTADO PRECIO FIJO'!$D$12,'INTRODUCIR DATOS'!$E$25&gt;10,'INTRODUCIR DATOS'!$E$25&lt;=15),'RESULTADO PRECIO FIJO'!I12,IF(AND('RESULTADO PRECIO FIJO'!$C$14="AUDAX",$H$42='RESULTADO PRECIO FIJO'!$E$14,$C$46='RESULTADO PRECIO FIJO'!$D$14,'INTRODUCIR DATOS'!$E$25&lt;=10),'RESULTADO PRECIO FIJO'!I14,IF(AND('RESULTADO PRECIO FIJO'!$C$16="AUDAX",$H$42='RESULTADO PRECIO FIJO'!$E$16,$C$46='RESULTADO PRECIO FIJO'!$D$16,'INTRODUCIR DATOS'!$E$25&gt;10,'INTRODUCIR DATOS'!$E$25&lt;=15),'RESULTADO PRECIO FIJO'!I16,IF(AND('RESULTADO PRECIO FIJO'!$C$18="AUDAX",$H$42='RESULTADO PRECIO FIJO'!$E$18,$C$46='RESULTADO PRECIO FIJO'!$D$18,'INTRODUCIR DATOS'!$E$25&lt;=10),'RESULTADO PRECIO FIJO'!I18,IF(AND('RESULTADO PRECIO FIJO'!$C$20="AUDAX",$H$42='RESULTADO PRECIO FIJO'!$E$20,$C$46='RESULTADO PRECIO FIJO'!$D$20,'INTRODUCIR DATOS'!$E$25&gt;10,'INTRODUCIR DATOS'!$E$25&lt;=15),'RESULTADO PRECIO FIJO'!I20,IF(AND('RESULTADO PRECIO FIJO'!$C$22="AUDAX",$H$42='RESULTADO PRECIO FIJO'!$E$22,$C$46='RESULTADO PRECIO FIJO'!$D$22),'RESULTADO PRECIO FIJO'!I22,IF(AND('RESULTADO PRECIO FIJO'!$C$24="AUDAX",$H$42='RESULTADO PRECIO FIJO'!$E$24,$C$46='RESULTADO PRECIO FIJO'!$D$24),'RESULTADO PRECIO FIJO'!I24,IF(AND('RESULTADO PRECIO FIJO'!$C$26="AUDAX",$H$42='RESULTADO PRECIO FIJO'!$E$26,$C$46='RESULTADO PRECIO FIJO'!$D$26),'RESULTADO PRECIO FIJO'!I26,IF(AND('RESULTADO PRECIO FIJO'!$C$28="AUDAX",$H$42='RESULTADO PRECIO FIJO'!$E$28,$C$46='RESULTADO PRECIO FIJO'!$D$28),'RESULTADO PRECIO FIJO'!I28,IF(AND('RESULTADO PRECIO FIJO'!$C$30="AUDAX",$H$42='RESULTADO PRECIO FIJO'!$E$30,$C$46='RESULTADO PRECIO FIJO'!$D$30),'RESULTADO PRECIO FIJO'!I30,IF(AND('RESULTADO PRECIO FIJO'!$C$32="AUDAX",$H$42='RESULTADO PRECIO FIJO'!$E$32,$C$46='RESULTADO PRECIO FIJO'!$D$32),'RESULTADO PRECIO FIJO'!I32,IF(AND('RESULTADO PRECIO FIJO'!$C$34="AUDAX",$H$42='RESULTADO PRECIO FIJO'!$E$34,$C$46='RESULTADO PRECIO FIJO'!$D$34),'RESULTADO PRECIO FIJO'!I34,IF(AND('RESULTADO PRECIO FIJO'!$C$36="AUDAX",$H$42='RESULTADO PRECIO FIJO'!$E$36,$C$46='RESULTADO PRECIO FIJO'!$D$36),'RESULTADO PRECIO FIJO'!I36,IF(AND('RESULTADO PRECIO FIJO'!$C$38="AUDAX",$H$42='RESULTADO PRECIO FIJO'!$E$38,$C$46='RESULTADO PRECIO FIJO'!$D$38),'RESULTADO PRECIO FIJO'!I38,IF(AND('RESULTADO PRECIO FIJO'!#REF!="AUDAX",$H$42='RESULTADO PRECIO FIJO'!#REF!,$C$46='RESULTADO PRECIO FIJO'!#REF!),'RESULTADO PRECIO FIJO'!#REF!))))))))))))))))))))</f>
        <v>0</v>
      </c>
      <c r="G48" s="14">
        <f>IF(AND('RESULTADO PRECIO FIJO'!$C$2="AUDAX",$H$42='RESULTADO PRECIO FIJO'!$E$2,$C$46='RESULTADO PRECIO FIJO'!$D$2,'INTRODUCIR DATOS'!$E$25&lt;=10),'RESULTADO PRECIO FIJO'!J2,IF(AND('RESULTADO PRECIO FIJO'!$C$4="AUDAX",$H$42='RESULTADO PRECIO FIJO'!$E$4,$C$46='RESULTADO PRECIO FIJO'!$D$4,'INTRODUCIR DATOS'!$E$25&gt;10,'INTRODUCIR DATOS'!$E$25&lt;=15),'RESULTADO PRECIO FIJO'!J4,IF(AND('RESULTADO PRECIO FIJO'!$C$6="AUDAX",$H$42='RESULTADO PRECIO FIJO'!$E$6,$C$46='RESULTADO PRECIO FIJO'!$D$6,'INTRODUCIR DATOS'!$E$25&lt;=10),'RESULTADO PRECIO FIJO'!J6,IF(AND('RESULTADO PRECIO FIJO'!$C$8="AUDAX",$H$42='RESULTADO PRECIO FIJO'!$E$8,$C$46='RESULTADO PRECIO FIJO'!$D$8,'INTRODUCIR DATOS'!$E$25&gt;10,'INTRODUCIR DATOS'!$E$25&lt;=15),'RESULTADO PRECIO FIJO'!J8,IF(AND('RESULTADO PRECIO FIJO'!$C$10="AUDAX",$H$42='RESULTADO PRECIO FIJO'!$E$10,$C$46='RESULTADO PRECIO FIJO'!$D$10,'INTRODUCIR DATOS'!$E$25&lt;=10),'RESULTADO PRECIO FIJO'!J10,IF(AND('RESULTADO PRECIO FIJO'!$C$12="AUDAX",$H$42='RESULTADO PRECIO FIJO'!$E$12,$C$46='RESULTADO PRECIO FIJO'!$D$12,'INTRODUCIR DATOS'!$E$25&gt;10,'INTRODUCIR DATOS'!$E$25&lt;=15),'RESULTADO PRECIO FIJO'!J12,IF(AND('RESULTADO PRECIO FIJO'!$C$14="AUDAX",$H$42='RESULTADO PRECIO FIJO'!$E$14,$C$46='RESULTADO PRECIO FIJO'!$D$14,'INTRODUCIR DATOS'!$E$25&lt;=10),'RESULTADO PRECIO FIJO'!J14,IF(AND('RESULTADO PRECIO FIJO'!$C$16="AUDAX",$H$42='RESULTADO PRECIO FIJO'!$E$16,$C$46='RESULTADO PRECIO FIJO'!$D$16,'INTRODUCIR DATOS'!$E$25&gt;10,'INTRODUCIR DATOS'!$E$25&lt;=15),'RESULTADO PRECIO FIJO'!J16,IF(AND('RESULTADO PRECIO FIJO'!$C$18="AUDAX",$H$42='RESULTADO PRECIO FIJO'!$E$18,$C$46='RESULTADO PRECIO FIJO'!$D$18,'INTRODUCIR DATOS'!$E$25&lt;=10),'RESULTADO PRECIO FIJO'!J18,IF(AND('RESULTADO PRECIO FIJO'!$C$20="AUDAX",$H$42='RESULTADO PRECIO FIJO'!$E$20,$C$46='RESULTADO PRECIO FIJO'!$D$20,'INTRODUCIR DATOS'!$E$25&gt;10,'INTRODUCIR DATOS'!$E$25&lt;=15),'RESULTADO PRECIO FIJO'!J20,IF(AND('RESULTADO PRECIO FIJO'!$C$22="AUDAX",$H$42='RESULTADO PRECIO FIJO'!$E$22,$C$46='RESULTADO PRECIO FIJO'!$D$22),'RESULTADO PRECIO FIJO'!J22,IF(AND('RESULTADO PRECIO FIJO'!$C$24="AUDAX",$H$42='RESULTADO PRECIO FIJO'!$E$24,$C$46='RESULTADO PRECIO FIJO'!$D$24),'RESULTADO PRECIO FIJO'!J24,IF(AND('RESULTADO PRECIO FIJO'!$C$26="AUDAX",$H$42='RESULTADO PRECIO FIJO'!$E$26,$C$46='RESULTADO PRECIO FIJO'!$D$26),'RESULTADO PRECIO FIJO'!J26,IF(AND('RESULTADO PRECIO FIJO'!$C$28="AUDAX",$H$42='RESULTADO PRECIO FIJO'!$E$28,$C$46='RESULTADO PRECIO FIJO'!$D$28),'RESULTADO PRECIO FIJO'!J28,IF(AND('RESULTADO PRECIO FIJO'!$C$30="AUDAX",$H$42='RESULTADO PRECIO FIJO'!$E$30,$C$46='RESULTADO PRECIO FIJO'!$D$30),'RESULTADO PRECIO FIJO'!J30,IF(AND('RESULTADO PRECIO FIJO'!$C$32="AUDAX",$H$42='RESULTADO PRECIO FIJO'!$E$32,$C$46='RESULTADO PRECIO FIJO'!$D$32),'RESULTADO PRECIO FIJO'!J32,IF(AND('RESULTADO PRECIO FIJO'!$C$34="AUDAX",$H$42='RESULTADO PRECIO FIJO'!$E$34,$C$46='RESULTADO PRECIO FIJO'!$D$34),'RESULTADO PRECIO FIJO'!J34,IF(AND('RESULTADO PRECIO FIJO'!$C$36="AUDAX",$H$42='RESULTADO PRECIO FIJO'!$E$36,$C$46='RESULTADO PRECIO FIJO'!$D$36),'RESULTADO PRECIO FIJO'!J36,IF(AND('RESULTADO PRECIO FIJO'!$C$38="AUDAX",$H$42='RESULTADO PRECIO FIJO'!$E$38,$C$46='RESULTADO PRECIO FIJO'!$D$38),'RESULTADO PRECIO FIJO'!J38,IF(AND('RESULTADO PRECIO FIJO'!#REF!="AUDAX",$H$42='RESULTADO PRECIO FIJO'!#REF!,$C$46='RESULTADO PRECIO FIJO'!#REF!),'RESULTADO PRECIO FIJO'!#REF!))))))))))))))))))))</f>
        <v>0</v>
      </c>
      <c r="H48" s="14">
        <f>IF(AND('RESULTADO PRECIO FIJO'!$C$2="AUDAX",$H$42='RESULTADO PRECIO FIJO'!$E$2,$C$46='RESULTADO PRECIO FIJO'!$D$2,'INTRODUCIR DATOS'!$E$25&lt;=10),'RESULTADO PRECIO FIJO'!K2,IF(AND('RESULTADO PRECIO FIJO'!$C$4="AUDAX",$H$42='RESULTADO PRECIO FIJO'!$E$4,$C$46='RESULTADO PRECIO FIJO'!$D$4,'INTRODUCIR DATOS'!$E$25&gt;10,'INTRODUCIR DATOS'!$E$25&lt;=15),'RESULTADO PRECIO FIJO'!K4,IF(AND('RESULTADO PRECIO FIJO'!$C$6="AUDAX",$H$42='RESULTADO PRECIO FIJO'!$E$6,$C$46='RESULTADO PRECIO FIJO'!$D$6,'INTRODUCIR DATOS'!$E$25&lt;=10),'RESULTADO PRECIO FIJO'!K6,IF(AND('RESULTADO PRECIO FIJO'!$C$8="AUDAX",$H$42='RESULTADO PRECIO FIJO'!$E$8,$C$46='RESULTADO PRECIO FIJO'!$D$8,'INTRODUCIR DATOS'!$E$25&gt;10,'INTRODUCIR DATOS'!$E$25&lt;=15),'RESULTADO PRECIO FIJO'!K8,IF(AND('RESULTADO PRECIO FIJO'!$C$10="AUDAX",$H$42='RESULTADO PRECIO FIJO'!$E$10,$C$46='RESULTADO PRECIO FIJO'!$D$10,'INTRODUCIR DATOS'!$E$25&lt;=10),'RESULTADO PRECIO FIJO'!K10,IF(AND('RESULTADO PRECIO FIJO'!$C$12="AUDAX",$H$42='RESULTADO PRECIO FIJO'!$E$12,$C$46='RESULTADO PRECIO FIJO'!$D$12,'INTRODUCIR DATOS'!$E$25&gt;10,'INTRODUCIR DATOS'!$E$25&lt;=15),'RESULTADO PRECIO FIJO'!K12,IF(AND('RESULTADO PRECIO FIJO'!$C$14="AUDAX",$H$42='RESULTADO PRECIO FIJO'!$E$14,$C$46='RESULTADO PRECIO FIJO'!$D$14,'INTRODUCIR DATOS'!$E$25&lt;=10),'RESULTADO PRECIO FIJO'!K14,IF(AND('RESULTADO PRECIO FIJO'!$C$16="AUDAX",$H$42='RESULTADO PRECIO FIJO'!$E$16,$C$46='RESULTADO PRECIO FIJO'!$D$16,'INTRODUCIR DATOS'!$E$25&gt;10,'INTRODUCIR DATOS'!$E$25&lt;=15),'RESULTADO PRECIO FIJO'!K16,IF(AND('RESULTADO PRECIO FIJO'!$C$18="AUDAX",$H$42='RESULTADO PRECIO FIJO'!$E$18,$C$46='RESULTADO PRECIO FIJO'!$D$18,'INTRODUCIR DATOS'!$E$25&lt;=10),'RESULTADO PRECIO FIJO'!K18,IF(AND('RESULTADO PRECIO FIJO'!$C$20="AUDAX",$H$42='RESULTADO PRECIO FIJO'!$E$20,$C$46='RESULTADO PRECIO FIJO'!$D$20,'INTRODUCIR DATOS'!$E$25&gt;10,'INTRODUCIR DATOS'!$E$25&lt;=15),'RESULTADO PRECIO FIJO'!K20,IF(AND('RESULTADO PRECIO FIJO'!$C$22="AUDAX",$H$42='RESULTADO PRECIO FIJO'!$E$22,$C$46='RESULTADO PRECIO FIJO'!$D$22),'RESULTADO PRECIO FIJO'!K22,IF(AND('RESULTADO PRECIO FIJO'!$C$24="AUDAX",$H$42='RESULTADO PRECIO FIJO'!$E$24,$C$46='RESULTADO PRECIO FIJO'!$D$24),'RESULTADO PRECIO FIJO'!K24,IF(AND('RESULTADO PRECIO FIJO'!$C$26="AUDAX",$H$42='RESULTADO PRECIO FIJO'!$E$26,$C$46='RESULTADO PRECIO FIJO'!$D$26),'RESULTADO PRECIO FIJO'!K26,IF(AND('RESULTADO PRECIO FIJO'!$C$28="AUDAX",$H$42='RESULTADO PRECIO FIJO'!$E$28,$C$46='RESULTADO PRECIO FIJO'!$D$28),'RESULTADO PRECIO FIJO'!K28,IF(AND('RESULTADO PRECIO FIJO'!$C$30="AUDAX",$H$42='RESULTADO PRECIO FIJO'!$E$30,$C$46='RESULTADO PRECIO FIJO'!$D$30),'RESULTADO PRECIO FIJO'!K30,IF(AND('RESULTADO PRECIO FIJO'!$C$32="AUDAX",$H$42='RESULTADO PRECIO FIJO'!$E$32,$C$46='RESULTADO PRECIO FIJO'!$D$32),'RESULTADO PRECIO FIJO'!K32,IF(AND('RESULTADO PRECIO FIJO'!$C$34="AUDAX",$H$42='RESULTADO PRECIO FIJO'!$E$34,$C$46='RESULTADO PRECIO FIJO'!$D$34),'RESULTADO PRECIO FIJO'!K34,IF(AND('RESULTADO PRECIO FIJO'!$C$36="AUDAX",$H$42='RESULTADO PRECIO FIJO'!$E$36,$C$46='RESULTADO PRECIO FIJO'!$D$36),'RESULTADO PRECIO FIJO'!K36,IF(AND('RESULTADO PRECIO FIJO'!$C$38="AUDAX",$H$42='RESULTADO PRECIO FIJO'!$E$38,$C$46='RESULTADO PRECIO FIJO'!$D$38),'RESULTADO PRECIO FIJO'!K38,IF(AND('RESULTADO PRECIO FIJO'!#REF!="AUDAX",$H$42='RESULTADO PRECIO FIJO'!#REF!,$C$46='RESULTADO PRECIO FIJO'!#REF!),'RESULTADO PRECIO FIJO'!#REF!))))))))))))))))))))</f>
        <v>0</v>
      </c>
      <c r="I48" s="14">
        <f>IF(AND('RESULTADO PRECIO FIJO'!$C$2="AUDAX",$H$42='RESULTADO PRECIO FIJO'!$E$2,$C$46='RESULTADO PRECIO FIJO'!$D$2,'INTRODUCIR DATOS'!$E$25&lt;=10),'RESULTADO PRECIO FIJO'!L2,IF(AND('RESULTADO PRECIO FIJO'!$C$4="AUDAX",$H$42='RESULTADO PRECIO FIJO'!$E$4,$C$46='RESULTADO PRECIO FIJO'!$D$4,'INTRODUCIR DATOS'!$E$25&gt;10,'INTRODUCIR DATOS'!$E$25&lt;=15),'RESULTADO PRECIO FIJO'!L4,IF(AND('RESULTADO PRECIO FIJO'!$C$6="AUDAX",$H$42='RESULTADO PRECIO FIJO'!$E$6,$C$46='RESULTADO PRECIO FIJO'!$D$6,'INTRODUCIR DATOS'!$E$25&lt;=10),'RESULTADO PRECIO FIJO'!L6,IF(AND('RESULTADO PRECIO FIJO'!$C$8="AUDAX",$H$42='RESULTADO PRECIO FIJO'!$E$8,$C$46='RESULTADO PRECIO FIJO'!$D$8,'INTRODUCIR DATOS'!$E$25&gt;10,'INTRODUCIR DATOS'!$E$25&lt;=15),'RESULTADO PRECIO FIJO'!L8,IF(AND('RESULTADO PRECIO FIJO'!$C$10="AUDAX",$H$42='RESULTADO PRECIO FIJO'!$E$10,$C$46='RESULTADO PRECIO FIJO'!$D$10,'INTRODUCIR DATOS'!$E$25&lt;=10),'RESULTADO PRECIO FIJO'!L10,IF(AND('RESULTADO PRECIO FIJO'!$C$12="AUDAX",$H$42='RESULTADO PRECIO FIJO'!$E$12,$C$46='RESULTADO PRECIO FIJO'!$D$12,'INTRODUCIR DATOS'!$E$25&gt;10,'INTRODUCIR DATOS'!$E$25&lt;=15),'RESULTADO PRECIO FIJO'!L12,IF(AND('RESULTADO PRECIO FIJO'!$C$14="AUDAX",$H$42='RESULTADO PRECIO FIJO'!$E$14,$C$46='RESULTADO PRECIO FIJO'!$D$14,'INTRODUCIR DATOS'!$E$25&lt;=10),'RESULTADO PRECIO FIJO'!L14,IF(AND('RESULTADO PRECIO FIJO'!$C$16="AUDAX",$H$42='RESULTADO PRECIO FIJO'!$E$16,$C$46='RESULTADO PRECIO FIJO'!$D$16,'INTRODUCIR DATOS'!$E$25&gt;10,'INTRODUCIR DATOS'!$E$25&lt;=15),'RESULTADO PRECIO FIJO'!L16,IF(AND('RESULTADO PRECIO FIJO'!$C$18="AUDAX",$H$42='RESULTADO PRECIO FIJO'!$E$18,$C$46='RESULTADO PRECIO FIJO'!$D$18,'INTRODUCIR DATOS'!$E$25&lt;=10),'RESULTADO PRECIO FIJO'!L18,IF(AND('RESULTADO PRECIO FIJO'!$C$20="AUDAX",$H$42='RESULTADO PRECIO FIJO'!$E$20,$C$46='RESULTADO PRECIO FIJO'!$D$20,'INTRODUCIR DATOS'!$E$25&gt;10,'INTRODUCIR DATOS'!$E$25&lt;=15),'RESULTADO PRECIO FIJO'!L20,IF(AND('RESULTADO PRECIO FIJO'!$C$22="AUDAX",$H$42='RESULTADO PRECIO FIJO'!$E$22,$C$46='RESULTADO PRECIO FIJO'!$D$22),'RESULTADO PRECIO FIJO'!L22,IF(AND('RESULTADO PRECIO FIJO'!$C$24="AUDAX",$H$42='RESULTADO PRECIO FIJO'!$E$24,$C$46='RESULTADO PRECIO FIJO'!$D$24),'RESULTADO PRECIO FIJO'!L24,IF(AND('RESULTADO PRECIO FIJO'!$C$26="AUDAX",$H$42='RESULTADO PRECIO FIJO'!$E$26,$C$46='RESULTADO PRECIO FIJO'!$D$26),'RESULTADO PRECIO FIJO'!L26,IF(AND('RESULTADO PRECIO FIJO'!$C$28="AUDAX",$H$42='RESULTADO PRECIO FIJO'!$E$28,$C$46='RESULTADO PRECIO FIJO'!$D$28),'RESULTADO PRECIO FIJO'!L28,IF(AND('RESULTADO PRECIO FIJO'!$C$30="AUDAX",$H$42='RESULTADO PRECIO FIJO'!$E$30,$C$46='RESULTADO PRECIO FIJO'!$D$30),'RESULTADO PRECIO FIJO'!L30,IF(AND('RESULTADO PRECIO FIJO'!$C$32="AUDAX",$H$42='RESULTADO PRECIO FIJO'!$E$32,$C$46='RESULTADO PRECIO FIJO'!$D$32),'RESULTADO PRECIO FIJO'!L32,IF(AND('RESULTADO PRECIO FIJO'!$C$34="AUDAX",$H$42='RESULTADO PRECIO FIJO'!$E$34,$C$46='RESULTADO PRECIO FIJO'!$D$34),'RESULTADO PRECIO FIJO'!L34,IF(AND('RESULTADO PRECIO FIJO'!$C$36="AUDAX",$H$42='RESULTADO PRECIO FIJO'!$E$36,$C$46='RESULTADO PRECIO FIJO'!$D$36),'RESULTADO PRECIO FIJO'!L36,IF(AND('RESULTADO PRECIO FIJO'!$C$38="AUDAX",$H$42='RESULTADO PRECIO FIJO'!$E$38,$C$46='RESULTADO PRECIO FIJO'!$D$38),'RESULTADO PRECIO FIJO'!L38,IF(AND('RESULTADO PRECIO FIJO'!#REF!="AUDAX",$H$42='RESULTADO PRECIO FIJO'!#REF!,$C$46='RESULTADO PRECIO FIJO'!#REF!),'RESULTADO PRECIO FIJO'!#REF!))))))))))))))))))))</f>
        <v>0</v>
      </c>
      <c r="K48" s="143"/>
    </row>
    <row r="49" spans="2:11" ht="13.5" customHeight="1">
      <c r="B49" s="84"/>
      <c r="C49" s="4" t="s">
        <v>118</v>
      </c>
      <c r="D49" s="14">
        <f>IF(AND('RESULTADO PRECIO FIJO'!$C$2="AUDAX",$H$42='RESULTADO PRECIO FIJO'!$E$2,$C$46='RESULTADO PRECIO FIJO'!$D$2,'INTRODUCIR DATOS'!$E$25&lt;=10),'RESULTADO PRECIO FIJO'!G3,IF(AND('RESULTADO PRECIO FIJO'!$C$4="AUDAX",$H$42='RESULTADO PRECIO FIJO'!$E$4,$C$46='RESULTADO PRECIO FIJO'!$D$4,'INTRODUCIR DATOS'!$E$25&gt;10,'INTRODUCIR DATOS'!$E$25&lt;=15),'RESULTADO PRECIO FIJO'!G5,IF(AND('RESULTADO PRECIO FIJO'!$C$6="AUDAX",$H$42='RESULTADO PRECIO FIJO'!$E$6,$C$46='RESULTADO PRECIO FIJO'!$D$6,'INTRODUCIR DATOS'!$E$25&lt;=10),'RESULTADO PRECIO FIJO'!G7,IF(AND('RESULTADO PRECIO FIJO'!$C$8="AUDAX",$H$42='RESULTADO PRECIO FIJO'!$E$8,$C$46='RESULTADO PRECIO FIJO'!$D$8,'INTRODUCIR DATOS'!$E$25&gt;10,'INTRODUCIR DATOS'!$E$25&lt;=15),'RESULTADO PRECIO FIJO'!G9,IF(AND('RESULTADO PRECIO FIJO'!$C$10="AUDAX",$H$42='RESULTADO PRECIO FIJO'!$E$10,$C$46='RESULTADO PRECIO FIJO'!$D$10,'INTRODUCIR DATOS'!$E$25&lt;=10),'RESULTADO PRECIO FIJO'!G11,IF(AND('RESULTADO PRECIO FIJO'!$C$12="AUDAX",$H$42='RESULTADO PRECIO FIJO'!$E$12,$C$46='RESULTADO PRECIO FIJO'!$D$12,'INTRODUCIR DATOS'!$E$25&gt;10,'INTRODUCIR DATOS'!$E$25&lt;=15),'RESULTADO PRECIO FIJO'!G13,IF(AND('RESULTADO PRECIO FIJO'!$C$14="AUDAX",$H$42='RESULTADO PRECIO FIJO'!$E$14,$C$46='RESULTADO PRECIO FIJO'!$D$14,'INTRODUCIR DATOS'!$E$25&lt;=10),'RESULTADO PRECIO FIJO'!G15,IF(AND('RESULTADO PRECIO FIJO'!$C$16="AUDAX",$H$42='RESULTADO PRECIO FIJO'!$E$16,$C$46='RESULTADO PRECIO FIJO'!$D$16,'INTRODUCIR DATOS'!$E$25&gt;10,'INTRODUCIR DATOS'!$E$25&lt;=15),'RESULTADO PRECIO FIJO'!G17,IF(AND('RESULTADO PRECIO FIJO'!$C$18="AUDAX",$H$42='RESULTADO PRECIO FIJO'!$E$18,$C$46='RESULTADO PRECIO FIJO'!$D$18,'INTRODUCIR DATOS'!$E$25&lt;=10),'RESULTADO PRECIO FIJO'!G19,IF(AND('RESULTADO PRECIO FIJO'!$C$20="AUDAX",$H$42='RESULTADO PRECIO FIJO'!$E$20,$C$46='RESULTADO PRECIO FIJO'!$D$20,'INTRODUCIR DATOS'!$E$25&gt;10,'INTRODUCIR DATOS'!$E$25&lt;=15),'RESULTADO PRECIO FIJO'!G21,IF(AND('RESULTADO PRECIO FIJO'!$C$22="AUDAX",$H$42='RESULTADO PRECIO FIJO'!$E$22,$C$46='RESULTADO PRECIO FIJO'!$D$22),'RESULTADO PRECIO FIJO'!G23,IF(AND('RESULTADO PRECIO FIJO'!$C$24="AUDAX",$H$42='RESULTADO PRECIO FIJO'!$E$24,$C$46='RESULTADO PRECIO FIJO'!$D$24),'RESULTADO PRECIO FIJO'!G25,IF(AND('RESULTADO PRECIO FIJO'!$C$26="AUDAX",$H$42='RESULTADO PRECIO FIJO'!$E$26,$C$46='RESULTADO PRECIO FIJO'!$D$26),'RESULTADO PRECIO FIJO'!G27,IF(AND('RESULTADO PRECIO FIJO'!$C$28="AUDAX",$H$42='RESULTADO PRECIO FIJO'!$E$28,$C$46='RESULTADO PRECIO FIJO'!$D$28),'RESULTADO PRECIO FIJO'!G29,IF(AND('RESULTADO PRECIO FIJO'!$C$30="AUDAX",$H$42='RESULTADO PRECIO FIJO'!$E$30,$C$46='RESULTADO PRECIO FIJO'!$D$30),'RESULTADO PRECIO FIJO'!G31,IF(AND('RESULTADO PRECIO FIJO'!$C$32="AUDAX",$H$42='RESULTADO PRECIO FIJO'!$E$32,$C$46='RESULTADO PRECIO FIJO'!$D$32),'RESULTADO PRECIO FIJO'!G33,IF(AND('RESULTADO PRECIO FIJO'!$C$34="AUDAX",$H$42='RESULTADO PRECIO FIJO'!$E$34,$C$46='RESULTADO PRECIO FIJO'!$D$34),'RESULTADO PRECIO FIJO'!G35,IF(AND('RESULTADO PRECIO FIJO'!$C$36="AUDAX",$H$42='RESULTADO PRECIO FIJO'!$E$36,$C$46='RESULTADO PRECIO FIJO'!$D$36),'RESULTADO PRECIO FIJO'!G37,IF(AND('RESULTADO PRECIO FIJO'!$C$38="AUDAX",$H$42='RESULTADO PRECIO FIJO'!$E$38,$C$46='RESULTADO PRECIO FIJO'!$D$38),'RESULTADO PRECIO FIJO'!G39,IF(AND('RESULTADO PRECIO FIJO'!#REF!="AUDAX",$H$42='RESULTADO PRECIO FIJO'!#REF!,$C$46='RESULTADO PRECIO FIJO'!#REF!),'RESULTADO PRECIO FIJO'!#REF!))))))))))))))))))))</f>
        <v>0.40446100000000001</v>
      </c>
      <c r="E49" s="14">
        <f>IF(AND('RESULTADO PRECIO FIJO'!$C$2="AUDAX",$H$42='RESULTADO PRECIO FIJO'!$E$2,$C$46='RESULTADO PRECIO FIJO'!$D$2,'INTRODUCIR DATOS'!$E$25&lt;=10),'RESULTADO PRECIO FIJO'!H3,IF(AND('RESULTADO PRECIO FIJO'!$C$4="AUDAX",$H$42='RESULTADO PRECIO FIJO'!$E$4,$C$46='RESULTADO PRECIO FIJO'!$D$4,'INTRODUCIR DATOS'!$E$25&gt;10,'INTRODUCIR DATOS'!$E$25&lt;=15),'RESULTADO PRECIO FIJO'!H5,IF(AND('RESULTADO PRECIO FIJO'!$C$6="AUDAX",$H$42='RESULTADO PRECIO FIJO'!$E$6,$C$46='RESULTADO PRECIO FIJO'!$D$6,'INTRODUCIR DATOS'!$E$25&lt;=10),'RESULTADO PRECIO FIJO'!H7,IF(AND('RESULTADO PRECIO FIJO'!$C$8="AUDAX",$H$42='RESULTADO PRECIO FIJO'!$E$8,$C$46='RESULTADO PRECIO FIJO'!$D$8,'INTRODUCIR DATOS'!$E$25&gt;10,'INTRODUCIR DATOS'!$E$25&lt;=15),'RESULTADO PRECIO FIJO'!H9,IF(AND('RESULTADO PRECIO FIJO'!$C$10="AUDAX",$H$42='RESULTADO PRECIO FIJO'!$E$10,$C$46='RESULTADO PRECIO FIJO'!$D$10,'INTRODUCIR DATOS'!$E$25&lt;=10),'RESULTADO PRECIO FIJO'!H11,IF(AND('RESULTADO PRECIO FIJO'!$C$12="AUDAX",$H$42='RESULTADO PRECIO FIJO'!$E$12,$C$46='RESULTADO PRECIO FIJO'!$D$12,'INTRODUCIR DATOS'!$E$25&gt;10,'INTRODUCIR DATOS'!$E$25&lt;=15),'RESULTADO PRECIO FIJO'!H13,IF(AND('RESULTADO PRECIO FIJO'!$C$14="AUDAX",$H$42='RESULTADO PRECIO FIJO'!$E$14,$C$46='RESULTADO PRECIO FIJO'!$D$14,'INTRODUCIR DATOS'!$E$25&lt;=10),'RESULTADO PRECIO FIJO'!H15,IF(AND('RESULTADO PRECIO FIJO'!$C$16="AUDAX",$H$42='RESULTADO PRECIO FIJO'!$E$16,$C$46='RESULTADO PRECIO FIJO'!$D$16,'INTRODUCIR DATOS'!$E$25&gt;10,'INTRODUCIR DATOS'!$E$25&lt;=15),'RESULTADO PRECIO FIJO'!H17,IF(AND('RESULTADO PRECIO FIJO'!$C$18="AUDAX",$H$42='RESULTADO PRECIO FIJO'!$E$18,$C$46='RESULTADO PRECIO FIJO'!$D$18,'INTRODUCIR DATOS'!$E$25&lt;=10),'RESULTADO PRECIO FIJO'!H19,IF(AND('RESULTADO PRECIO FIJO'!$C$20="AUDAX",$H$42='RESULTADO PRECIO FIJO'!$E$20,$C$46='RESULTADO PRECIO FIJO'!$D$20,'INTRODUCIR DATOS'!$E$25&gt;10,'INTRODUCIR DATOS'!$E$25&lt;=15),'RESULTADO PRECIO FIJO'!H21,IF(AND('RESULTADO PRECIO FIJO'!$C$22="AUDAX",$H$42='RESULTADO PRECIO FIJO'!$E$22,$C$46='RESULTADO PRECIO FIJO'!$D$22),'RESULTADO PRECIO FIJO'!H23,IF(AND('RESULTADO PRECIO FIJO'!$C$24="AUDAX",$H$42='RESULTADO PRECIO FIJO'!$E$24,$C$46='RESULTADO PRECIO FIJO'!$D$24),'RESULTADO PRECIO FIJO'!H25,IF(AND('RESULTADO PRECIO FIJO'!$C$26="AUDAX",$H$42='RESULTADO PRECIO FIJO'!$E$26,$C$46='RESULTADO PRECIO FIJO'!$D$26),'RESULTADO PRECIO FIJO'!H27,IF(AND('RESULTADO PRECIO FIJO'!$C$28="AUDAX",$H$42='RESULTADO PRECIO FIJO'!$E$28,$C$46='RESULTADO PRECIO FIJO'!$D$28),'RESULTADO PRECIO FIJO'!H29,IF(AND('RESULTADO PRECIO FIJO'!$C$30="AUDAX",$H$42='RESULTADO PRECIO FIJO'!$E$30,$C$46='RESULTADO PRECIO FIJO'!$D$30),'RESULTADO PRECIO FIJO'!H31,IF(AND('RESULTADO PRECIO FIJO'!$C$32="AUDAX",$H$42='RESULTADO PRECIO FIJO'!$E$32,$C$46='RESULTADO PRECIO FIJO'!$D$32),'RESULTADO PRECIO FIJO'!H33,IF(AND('RESULTADO PRECIO FIJO'!$C$34="AUDAX",$H$42='RESULTADO PRECIO FIJO'!$E$34,$C$46='RESULTADO PRECIO FIJO'!$D$34),'RESULTADO PRECIO FIJO'!H35,IF(AND('RESULTADO PRECIO FIJO'!$C$36="AUDAX",$H$42='RESULTADO PRECIO FIJO'!$E$36,$C$46='RESULTADO PRECIO FIJO'!$D$36),'RESULTADO PRECIO FIJO'!H37,IF(AND('RESULTADO PRECIO FIJO'!$C$38="AUDAX",$H$42='RESULTADO PRECIO FIJO'!$E$38,$C$46='RESULTADO PRECIO FIJO'!$D$38),'RESULTADO PRECIO FIJO'!H39,IF(AND('RESULTADO PRECIO FIJO'!#REF!="AUDAX",$H$42='RESULTADO PRECIO FIJO'!#REF!,$C$46='RESULTADO PRECIO FIJO'!#REF!),'RESULTADO PRECIO FIJO'!#REF!))))))))))))))))))))</f>
        <v>0.34399999999999997</v>
      </c>
      <c r="F49" s="14">
        <f>IF(AND('RESULTADO PRECIO FIJO'!$C$2="AUDAX",$H$42='RESULTADO PRECIO FIJO'!$E$2,$C$46='RESULTADO PRECIO FIJO'!$D$2,'INTRODUCIR DATOS'!$E$25&lt;=10),'RESULTADO PRECIO FIJO'!I3,IF(AND('RESULTADO PRECIO FIJO'!$C$4="AUDAX",$H$42='RESULTADO PRECIO FIJO'!$E$4,$C$46='RESULTADO PRECIO FIJO'!$D$4,'INTRODUCIR DATOS'!$E$25&gt;10,'INTRODUCIR DATOS'!$E$25&lt;=15),'RESULTADO PRECIO FIJO'!I5,IF(AND('RESULTADO PRECIO FIJO'!$C$6="AUDAX",$H$42='RESULTADO PRECIO FIJO'!$E$6,$C$46='RESULTADO PRECIO FIJO'!$D$6,'INTRODUCIR DATOS'!$E$25&lt;=10),'RESULTADO PRECIO FIJO'!I7,IF(AND('RESULTADO PRECIO FIJO'!$C$8="AUDAX",$H$42='RESULTADO PRECIO FIJO'!$E$8,$C$46='RESULTADO PRECIO FIJO'!$D$8,'INTRODUCIR DATOS'!$E$25&gt;10,'INTRODUCIR DATOS'!$E$25&lt;=15),'RESULTADO PRECIO FIJO'!I9,IF(AND('RESULTADO PRECIO FIJO'!$C$10="AUDAX",$H$42='RESULTADO PRECIO FIJO'!$E$10,$C$46='RESULTADO PRECIO FIJO'!$D$10,'INTRODUCIR DATOS'!$E$25&lt;=10),'RESULTADO PRECIO FIJO'!I11,IF(AND('RESULTADO PRECIO FIJO'!$C$12="AUDAX",$H$42='RESULTADO PRECIO FIJO'!$E$12,$C$46='RESULTADO PRECIO FIJO'!$D$12,'INTRODUCIR DATOS'!$E$25&gt;10,'INTRODUCIR DATOS'!$E$25&lt;=15),'RESULTADO PRECIO FIJO'!I13,IF(AND('RESULTADO PRECIO FIJO'!$C$14="AUDAX",$H$42='RESULTADO PRECIO FIJO'!$E$14,$C$46='RESULTADO PRECIO FIJO'!$D$14,'INTRODUCIR DATOS'!$E$25&lt;=10),'RESULTADO PRECIO FIJO'!I15,IF(AND('RESULTADO PRECIO FIJO'!$C$16="AUDAX",$H$42='RESULTADO PRECIO FIJO'!$E$16,$C$46='RESULTADO PRECIO FIJO'!$D$16,'INTRODUCIR DATOS'!$E$25&gt;10,'INTRODUCIR DATOS'!$E$25&lt;=15),'RESULTADO PRECIO FIJO'!I17,IF(AND('RESULTADO PRECIO FIJO'!$C$18="AUDAX",$H$42='RESULTADO PRECIO FIJO'!$E$18,$C$46='RESULTADO PRECIO FIJO'!$D$18,'INTRODUCIR DATOS'!$E$25&lt;=10),'RESULTADO PRECIO FIJO'!I19,IF(AND('RESULTADO PRECIO FIJO'!$C$20="AUDAX",$H$42='RESULTADO PRECIO FIJO'!$E$20,$C$46='RESULTADO PRECIO FIJO'!$D$20,'INTRODUCIR DATOS'!$E$25&gt;10,'INTRODUCIR DATOS'!$E$25&lt;=15),'RESULTADO PRECIO FIJO'!I21,IF(AND('RESULTADO PRECIO FIJO'!$C$22="AUDAX",$H$42='RESULTADO PRECIO FIJO'!$E$22,$C$46='RESULTADO PRECIO FIJO'!$D$22),'RESULTADO PRECIO FIJO'!I23,IF(AND('RESULTADO PRECIO FIJO'!$C$24="AUDAX",$H$42='RESULTADO PRECIO FIJO'!$E$24,$C$46='RESULTADO PRECIO FIJO'!$D$24),'RESULTADO PRECIO FIJO'!I25,IF(AND('RESULTADO PRECIO FIJO'!$C$26="AUDAX",$H$42='RESULTADO PRECIO FIJO'!$E$26,$C$46='RESULTADO PRECIO FIJO'!$D$26),'RESULTADO PRECIO FIJO'!I27,IF(AND('RESULTADO PRECIO FIJO'!$C$28="AUDAX",$H$42='RESULTADO PRECIO FIJO'!$E$28,$C$46='RESULTADO PRECIO FIJO'!$D$28),'RESULTADO PRECIO FIJO'!I29,IF(AND('RESULTADO PRECIO FIJO'!$C$30="AUDAX",$H$42='RESULTADO PRECIO FIJO'!$E$30,$C$46='RESULTADO PRECIO FIJO'!$D$30),'RESULTADO PRECIO FIJO'!I31,IF(AND('RESULTADO PRECIO FIJO'!$C$32="AUDAX",$H$42='RESULTADO PRECIO FIJO'!$E$32,$C$46='RESULTADO PRECIO FIJO'!$D$32),'RESULTADO PRECIO FIJO'!I33,IF(AND('RESULTADO PRECIO FIJO'!$C$34="AUDAX",$H$42='RESULTADO PRECIO FIJO'!$E$34,$C$46='RESULTADO PRECIO FIJO'!$D$34),'RESULTADO PRECIO FIJO'!I35,IF(AND('RESULTADO PRECIO FIJO'!$C$36="AUDAX",$H$42='RESULTADO PRECIO FIJO'!$E$36,$C$46='RESULTADO PRECIO FIJO'!$D$36),'RESULTADO PRECIO FIJO'!I37,IF(AND('RESULTADO PRECIO FIJO'!$C$38="AUDAX",$H$42='RESULTADO PRECIO FIJO'!$E$38,$C$46='RESULTADO PRECIO FIJO'!$D$38),'RESULTADO PRECIO FIJO'!I39,IF(AND('RESULTADO PRECIO FIJO'!#REF!="AUDAX",$H$42='RESULTADO PRECIO FIJO'!#REF!,$C$46='RESULTADO PRECIO FIJO'!#REF!),'RESULTADO PRECIO FIJO'!#REF!))))))))))))))))))))</f>
        <v>0.31264399999999998</v>
      </c>
      <c r="G49" s="14">
        <f>IF(AND('RESULTADO PRECIO FIJO'!$C$2="AUDAX",$H$42='RESULTADO PRECIO FIJO'!$E$2,$C$46='RESULTADO PRECIO FIJO'!$D$2,'INTRODUCIR DATOS'!$E$25&lt;=10),'RESULTADO PRECIO FIJO'!J3,IF(AND('RESULTADO PRECIO FIJO'!$C$4="AUDAX",$H$42='RESULTADO PRECIO FIJO'!$E$4,$C$46='RESULTADO PRECIO FIJO'!$D$4,'INTRODUCIR DATOS'!$E$25&gt;10,'INTRODUCIR DATOS'!$E$25&lt;=15),'RESULTADO PRECIO FIJO'!J5,IF(AND('RESULTADO PRECIO FIJO'!$C$6="AUDAX",$H$42='RESULTADO PRECIO FIJO'!$E$6,$C$46='RESULTADO PRECIO FIJO'!$D$6,'INTRODUCIR DATOS'!$E$25&lt;=10),'RESULTADO PRECIO FIJO'!J7,IF(AND('RESULTADO PRECIO FIJO'!$C$8="AUDAX",$H$42='RESULTADO PRECIO FIJO'!$E$8,$C$46='RESULTADO PRECIO FIJO'!$D$8,'INTRODUCIR DATOS'!$E$25&gt;10,'INTRODUCIR DATOS'!$E$25&lt;=15),'RESULTADO PRECIO FIJO'!J9,IF(AND('RESULTADO PRECIO FIJO'!$C$10="AUDAX",$H$42='RESULTADO PRECIO FIJO'!$E$10,$C$46='RESULTADO PRECIO FIJO'!$D$10,'INTRODUCIR DATOS'!$E$25&lt;=10),'RESULTADO PRECIO FIJO'!J11,IF(AND('RESULTADO PRECIO FIJO'!$C$12="AUDAX",$H$42='RESULTADO PRECIO FIJO'!$E$12,$C$46='RESULTADO PRECIO FIJO'!$D$12,'INTRODUCIR DATOS'!$E$25&gt;10,'INTRODUCIR DATOS'!$E$25&lt;=15),'RESULTADO PRECIO FIJO'!J13,IF(AND('RESULTADO PRECIO FIJO'!$C$14="AUDAX",$H$42='RESULTADO PRECIO FIJO'!$E$14,$C$46='RESULTADO PRECIO FIJO'!$D$14,'INTRODUCIR DATOS'!$E$25&lt;=10),'RESULTADO PRECIO FIJO'!J15,IF(AND('RESULTADO PRECIO FIJO'!$C$16="AUDAX",$H$42='RESULTADO PRECIO FIJO'!$E$16,$C$46='RESULTADO PRECIO FIJO'!$D$16,'INTRODUCIR DATOS'!$E$25&gt;10,'INTRODUCIR DATOS'!$E$25&lt;=15),'RESULTADO PRECIO FIJO'!J17,IF(AND('RESULTADO PRECIO FIJO'!$C$18="AUDAX",$H$42='RESULTADO PRECIO FIJO'!$E$18,$C$46='RESULTADO PRECIO FIJO'!$D$18,'INTRODUCIR DATOS'!$E$25&lt;=10),'RESULTADO PRECIO FIJO'!J19,IF(AND('RESULTADO PRECIO FIJO'!$C$20="AUDAX",$H$42='RESULTADO PRECIO FIJO'!$E$20,$C$46='RESULTADO PRECIO FIJO'!$D$20,'INTRODUCIR DATOS'!$E$25&gt;10,'INTRODUCIR DATOS'!$E$25&lt;=15),'RESULTADO PRECIO FIJO'!J21,IF(AND('RESULTADO PRECIO FIJO'!$C$22="AUDAX",$H$42='RESULTADO PRECIO FIJO'!$E$22,$C$46='RESULTADO PRECIO FIJO'!$D$22),'RESULTADO PRECIO FIJO'!J23,IF(AND('RESULTADO PRECIO FIJO'!$C$24="AUDAX",$H$42='RESULTADO PRECIO FIJO'!$E$24,$C$46='RESULTADO PRECIO FIJO'!$D$24),'RESULTADO PRECIO FIJO'!J25,IF(AND('RESULTADO PRECIO FIJO'!$C$26="AUDAX",$H$42='RESULTADO PRECIO FIJO'!$E$26,$C$46='RESULTADO PRECIO FIJO'!$D$26),'RESULTADO PRECIO FIJO'!J27,IF(AND('RESULTADO PRECIO FIJO'!$C$28="AUDAX",$H$42='RESULTADO PRECIO FIJO'!$E$28,$C$46='RESULTADO PRECIO FIJO'!$D$28),'RESULTADO PRECIO FIJO'!J29,IF(AND('RESULTADO PRECIO FIJO'!$C$30="AUDAX",$H$42='RESULTADO PRECIO FIJO'!$E$30,$C$46='RESULTADO PRECIO FIJO'!$D$30),'RESULTADO PRECIO FIJO'!J31,IF(AND('RESULTADO PRECIO FIJO'!$C$32="AUDAX",$H$42='RESULTADO PRECIO FIJO'!$E$32,$C$46='RESULTADO PRECIO FIJO'!$D$32),'RESULTADO PRECIO FIJO'!J33,IF(AND('RESULTADO PRECIO FIJO'!$C$34="AUDAX",$H$42='RESULTADO PRECIO FIJO'!$E$34,$C$46='RESULTADO PRECIO FIJO'!$D$34),'RESULTADO PRECIO FIJO'!J35,IF(AND('RESULTADO PRECIO FIJO'!$C$36="AUDAX",$H$42='RESULTADO PRECIO FIJO'!$E$36,$C$46='RESULTADO PRECIO FIJO'!$D$36),'RESULTADO PRECIO FIJO'!J37,IF(AND('RESULTADO PRECIO FIJO'!$C$38="AUDAX",$H$42='RESULTADO PRECIO FIJO'!$E$38,$C$46='RESULTADO PRECIO FIJO'!$D$38),'RESULTADO PRECIO FIJO'!J39,IF(AND('RESULTADO PRECIO FIJO'!#REF!="AUDAX",$H$42='RESULTADO PRECIO FIJO'!#REF!,$C$46='RESULTADO PRECIO FIJO'!#REF!),'RESULTADO PRECIO FIJO'!#REF!))))))))))))))))))))</f>
        <v>0</v>
      </c>
      <c r="H49" s="14">
        <f>IF(AND('RESULTADO PRECIO FIJO'!$C$2="AUDAX",$H$42='RESULTADO PRECIO FIJO'!$E$2,$C$46='RESULTADO PRECIO FIJO'!$D$2,'INTRODUCIR DATOS'!$E$25&lt;=10),'RESULTADO PRECIO FIJO'!K3,IF(AND('RESULTADO PRECIO FIJO'!$C$4="AUDAX",$H$42='RESULTADO PRECIO FIJO'!$E$4,$C$46='RESULTADO PRECIO FIJO'!$D$4,'INTRODUCIR DATOS'!$E$25&gt;10,'INTRODUCIR DATOS'!$E$25&lt;=15),'RESULTADO PRECIO FIJO'!K5,IF(AND('RESULTADO PRECIO FIJO'!$C$6="AUDAX",$H$42='RESULTADO PRECIO FIJO'!$E$6,$C$46='RESULTADO PRECIO FIJO'!$D$6,'INTRODUCIR DATOS'!$E$25&lt;=10),'RESULTADO PRECIO FIJO'!K7,IF(AND('RESULTADO PRECIO FIJO'!$C$8="AUDAX",$H$42='RESULTADO PRECIO FIJO'!$E$8,$C$46='RESULTADO PRECIO FIJO'!$D$8,'INTRODUCIR DATOS'!$E$25&gt;10,'INTRODUCIR DATOS'!$E$25&lt;=15),'RESULTADO PRECIO FIJO'!K9,IF(AND('RESULTADO PRECIO FIJO'!$C$10="AUDAX",$H$42='RESULTADO PRECIO FIJO'!$E$10,$C$46='RESULTADO PRECIO FIJO'!$D$10,'INTRODUCIR DATOS'!$E$25&lt;=10),'RESULTADO PRECIO FIJO'!K11,IF(AND('RESULTADO PRECIO FIJO'!$C$12="AUDAX",$H$42='RESULTADO PRECIO FIJO'!$E$12,$C$46='RESULTADO PRECIO FIJO'!$D$12,'INTRODUCIR DATOS'!$E$25&gt;10,'INTRODUCIR DATOS'!$E$25&lt;=15),'RESULTADO PRECIO FIJO'!K13,IF(AND('RESULTADO PRECIO FIJO'!$C$14="AUDAX",$H$42='RESULTADO PRECIO FIJO'!$E$14,$C$46='RESULTADO PRECIO FIJO'!$D$14,'INTRODUCIR DATOS'!$E$25&lt;=10),'RESULTADO PRECIO FIJO'!K15,IF(AND('RESULTADO PRECIO FIJO'!$C$16="AUDAX",$H$42='RESULTADO PRECIO FIJO'!$E$16,$C$46='RESULTADO PRECIO FIJO'!$D$16,'INTRODUCIR DATOS'!$E$25&gt;10,'INTRODUCIR DATOS'!$E$25&lt;=15),'RESULTADO PRECIO FIJO'!K17,IF(AND('RESULTADO PRECIO FIJO'!$C$18="AUDAX",$H$42='RESULTADO PRECIO FIJO'!$E$18,$C$46='RESULTADO PRECIO FIJO'!$D$18,'INTRODUCIR DATOS'!$E$25&lt;=10),'RESULTADO PRECIO FIJO'!K19,IF(AND('RESULTADO PRECIO FIJO'!$C$20="AUDAX",$H$42='RESULTADO PRECIO FIJO'!$E$20,$C$46='RESULTADO PRECIO FIJO'!$D$20,'INTRODUCIR DATOS'!$E$25&gt;10,'INTRODUCIR DATOS'!$E$25&lt;=15),'RESULTADO PRECIO FIJO'!K21,IF(AND('RESULTADO PRECIO FIJO'!$C$22="AUDAX",$H$42='RESULTADO PRECIO FIJO'!$E$22,$C$46='RESULTADO PRECIO FIJO'!$D$22),'RESULTADO PRECIO FIJO'!K23,IF(AND('RESULTADO PRECIO FIJO'!$C$24="AUDAX",$H$42='RESULTADO PRECIO FIJO'!$E$24,$C$46='RESULTADO PRECIO FIJO'!$D$24),'RESULTADO PRECIO FIJO'!K25,IF(AND('RESULTADO PRECIO FIJO'!$C$26="AUDAX",$H$42='RESULTADO PRECIO FIJO'!$E$26,$C$46='RESULTADO PRECIO FIJO'!$D$26),'RESULTADO PRECIO FIJO'!K27,IF(AND('RESULTADO PRECIO FIJO'!$C$28="AUDAX",$H$42='RESULTADO PRECIO FIJO'!$E$28,$C$46='RESULTADO PRECIO FIJO'!$D$28),'RESULTADO PRECIO FIJO'!K29,IF(AND('RESULTADO PRECIO FIJO'!$C$30="AUDAX",$H$42='RESULTADO PRECIO FIJO'!$E$30,$C$46='RESULTADO PRECIO FIJO'!$D$30),'RESULTADO PRECIO FIJO'!K31,IF(AND('RESULTADO PRECIO FIJO'!$C$32="AUDAX",$H$42='RESULTADO PRECIO FIJO'!$E$32,$C$46='RESULTADO PRECIO FIJO'!$D$32),'RESULTADO PRECIO FIJO'!K33,IF(AND('RESULTADO PRECIO FIJO'!$C$34="AUDAX",$H$42='RESULTADO PRECIO FIJO'!$E$34,$C$46='RESULTADO PRECIO FIJO'!$D$34),'RESULTADO PRECIO FIJO'!K35,IF(AND('RESULTADO PRECIO FIJO'!$C$36="AUDAX",$H$42='RESULTADO PRECIO FIJO'!$E$36,$C$46='RESULTADO PRECIO FIJO'!$D$36),'RESULTADO PRECIO FIJO'!K37,IF(AND('RESULTADO PRECIO FIJO'!$C$38="AUDAX",$H$42='RESULTADO PRECIO FIJO'!$E$38,$C$46='RESULTADO PRECIO FIJO'!$D$38),'RESULTADO PRECIO FIJO'!K39,IF(AND('RESULTADO PRECIO FIJO'!#REF!="AUDAX",$H$42='RESULTADO PRECIO FIJO'!#REF!,$C$46='RESULTADO PRECIO FIJO'!#REF!),'RESULTADO PRECIO FIJO'!#REF!))))))))))))))))))))</f>
        <v>0</v>
      </c>
      <c r="I49" s="14">
        <f>IF(AND('RESULTADO PRECIO FIJO'!$C$2="AUDAX",$H$42='RESULTADO PRECIO FIJO'!$E$2,$C$46='RESULTADO PRECIO FIJO'!$D$2,'INTRODUCIR DATOS'!$E$25&lt;=10),'RESULTADO PRECIO FIJO'!L3,IF(AND('RESULTADO PRECIO FIJO'!$C$4="AUDAX",$H$42='RESULTADO PRECIO FIJO'!$E$4,$C$46='RESULTADO PRECIO FIJO'!$D$4,'INTRODUCIR DATOS'!$E$25&gt;10,'INTRODUCIR DATOS'!$E$25&lt;=15),'RESULTADO PRECIO FIJO'!L5,IF(AND('RESULTADO PRECIO FIJO'!$C$6="AUDAX",$H$42='RESULTADO PRECIO FIJO'!$E$6,$C$46='RESULTADO PRECIO FIJO'!$D$6,'INTRODUCIR DATOS'!$E$25&lt;=10),'RESULTADO PRECIO FIJO'!L7,IF(AND('RESULTADO PRECIO FIJO'!$C$8="AUDAX",$H$42='RESULTADO PRECIO FIJO'!$E$8,$C$46='RESULTADO PRECIO FIJO'!$D$8,'INTRODUCIR DATOS'!$E$25&gt;10,'INTRODUCIR DATOS'!$E$25&lt;=15),'RESULTADO PRECIO FIJO'!L9,IF(AND('RESULTADO PRECIO FIJO'!$C$10="AUDAX",$H$42='RESULTADO PRECIO FIJO'!$E$10,$C$46='RESULTADO PRECIO FIJO'!$D$10,'INTRODUCIR DATOS'!$E$25&lt;=10),'RESULTADO PRECIO FIJO'!L11,IF(AND('RESULTADO PRECIO FIJO'!$C$12="AUDAX",$H$42='RESULTADO PRECIO FIJO'!$E$12,$C$46='RESULTADO PRECIO FIJO'!$D$12,'INTRODUCIR DATOS'!$E$25&gt;10,'INTRODUCIR DATOS'!$E$25&lt;=15),'RESULTADO PRECIO FIJO'!L13,IF(AND('RESULTADO PRECIO FIJO'!$C$14="AUDAX",$H$42='RESULTADO PRECIO FIJO'!$E$14,$C$46='RESULTADO PRECIO FIJO'!$D$14,'INTRODUCIR DATOS'!$E$25&lt;=10),'RESULTADO PRECIO FIJO'!L15,IF(AND('RESULTADO PRECIO FIJO'!$C$16="AUDAX",$H$42='RESULTADO PRECIO FIJO'!$E$16,$C$46='RESULTADO PRECIO FIJO'!$D$16,'INTRODUCIR DATOS'!$E$25&gt;10,'INTRODUCIR DATOS'!$E$25&lt;=15),'RESULTADO PRECIO FIJO'!L17,IF(AND('RESULTADO PRECIO FIJO'!$C$18="AUDAX",$H$42='RESULTADO PRECIO FIJO'!$E$18,$C$46='RESULTADO PRECIO FIJO'!$D$18,'INTRODUCIR DATOS'!$E$25&lt;=10),'RESULTADO PRECIO FIJO'!L19,IF(AND('RESULTADO PRECIO FIJO'!$C$20="AUDAX",$H$42='RESULTADO PRECIO FIJO'!$E$20,$C$46='RESULTADO PRECIO FIJO'!$D$20,'INTRODUCIR DATOS'!$E$25&gt;10,'INTRODUCIR DATOS'!$E$25&lt;=15),'RESULTADO PRECIO FIJO'!L21,IF(AND('RESULTADO PRECIO FIJO'!$C$22="AUDAX",$H$42='RESULTADO PRECIO FIJO'!$E$22,$C$46='RESULTADO PRECIO FIJO'!$D$22),'RESULTADO PRECIO FIJO'!L23,IF(AND('RESULTADO PRECIO FIJO'!$C$24="AUDAX",$H$42='RESULTADO PRECIO FIJO'!$E$24,$C$46='RESULTADO PRECIO FIJO'!$D$24),'RESULTADO PRECIO FIJO'!L25,IF(AND('RESULTADO PRECIO FIJO'!$C$26="AUDAX",$H$42='RESULTADO PRECIO FIJO'!$E$26,$C$46='RESULTADO PRECIO FIJO'!$D$26),'RESULTADO PRECIO FIJO'!L27,IF(AND('RESULTADO PRECIO FIJO'!$C$28="AUDAX",$H$42='RESULTADO PRECIO FIJO'!$E$28,$C$46='RESULTADO PRECIO FIJO'!$D$28),'RESULTADO PRECIO FIJO'!L29,IF(AND('RESULTADO PRECIO FIJO'!$C$30="AUDAX",$H$42='RESULTADO PRECIO FIJO'!$E$30,$C$46='RESULTADO PRECIO FIJO'!$D$30),'RESULTADO PRECIO FIJO'!L31,IF(AND('RESULTADO PRECIO FIJO'!$C$32="AUDAX",$H$42='RESULTADO PRECIO FIJO'!$E$32,$C$46='RESULTADO PRECIO FIJO'!$D$32),'RESULTADO PRECIO FIJO'!L33,IF(AND('RESULTADO PRECIO FIJO'!$C$34="AUDAX",$H$42='RESULTADO PRECIO FIJO'!$E$34,$C$46='RESULTADO PRECIO FIJO'!$D$34),'RESULTADO PRECIO FIJO'!L35,IF(AND('RESULTADO PRECIO FIJO'!$C$36="AUDAX",$H$42='RESULTADO PRECIO FIJO'!$E$36,$C$46='RESULTADO PRECIO FIJO'!$D$36),'RESULTADO PRECIO FIJO'!L37,IF(AND('RESULTADO PRECIO FIJO'!$C$38="AUDAX",$H$42='RESULTADO PRECIO FIJO'!$E$38,$C$46='RESULTADO PRECIO FIJO'!$D$38),'RESULTADO PRECIO FIJO'!L39,IF(AND('RESULTADO PRECIO FIJO'!#REF!="AUDAX",$H$42='RESULTADO PRECIO FIJO'!#REF!,$C$46='RESULTADO PRECIO FIJO'!#REF!),'RESULTADO PRECIO FIJO'!#REF!))))))))))))))))))))</f>
        <v>0</v>
      </c>
      <c r="K49" s="143"/>
    </row>
    <row r="50" spans="2:11" ht="13.5" customHeight="1">
      <c r="B50" s="84"/>
      <c r="C50" s="15"/>
      <c r="D50" s="6"/>
      <c r="E50" s="6"/>
      <c r="F50" s="6"/>
      <c r="G50" s="6"/>
      <c r="H50" s="6"/>
      <c r="I50" s="6"/>
      <c r="K50" s="6"/>
    </row>
    <row r="51" spans="2:11" ht="13.5" customHeight="1">
      <c r="B51" s="85"/>
      <c r="C51" s="85"/>
      <c r="D51" s="85"/>
      <c r="E51" s="85"/>
      <c r="F51" s="85"/>
      <c r="G51" s="85"/>
      <c r="H51" s="85"/>
      <c r="I51" s="85"/>
      <c r="J51" s="85"/>
      <c r="K51" s="85"/>
    </row>
    <row r="52" spans="2:11" ht="13.5" customHeight="1">
      <c r="B52" s="566" t="s">
        <v>119</v>
      </c>
      <c r="C52" s="566"/>
      <c r="D52" s="566"/>
      <c r="E52" s="566"/>
      <c r="F52" s="566"/>
      <c r="G52" s="566"/>
      <c r="H52" s="566"/>
      <c r="I52" s="566"/>
      <c r="J52" s="566"/>
      <c r="K52" s="566"/>
    </row>
    <row r="53" spans="2:11" ht="13.5" customHeight="1">
      <c r="B53" s="86" t="s">
        <v>120</v>
      </c>
      <c r="C53" s="86"/>
      <c r="D53" s="87"/>
      <c r="E53" s="87"/>
      <c r="F53" s="87"/>
      <c r="G53" s="86"/>
      <c r="H53" s="86"/>
      <c r="I53" s="87"/>
      <c r="J53" s="88"/>
      <c r="K53" s="225">
        <f>F54+F55+F56+I54+I55+I56</f>
        <v>23.262267090410958</v>
      </c>
    </row>
    <row r="54" spans="2:11" ht="13.5" customHeight="1">
      <c r="B54" s="89"/>
      <c r="C54" s="89"/>
      <c r="D54" s="17" t="s">
        <v>115</v>
      </c>
      <c r="E54" s="89">
        <f>'INTRODUCIR DATOS'!$E$25</f>
        <v>6</v>
      </c>
      <c r="F54" s="8">
        <f>E54*D48*H43</f>
        <v>18.575567605479453</v>
      </c>
      <c r="G54" s="17" t="s">
        <v>62</v>
      </c>
      <c r="H54" s="89">
        <f>'INTRODUCIR DATOS'!$E$28</f>
        <v>0</v>
      </c>
      <c r="I54" s="8">
        <f>IF(G48="",0,H54*G48*H43)</f>
        <v>0</v>
      </c>
      <c r="J54" s="90"/>
      <c r="K54" s="90"/>
    </row>
    <row r="55" spans="2:11" ht="13.5" customHeight="1">
      <c r="B55" s="89"/>
      <c r="C55" s="89"/>
      <c r="D55" s="17" t="s">
        <v>116</v>
      </c>
      <c r="E55" s="89">
        <f>'INTRODUCIR DATOS'!$E$26</f>
        <v>6</v>
      </c>
      <c r="F55" s="8">
        <f>E55*E48*H43</f>
        <v>4.6866994849315073</v>
      </c>
      <c r="G55" s="17" t="s">
        <v>63</v>
      </c>
      <c r="H55" s="89">
        <f>'INTRODUCIR DATOS'!$E$29</f>
        <v>0</v>
      </c>
      <c r="I55" s="8">
        <f>IF(H48="",0,H55*H48*H43)</f>
        <v>0</v>
      </c>
      <c r="J55" s="90"/>
      <c r="K55" s="90"/>
    </row>
    <row r="56" spans="2:11" ht="13.5" customHeight="1">
      <c r="B56" s="9"/>
      <c r="C56" s="9"/>
      <c r="D56" s="17" t="s">
        <v>60</v>
      </c>
      <c r="E56" s="89">
        <f>'INTRODUCIR DATOS'!$E$27</f>
        <v>0</v>
      </c>
      <c r="F56" s="8">
        <f>IF(F48="",0,E56*F48*H43)</f>
        <v>0</v>
      </c>
      <c r="G56" s="18" t="s">
        <v>65</v>
      </c>
      <c r="H56" s="89">
        <f>'INTRODUCIR DATOS'!$E$30</f>
        <v>0</v>
      </c>
      <c r="I56" s="8">
        <f>IF(I48="",0,H56*I48*H43)</f>
        <v>0</v>
      </c>
      <c r="J56" s="9"/>
      <c r="K56" s="9"/>
    </row>
    <row r="57" spans="2:11" ht="13.5" customHeight="1">
      <c r="B57" s="9" t="s">
        <v>121</v>
      </c>
      <c r="C57" s="9"/>
      <c r="D57" s="9"/>
      <c r="E57" s="89"/>
      <c r="F57" s="9"/>
      <c r="G57" s="9" t="s">
        <v>121</v>
      </c>
      <c r="H57" s="89"/>
      <c r="I57" s="9"/>
      <c r="J57" s="9"/>
      <c r="K57" s="9"/>
    </row>
    <row r="58" spans="2:11" ht="13.5" customHeight="1">
      <c r="B58" s="86" t="s">
        <v>122</v>
      </c>
      <c r="C58" s="91"/>
      <c r="D58" s="87"/>
      <c r="E58" s="86"/>
      <c r="F58" s="86"/>
      <c r="G58" s="91"/>
      <c r="H58" s="87"/>
      <c r="I58" s="87"/>
      <c r="J58" s="88"/>
      <c r="K58" s="225">
        <f>F59+F60+F61+I59+I60+I61</f>
        <v>132.258747</v>
      </c>
    </row>
    <row r="59" spans="2:11" ht="13.5" customHeight="1">
      <c r="B59" s="89"/>
      <c r="C59" s="89"/>
      <c r="D59" s="17" t="s">
        <v>115</v>
      </c>
      <c r="E59" s="89">
        <f>'INTRODUCIR DATOS'!$E$32</f>
        <v>327</v>
      </c>
      <c r="F59" s="338">
        <f>E59*D49</f>
        <v>132.258747</v>
      </c>
      <c r="G59" s="17" t="s">
        <v>62</v>
      </c>
      <c r="H59" s="89">
        <f>'INTRODUCIR DATOS'!$E$35</f>
        <v>0</v>
      </c>
      <c r="I59" s="7">
        <f>IF(G49="",0,H59*G49)</f>
        <v>0</v>
      </c>
      <c r="J59" s="90"/>
      <c r="K59" s="90"/>
    </row>
    <row r="60" spans="2:11" ht="13.5" customHeight="1">
      <c r="B60" s="89"/>
      <c r="C60" s="89"/>
      <c r="D60" s="17" t="s">
        <v>116</v>
      </c>
      <c r="E60" s="89">
        <f>'INTRODUCIR DATOS'!$E$33</f>
        <v>0</v>
      </c>
      <c r="F60" s="338">
        <f>E60*E49</f>
        <v>0</v>
      </c>
      <c r="G60" s="17" t="s">
        <v>63</v>
      </c>
      <c r="H60" s="89">
        <f>'INTRODUCIR DATOS'!$E$36</f>
        <v>0</v>
      </c>
      <c r="I60" s="7">
        <f>IF(H49="",0,H60*H49)</f>
        <v>0</v>
      </c>
      <c r="J60" s="90"/>
      <c r="K60" s="90"/>
    </row>
    <row r="61" spans="2:11" ht="13.5" customHeight="1">
      <c r="B61" s="89"/>
      <c r="C61" s="89"/>
      <c r="D61" s="17" t="s">
        <v>60</v>
      </c>
      <c r="E61" s="89">
        <f>'INTRODUCIR DATOS'!$E$34</f>
        <v>0</v>
      </c>
      <c r="F61" s="338">
        <f>E61*F49</f>
        <v>0</v>
      </c>
      <c r="G61" s="17" t="s">
        <v>65</v>
      </c>
      <c r="H61" s="89">
        <f>'INTRODUCIR DATOS'!$E$37</f>
        <v>0</v>
      </c>
      <c r="I61" s="7">
        <f>IF(I49="",0,H61*I49)</f>
        <v>0</v>
      </c>
      <c r="J61" s="90"/>
      <c r="K61" s="90"/>
    </row>
    <row r="62" spans="2:11" ht="13.5" customHeight="1">
      <c r="B62" s="89" t="s">
        <v>123</v>
      </c>
      <c r="C62" s="92"/>
      <c r="D62" s="337"/>
      <c r="E62" s="337"/>
      <c r="F62" s="337"/>
      <c r="G62" s="89"/>
      <c r="H62" s="92"/>
      <c r="I62" s="337"/>
      <c r="J62" s="337"/>
      <c r="K62" s="11">
        <v>0</v>
      </c>
    </row>
    <row r="63" spans="2:11" ht="13.5" customHeight="1">
      <c r="B63" s="89" t="s">
        <v>124</v>
      </c>
      <c r="C63" s="92"/>
      <c r="D63" s="92"/>
      <c r="E63" s="92"/>
      <c r="F63" s="92"/>
      <c r="G63" s="92"/>
      <c r="H63" s="92"/>
      <c r="I63" s="92"/>
      <c r="J63" s="92"/>
      <c r="K63" s="12">
        <v>0</v>
      </c>
    </row>
    <row r="64" spans="2:11" ht="13.5" customHeight="1">
      <c r="B64" s="89" t="s">
        <v>125</v>
      </c>
      <c r="C64" s="89"/>
      <c r="D64" s="89"/>
      <c r="E64" s="552"/>
      <c r="F64" s="552"/>
      <c r="G64" s="552"/>
      <c r="H64" s="9">
        <f>K58+K53+K62</f>
        <v>155.52101409041097</v>
      </c>
      <c r="I64" s="553" t="s">
        <v>121</v>
      </c>
      <c r="J64" s="553"/>
      <c r="K64" s="338">
        <f>H64*'INTRODUCIR DATOS'!$D$17</f>
        <v>0.77760507045205485</v>
      </c>
    </row>
    <row r="65" spans="1:12" ht="13.5" customHeight="1">
      <c r="B65" s="475" t="s">
        <v>26</v>
      </c>
      <c r="C65" s="89"/>
      <c r="D65" s="89"/>
      <c r="E65" s="90"/>
      <c r="F65" s="90"/>
      <c r="G65" s="89"/>
      <c r="H65" s="9"/>
      <c r="I65" s="338"/>
      <c r="J65" s="338"/>
      <c r="K65" s="338">
        <f>'INTRODUCIR DATOS'!$D$15</f>
        <v>0</v>
      </c>
    </row>
    <row r="66" spans="1:12" ht="13.5" customHeight="1">
      <c r="B66" s="89" t="s">
        <v>28</v>
      </c>
      <c r="C66" s="89"/>
      <c r="D66" s="89"/>
      <c r="E66" s="89"/>
      <c r="F66" s="89"/>
      <c r="G66" s="338"/>
      <c r="H66" s="13"/>
      <c r="I66" s="13"/>
      <c r="J66" s="90"/>
      <c r="K66" s="338">
        <f>'INTRODUCIR DATOS'!$D$16</f>
        <v>0.85</v>
      </c>
    </row>
    <row r="67" spans="1:12" ht="13.5" customHeight="1">
      <c r="B67" s="89" t="s">
        <v>126</v>
      </c>
      <c r="C67" s="89"/>
      <c r="D67" s="89"/>
      <c r="E67" s="554">
        <f>'INTRODUCIR DATOS'!$D$21</f>
        <v>0.21</v>
      </c>
      <c r="F67" s="555"/>
      <c r="G67" s="555"/>
      <c r="H67" s="9">
        <f>K53+K58+K64+K65+K66</f>
        <v>157.14861916086303</v>
      </c>
      <c r="I67" s="13"/>
      <c r="J67" s="90"/>
      <c r="K67" s="338">
        <f>E67*H67</f>
        <v>33.001210023781233</v>
      </c>
    </row>
    <row r="68" spans="1:12" ht="13.5" customHeight="1">
      <c r="B68" s="86" t="s">
        <v>127</v>
      </c>
      <c r="C68" s="91"/>
      <c r="D68" s="87"/>
      <c r="E68" s="86"/>
      <c r="F68" s="86"/>
      <c r="G68" s="91"/>
      <c r="H68" s="87"/>
      <c r="I68" s="87"/>
      <c r="J68" s="88"/>
      <c r="K68" s="225">
        <f>SUM(K53:K67)</f>
        <v>190.14982918464426</v>
      </c>
    </row>
    <row r="69" spans="1:12" ht="13.5" customHeight="1">
      <c r="B69" s="89" t="s">
        <v>128</v>
      </c>
      <c r="C69" s="89"/>
      <c r="D69" s="89"/>
      <c r="E69" s="89"/>
      <c r="F69" s="89"/>
      <c r="G69" s="338"/>
      <c r="H69" s="338"/>
      <c r="I69" s="89"/>
      <c r="J69" s="90"/>
      <c r="K69" s="338">
        <f>'INTRODUCIR DATOS'!$D$14</f>
        <v>114.15</v>
      </c>
    </row>
    <row r="70" spans="1:12" ht="13.5" customHeight="1">
      <c r="B70" s="86" t="s">
        <v>129</v>
      </c>
      <c r="C70" s="86"/>
      <c r="D70" s="87"/>
      <c r="E70" s="87"/>
      <c r="F70" s="87"/>
      <c r="G70" s="86"/>
      <c r="H70" s="86"/>
      <c r="I70" s="87"/>
      <c r="J70" s="108">
        <f>IF(K68=0,"",(K69-K68)/K69)</f>
        <v>-0.66578912995746165</v>
      </c>
      <c r="K70" s="225">
        <f>IF((K68=0),"",K69-K68)</f>
        <v>-75.999829184644256</v>
      </c>
    </row>
    <row r="71" spans="1:12" ht="13.5" customHeight="1">
      <c r="B71" s="143"/>
      <c r="C71" s="143"/>
      <c r="D71" s="143"/>
      <c r="E71" s="143"/>
      <c r="F71" s="143"/>
      <c r="G71" s="143"/>
      <c r="H71" s="143"/>
      <c r="I71" s="143"/>
      <c r="J71" s="143"/>
      <c r="K71" s="143"/>
    </row>
    <row r="72" spans="1:12" ht="13.5" customHeight="1">
      <c r="A72" s="556" t="s">
        <v>107</v>
      </c>
      <c r="B72" s="556"/>
      <c r="C72" s="556"/>
      <c r="D72" s="556"/>
      <c r="E72" s="556"/>
      <c r="F72" s="556"/>
      <c r="G72" s="556"/>
      <c r="H72" s="556"/>
      <c r="I72" s="556"/>
      <c r="J72" s="556"/>
      <c r="K72" s="556"/>
    </row>
    <row r="73" spans="1:12" ht="13.5" customHeight="1">
      <c r="A73" s="557" t="s">
        <v>108</v>
      </c>
      <c r="B73" s="558"/>
      <c r="C73" s="558"/>
      <c r="D73" s="558"/>
      <c r="E73" s="558"/>
      <c r="F73" s="558"/>
      <c r="G73" s="558"/>
      <c r="H73" s="558"/>
      <c r="I73" s="558"/>
      <c r="J73" s="558"/>
      <c r="K73" s="558"/>
    </row>
    <row r="74" spans="1:12" ht="13.5" customHeight="1">
      <c r="B74" s="143"/>
      <c r="C74" s="143"/>
      <c r="D74" s="143"/>
      <c r="E74" s="143"/>
      <c r="F74" s="143"/>
      <c r="G74" s="143"/>
      <c r="H74" s="143"/>
      <c r="I74" s="143"/>
      <c r="J74" s="143"/>
      <c r="K74" s="143"/>
    </row>
    <row r="75" spans="1:12" ht="13.5" customHeight="1">
      <c r="B75"/>
      <c r="C75" s="15"/>
      <c r="D75" s="15"/>
      <c r="E75" s="15"/>
      <c r="F75" s="559" t="s">
        <v>109</v>
      </c>
      <c r="G75" s="559"/>
      <c r="H75" s="560" t="str">
        <f>'INTRODUCIR DATOS'!$D$9</f>
        <v>GEMA GARCIA ESCUDERO</v>
      </c>
      <c r="I75" s="560"/>
      <c r="J75" s="560"/>
      <c r="K75" s="560"/>
      <c r="L75" s="27"/>
    </row>
    <row r="76" spans="1:12" ht="13.5" customHeight="1">
      <c r="B76" s="143"/>
      <c r="C76" s="15"/>
      <c r="D76" s="15"/>
      <c r="E76" s="15"/>
      <c r="F76" s="559" t="s">
        <v>110</v>
      </c>
      <c r="G76" s="559"/>
      <c r="H76" s="560" t="str">
        <f>'INTRODUCIR DATOS'!$D$10</f>
        <v>C/LOS HUERTOS</v>
      </c>
      <c r="I76" s="560"/>
      <c r="J76" s="560"/>
      <c r="K76" s="560"/>
      <c r="L76" s="27"/>
    </row>
    <row r="77" spans="1:12" ht="13.5" customHeight="1">
      <c r="B77" s="143"/>
      <c r="C77" s="15"/>
      <c r="D77" s="15"/>
      <c r="E77" s="15"/>
      <c r="F77" s="559" t="s">
        <v>111</v>
      </c>
      <c r="G77" s="559"/>
      <c r="H77" s="560" t="str">
        <f>'INTRODUCIR DATOS'!$D$11</f>
        <v>ENCINILLAS</v>
      </c>
      <c r="I77" s="560"/>
      <c r="J77" s="560"/>
      <c r="K77" s="560"/>
      <c r="L77" s="27"/>
    </row>
    <row r="78" spans="1:12" ht="13.5" customHeight="1">
      <c r="B78" s="15"/>
      <c r="C78" s="15"/>
      <c r="D78" s="15"/>
      <c r="E78" s="15"/>
      <c r="F78" s="559" t="s">
        <v>112</v>
      </c>
      <c r="G78" s="559"/>
      <c r="H78" s="558" t="str">
        <f>'INTRODUCIR DATOS'!$D$18</f>
        <v>2.0TD</v>
      </c>
      <c r="I78" s="558"/>
      <c r="J78" s="558"/>
      <c r="K78" s="558"/>
      <c r="L78" s="28"/>
    </row>
    <row r="79" spans="1:12" ht="13.5" customHeight="1">
      <c r="B79" s="15"/>
      <c r="C79" s="15"/>
      <c r="D79" s="15"/>
      <c r="E79" s="15"/>
      <c r="F79" s="559" t="s">
        <v>113</v>
      </c>
      <c r="G79" s="559"/>
      <c r="H79" s="561">
        <f>'INTRODUCIR DATOS'!$D$13</f>
        <v>32</v>
      </c>
      <c r="I79" s="561"/>
      <c r="J79" s="561"/>
      <c r="K79" s="561"/>
      <c r="L79" s="29"/>
    </row>
    <row r="80" spans="1:12" ht="13.5" customHeight="1">
      <c r="B80" s="15"/>
      <c r="C80" s="15"/>
      <c r="D80" s="15"/>
      <c r="E80" s="15"/>
      <c r="F80" s="15"/>
      <c r="G80" s="15"/>
      <c r="H80" s="15"/>
      <c r="I80" s="15"/>
      <c r="J80" s="15"/>
      <c r="K80" s="15"/>
    </row>
    <row r="81" spans="1:11" ht="13.5" customHeight="1">
      <c r="B81" s="15"/>
      <c r="C81" s="15"/>
      <c r="D81" s="15"/>
      <c r="E81" s="15"/>
      <c r="F81" s="15"/>
      <c r="G81" s="15"/>
      <c r="H81" s="15"/>
      <c r="I81" s="15"/>
      <c r="J81" s="15"/>
      <c r="K81" s="15"/>
    </row>
    <row r="82" spans="1:11" ht="13.5" customHeight="1">
      <c r="B82" s="93" t="s">
        <v>114</v>
      </c>
      <c r="C82" s="83" t="str">
        <f>'INTRODUCIR DATOS'!O16</f>
        <v>MILAN</v>
      </c>
      <c r="D82" s="2"/>
      <c r="E82" s="2"/>
      <c r="F82" s="2"/>
      <c r="G82" s="2"/>
      <c r="H82" s="2"/>
      <c r="I82" s="2"/>
      <c r="J82" s="2"/>
      <c r="K82" s="16"/>
    </row>
    <row r="83" spans="1:11" ht="13.5" customHeight="1">
      <c r="B83" s="84"/>
      <c r="C83" s="84"/>
      <c r="D83" s="3" t="s">
        <v>115</v>
      </c>
      <c r="E83" s="3" t="s">
        <v>116</v>
      </c>
      <c r="F83" s="3" t="s">
        <v>60</v>
      </c>
      <c r="G83" s="3" t="s">
        <v>62</v>
      </c>
      <c r="H83" s="3" t="s">
        <v>63</v>
      </c>
      <c r="I83" s="3" t="s">
        <v>65</v>
      </c>
      <c r="J83" s="3"/>
      <c r="K83" s="143"/>
    </row>
    <row r="84" spans="1:11" ht="13.5" customHeight="1">
      <c r="B84" s="84"/>
      <c r="C84" s="4" t="s">
        <v>117</v>
      </c>
      <c r="D84" s="14">
        <f>IF(AND('RESULTADO PRECIO FIJO'!$C$40="ALDRO",$H$42='RESULTADO PRECIO FIJO'!$E$40,$C$82='RESULTADO PRECIO FIJO'!$D$40),'RESULTADO PRECIO FIJO'!G40,IF(AND('RESULTADO PRECIO FIJO'!$C$42="ALDRO",$H$42='RESULTADO PRECIO FIJO'!$E$42,$C$82='RESULTADO PRECIO FIJO'!$D$42),'RESULTADO PRECIO FIJO'!G42,IF(AND('RESULTADO PRECIO FIJO'!$C$44="ALDRO",$H$42='RESULTADO PRECIO FIJO'!$E$44,$C$82='RESULTADO PRECIO FIJO'!$D$44),'RESULTADO PRECIO FIJO'!G44,IF(AND('RESULTADO PRECIO FIJO'!$C$46="ALDRO",$H$42='RESULTADO PRECIO FIJO'!$E$46,$C$82='RESULTADO PRECIO FIJO'!$D$46),'RESULTADO PRECIO FIJO'!G46,IF(AND('RESULTADO PRECIO FIJO'!$C$48="ALDRO",$H$42='RESULTADO PRECIO FIJO'!$E$48,$C$82='RESULTADO PRECIO FIJO'!$D$48),'RESULTADO PRECIO FIJO'!G48,IF(AND('RESULTADO PRECIO FIJO'!$C$50="ALDRO",$H$42='RESULTADO PRECIO FIJO'!$E$50,$C$82='RESULTADO PRECIO FIJO'!$D$50),'RESULTADO PRECIO FIJO'!G50,IF(AND('RESULTADO PRECIO FIJO'!$C$52="ALDRO",$H$42='RESULTADO PRECIO FIJO'!$E$52,$C$82='RESULTADO PRECIO FIJO'!$D$52),'RESULTADO PRECIO FIJO'!G52,IF(AND('RESULTADO PRECIO FIJO'!$C$54="ALDRO",$H$42='RESULTADO PRECIO FIJO'!$E$54,$C$82='RESULTADO PRECIO FIJO'!$D$54),'RESULTADO PRECIO FIJO'!G54,IF(AND('RESULTADO PRECIO FIJO'!$C$56="ALDRO",$H$42='RESULTADO PRECIO FIJO'!$E$56,$C$82='RESULTADO PRECIO FIJO'!$D$56),'RESULTADO PRECIO FIJO'!G56,IF(AND('RESULTADO PRECIO FIJO'!$C$58="ALDRO",$H$42='RESULTADO PRECIO FIJO'!$E$58,$C$82='RESULTADO PRECIO FIJO'!$D$58),'RESULTADO PRECIO FIJO'!G58,IF(AND('RESULTADO PRECIO FIJO'!$C$60="ALDRO",$H$42='RESULTADO PRECIO FIJO'!$E$60,$C$82='RESULTADO PRECIO FIJO'!$D$60),'RESULTADO PRECIO FIJO'!G60,IF(AND('RESULTADO PRECIO FIJO'!$C$62="ALDRO",$H$42='RESULTADO PRECIO FIJO'!$E$62,$C$82='RESULTADO PRECIO FIJO'!$D$62),'RESULTADO PRECIO FIJO'!G62,IF(AND('RESULTADO PRECIO FIJO'!$C$64="ALDRO",$H$42='RESULTADO PRECIO FIJO'!$E$64,$C$82='RESULTADO PRECIO FIJO'!$D$64),'RESULTADO PRECIO FIJO'!G64,IF(AND('RESULTADO PRECIO FIJO'!$C$66="ALDRO",$H$42='RESULTADO PRECIO FIJO'!$E$66,$C$82='RESULTADO PRECIO FIJO'!$D$66),'RESULTADO PRECIO FIJO'!G66,IF(AND('RESULTADO PRECIO FIJO'!$C$68="ALDRO",$H$42='RESULTADO PRECIO FIJO'!$E$68,$C$82='RESULTADO PRECIO FIJO'!$D$68),'RESULTADO PRECIO FIJO'!G68,IF(AND('RESULTADO PRECIO FIJO'!$C$70="ALDRO",$H$42='RESULTADO PRECIO FIJO'!$E$70,$C$82='RESULTADO PRECIO FIJO'!$D$70),'RESULTADO PRECIO FIJO'!G70,IF(AND('RESULTADO PRECIO FIJO'!$C$72="ALDRO",$H$42='RESULTADO PRECIO FIJO'!$E$72,$C$82='RESULTADO PRECIO FIJO'!$D$72),'RESULTADO PRECIO FIJO'!G72,IF(AND('RESULTADO PRECIO FIJO'!$C$74="ALDRO",$H$42='RESULTADO PRECIO FIJO'!$E$74,$C$82='RESULTADO PRECIO FIJO'!$D$74),'RESULTADO PRECIO FIJO'!G74,IF(AND('RESULTADO PRECIO FIJO'!$C$76="ALDRO",$H$42='RESULTADO PRECIO FIJO'!$E$76,$C$82='RESULTADO PRECIO FIJO'!$D$76),'RESULTADO PRECIO FIJO'!G76,IF(AND('RESULTADO PRECIO FIJO'!$C$78="ALDRO",$H$42='RESULTADO PRECIO FIJO'!$E$78,$C$82='RESULTADO PRECIO FIJO'!$D$78),'RESULTADO PRECIO FIJO'!G78,IF(AND('RESULTADO PRECIO FIJO'!$C$80="ALDRO",$H$42='RESULTADO PRECIO FIJO'!$E$80,$C$82='RESULTADO PRECIO FIJO'!$D$80),'RESULTADO PRECIO FIJO'!G80,IF(AND('RESULTADO PRECIO FIJO'!$C$82="ALDRO",$H$42='RESULTADO PRECIO FIJO'!$E$82,$C$82='RESULTADO PRECIO FIJO'!$D$82),'RESULTADO PRECIO FIJO'!G82,IF(AND('RESULTADO PRECIO FIJO'!$C$84="ALDRO",$H$42='RESULTADO PRECIO FIJO'!$E$84,$C$82='RESULTADO PRECIO FIJO'!$D$84),'RESULTADO PRECIO FIJO'!G84,IF(AND('RESULTADO PRECIO FIJO'!$C$86="ALDRO",$H$42='RESULTADO PRECIO FIJO'!$E$86,$C$82='RESULTADO PRECIO FIJO'!$D$86),'RESULTADO PRECIO FIJO'!G86))))))))))))))))))))))))</f>
        <v>8.0502000000000004E-2</v>
      </c>
      <c r="E84" s="14">
        <f>IF(AND('RESULTADO PRECIO FIJO'!$C$40="ALDRO",$H$42='RESULTADO PRECIO FIJO'!$E$40,$C$82='RESULTADO PRECIO FIJO'!$D$40),'RESULTADO PRECIO FIJO'!H40,IF(AND('RESULTADO PRECIO FIJO'!$C$42="ALDRO",$H$42='RESULTADO PRECIO FIJO'!$E$42,$C$82='RESULTADO PRECIO FIJO'!$D$42),'RESULTADO PRECIO FIJO'!H42,IF(AND('RESULTADO PRECIO FIJO'!$C$44="ALDRO",$H$42='RESULTADO PRECIO FIJO'!$E$44,$C$82='RESULTADO PRECIO FIJO'!$D$44),'RESULTADO PRECIO FIJO'!H44,IF(AND('RESULTADO PRECIO FIJO'!$C$46="ALDRO",$H$42='RESULTADO PRECIO FIJO'!$E$46,$C$82='RESULTADO PRECIO FIJO'!$D$46),'RESULTADO PRECIO FIJO'!H46,IF(AND('RESULTADO PRECIO FIJO'!$C$48="ALDRO",$H$42='RESULTADO PRECIO FIJO'!$E$48,$C$82='RESULTADO PRECIO FIJO'!$D$48),'RESULTADO PRECIO FIJO'!H48,IF(AND('RESULTADO PRECIO FIJO'!$C$50="ALDRO",$H$42='RESULTADO PRECIO FIJO'!$E$50,$C$82='RESULTADO PRECIO FIJO'!$D$50),'RESULTADO PRECIO FIJO'!H50,IF(AND('RESULTADO PRECIO FIJO'!$C$52="ALDRO",$H$42='RESULTADO PRECIO FIJO'!$E$52,$C$82='RESULTADO PRECIO FIJO'!$D$52),'RESULTADO PRECIO FIJO'!H52,IF(AND('RESULTADO PRECIO FIJO'!$C$54="ALDRO",$H$42='RESULTADO PRECIO FIJO'!$E$54,$C$82='RESULTADO PRECIO FIJO'!$D$54),'RESULTADO PRECIO FIJO'!H54,IF(AND('RESULTADO PRECIO FIJO'!$C$56="ALDRO",$H$42='RESULTADO PRECIO FIJO'!$E$56,$C$82='RESULTADO PRECIO FIJO'!$D$56),'RESULTADO PRECIO FIJO'!H56,IF(AND('RESULTADO PRECIO FIJO'!$C$58="ALDRO",$H$42='RESULTADO PRECIO FIJO'!$E$58,$C$82='RESULTADO PRECIO FIJO'!$D$58),'RESULTADO PRECIO FIJO'!H58,IF(AND('RESULTADO PRECIO FIJO'!$C$60="ALDRO",$H$42='RESULTADO PRECIO FIJO'!$E$60,$C$82='RESULTADO PRECIO FIJO'!$D$60),'RESULTADO PRECIO FIJO'!H60,IF(AND('RESULTADO PRECIO FIJO'!$C$62="ALDRO",$H$42='RESULTADO PRECIO FIJO'!$E$62,$C$82='RESULTADO PRECIO FIJO'!$D$62),'RESULTADO PRECIO FIJO'!H62,IF(AND('RESULTADO PRECIO FIJO'!$C$64="ALDRO",$H$42='RESULTADO PRECIO FIJO'!$E$64,$C$82='RESULTADO PRECIO FIJO'!$D$64),'RESULTADO PRECIO FIJO'!H64,IF(AND('RESULTADO PRECIO FIJO'!$C$66="ALDRO",$H$42='RESULTADO PRECIO FIJO'!$E$66,$C$82='RESULTADO PRECIO FIJO'!$D$66),'RESULTADO PRECIO FIJO'!H66,IF(AND('RESULTADO PRECIO FIJO'!$C$68="ALDRO",$H$42='RESULTADO PRECIO FIJO'!$E$68,$C$82='RESULTADO PRECIO FIJO'!$D$68),'RESULTADO PRECIO FIJO'!H68,IF(AND('RESULTADO PRECIO FIJO'!$C$70="ALDRO",$H$42='RESULTADO PRECIO FIJO'!$E$70,$C$82='RESULTADO PRECIO FIJO'!$D$70),'RESULTADO PRECIO FIJO'!H70,IF(AND('RESULTADO PRECIO FIJO'!$C$72="ALDRO",$H$42='RESULTADO PRECIO FIJO'!$E$72,$C$82='RESULTADO PRECIO FIJO'!$D$72),'RESULTADO PRECIO FIJO'!H72,IF(AND('RESULTADO PRECIO FIJO'!$C$74="ALDRO",$H$42='RESULTADO PRECIO FIJO'!$E$74,$C$82='RESULTADO PRECIO FIJO'!$D$74),'RESULTADO PRECIO FIJO'!H74,IF(AND('RESULTADO PRECIO FIJO'!$C$76="ALDRO",$H$42='RESULTADO PRECIO FIJO'!$E$76,$C$82='RESULTADO PRECIO FIJO'!$D$76),'RESULTADO PRECIO FIJO'!H76,IF(AND('RESULTADO PRECIO FIJO'!$C$78="ALDRO",$H$42='RESULTADO PRECIO FIJO'!$E$78,$C$82='RESULTADO PRECIO FIJO'!$D$78),'RESULTADO PRECIO FIJO'!H78,IF(AND('RESULTADO PRECIO FIJO'!$C$80="ALDRO",$H$42='RESULTADO PRECIO FIJO'!$E$80,$C$82='RESULTADO PRECIO FIJO'!$D$80),'RESULTADO PRECIO FIJO'!H80,IF(AND('RESULTADO PRECIO FIJO'!$C$82="ALDRO",$H$42='RESULTADO PRECIO FIJO'!$E$82,$C$82='RESULTADO PRECIO FIJO'!$D$82),'RESULTADO PRECIO FIJO'!H82,IF(AND('RESULTADO PRECIO FIJO'!$C$84="ALDRO",$H$42='RESULTADO PRECIO FIJO'!$E$84,$C$82='RESULTADO PRECIO FIJO'!$D$84),'RESULTADO PRECIO FIJO'!H84,IF(AND('RESULTADO PRECIO FIJO'!$C$86="ALDRO",$H$42='RESULTADO PRECIO FIJO'!$E$86,$C$82='RESULTADO PRECIO FIJO'!$D$86),'RESULTADO PRECIO FIJO'!H86))))))))))))))))))))))))</f>
        <v>3.1075999999999999E-2</v>
      </c>
      <c r="F84" s="14">
        <f>IF(AND('RESULTADO PRECIO FIJO'!$C$40="ALDRO",$H$42='RESULTADO PRECIO FIJO'!$E$40,$C$82='RESULTADO PRECIO FIJO'!$D$40),'RESULTADO PRECIO FIJO'!I40,IF(AND('RESULTADO PRECIO FIJO'!$C$42="ALDRO",$H$42='RESULTADO PRECIO FIJO'!$E$42,$C$82='RESULTADO PRECIO FIJO'!$D$42),'RESULTADO PRECIO FIJO'!I42,IF(AND('RESULTADO PRECIO FIJO'!$C$44="ALDRO",$H$42='RESULTADO PRECIO FIJO'!$E$44,$C$82='RESULTADO PRECIO FIJO'!$D$44),'RESULTADO PRECIO FIJO'!I44,IF(AND('RESULTADO PRECIO FIJO'!$C$46="ALDRO",$H$42='RESULTADO PRECIO FIJO'!$E$46,$C$82='RESULTADO PRECIO FIJO'!$D$46),'RESULTADO PRECIO FIJO'!I46,IF(AND('RESULTADO PRECIO FIJO'!$C$48="ALDRO",$H$42='RESULTADO PRECIO FIJO'!$E$48,$C$82='RESULTADO PRECIO FIJO'!$D$48),'RESULTADO PRECIO FIJO'!I48,IF(AND('RESULTADO PRECIO FIJO'!$C$50="ALDRO",$H$42='RESULTADO PRECIO FIJO'!$E$50,$C$82='RESULTADO PRECIO FIJO'!$D$50),'RESULTADO PRECIO FIJO'!I50,IF(AND('RESULTADO PRECIO FIJO'!$C$52="ALDRO",$H$42='RESULTADO PRECIO FIJO'!$E$52,$C$82='RESULTADO PRECIO FIJO'!$D$52),'RESULTADO PRECIO FIJO'!I52,IF(AND('RESULTADO PRECIO FIJO'!$C$54="ALDRO",$H$42='RESULTADO PRECIO FIJO'!$E$54,$C$82='RESULTADO PRECIO FIJO'!$D$54),'RESULTADO PRECIO FIJO'!I54,IF(AND('RESULTADO PRECIO FIJO'!$C$56="ALDRO",$H$42='RESULTADO PRECIO FIJO'!$E$56,$C$82='RESULTADO PRECIO FIJO'!$D$56),'RESULTADO PRECIO FIJO'!I56,IF(AND('RESULTADO PRECIO FIJO'!$C$58="ALDRO",$H$42='RESULTADO PRECIO FIJO'!$E$58,$C$82='RESULTADO PRECIO FIJO'!$D$58),'RESULTADO PRECIO FIJO'!I58,IF(AND('RESULTADO PRECIO FIJO'!$C$60="ALDRO",$H$42='RESULTADO PRECIO FIJO'!$E$60,$C$82='RESULTADO PRECIO FIJO'!$D$60),'RESULTADO PRECIO FIJO'!I60,IF(AND('RESULTADO PRECIO FIJO'!$C$62="ALDRO",$H$42='RESULTADO PRECIO FIJO'!$E$62,$C$82='RESULTADO PRECIO FIJO'!$D$62),'RESULTADO PRECIO FIJO'!I62,IF(AND('RESULTADO PRECIO FIJO'!$C$64="ALDRO",$H$42='RESULTADO PRECIO FIJO'!$E$64,$C$82='RESULTADO PRECIO FIJO'!$D$64),'RESULTADO PRECIO FIJO'!I64,IF(AND('RESULTADO PRECIO FIJO'!$C$66="ALDRO",$H$42='RESULTADO PRECIO FIJO'!$E$66,$C$82='RESULTADO PRECIO FIJO'!$D$66),'RESULTADO PRECIO FIJO'!I66,IF(AND('RESULTADO PRECIO FIJO'!$C$68="ALDRO",$H$42='RESULTADO PRECIO FIJO'!$E$68,$C$82='RESULTADO PRECIO FIJO'!$D$68),'RESULTADO PRECIO FIJO'!I68,IF(AND('RESULTADO PRECIO FIJO'!$C$70="ALDRO",$H$42='RESULTADO PRECIO FIJO'!$E$70,$C$82='RESULTADO PRECIO FIJO'!$D$70),'RESULTADO PRECIO FIJO'!I70,IF(AND('RESULTADO PRECIO FIJO'!$C$72="ALDRO",$H$42='RESULTADO PRECIO FIJO'!$E$72,$C$82='RESULTADO PRECIO FIJO'!$D$72),'RESULTADO PRECIO FIJO'!I72,IF(AND('RESULTADO PRECIO FIJO'!$C$74="ALDRO",$H$42='RESULTADO PRECIO FIJO'!$E$74,$C$82='RESULTADO PRECIO FIJO'!$D$74),'RESULTADO PRECIO FIJO'!I74,IF(AND('RESULTADO PRECIO FIJO'!$C$76="ALDRO",$H$42='RESULTADO PRECIO FIJO'!$E$76,$C$82='RESULTADO PRECIO FIJO'!$D$76),'RESULTADO PRECIO FIJO'!I76,IF(AND('RESULTADO PRECIO FIJO'!$C$78="ALDRO",$H$42='RESULTADO PRECIO FIJO'!$E$78,$C$82='RESULTADO PRECIO FIJO'!$D$78),'RESULTADO PRECIO FIJO'!I78,IF(AND('RESULTADO PRECIO FIJO'!$C$80="ALDRO",$H$42='RESULTADO PRECIO FIJO'!$E$80,$C$82='RESULTADO PRECIO FIJO'!$D$80),'RESULTADO PRECIO FIJO'!I80,IF(AND('RESULTADO PRECIO FIJO'!$C$82="ALDRO",$H$42='RESULTADO PRECIO FIJO'!$E$82,$C$82='RESULTADO PRECIO FIJO'!$D$82),'RESULTADO PRECIO FIJO'!I82,IF(AND('RESULTADO PRECIO FIJO'!$C$84="ALDRO",$H$42='RESULTADO PRECIO FIJO'!$E$84,$C$82='RESULTADO PRECIO FIJO'!$D$84),'RESULTADO PRECIO FIJO'!I84,IF(AND('RESULTADO PRECIO FIJO'!$C$86="ALDRO",$H$42='RESULTADO PRECIO FIJO'!$E$86,$C$82='RESULTADO PRECIO FIJO'!$D$86),'RESULTADO PRECIO FIJO'!I86))))))))))))))))))))))))</f>
        <v>0</v>
      </c>
      <c r="G84" s="14">
        <f>IF(AND('RESULTADO PRECIO FIJO'!$C$40="ALDRO",$H$42='RESULTADO PRECIO FIJO'!$E$40,$C$82='RESULTADO PRECIO FIJO'!$D$40),'RESULTADO PRECIO FIJO'!J40,IF(AND('RESULTADO PRECIO FIJO'!$C$42="ALDRO",$H$42='RESULTADO PRECIO FIJO'!$E$42,$C$82='RESULTADO PRECIO FIJO'!$D$42),'RESULTADO PRECIO FIJO'!J42,IF(AND('RESULTADO PRECIO FIJO'!$C$44="ALDRO",$H$42='RESULTADO PRECIO FIJO'!$E$44,$C$82='RESULTADO PRECIO FIJO'!$D$44),'RESULTADO PRECIO FIJO'!J44,IF(AND('RESULTADO PRECIO FIJO'!$C$46="ALDRO",$H$42='RESULTADO PRECIO FIJO'!$E$46,$C$82='RESULTADO PRECIO FIJO'!$D$46),'RESULTADO PRECIO FIJO'!J46,IF(AND('RESULTADO PRECIO FIJO'!$C$48="ALDRO",$H$42='RESULTADO PRECIO FIJO'!$E$48,$C$82='RESULTADO PRECIO FIJO'!$D$48),'RESULTADO PRECIO FIJO'!J48,IF(AND('RESULTADO PRECIO FIJO'!$C$50="ALDRO",$H$42='RESULTADO PRECIO FIJO'!$E$50,$C$82='RESULTADO PRECIO FIJO'!$D$50),'RESULTADO PRECIO FIJO'!J50,IF(AND('RESULTADO PRECIO FIJO'!$C$52="ALDRO",$H$42='RESULTADO PRECIO FIJO'!$E$52,$C$82='RESULTADO PRECIO FIJO'!$D$52),'RESULTADO PRECIO FIJO'!J52,IF(AND('RESULTADO PRECIO FIJO'!$C$54="ALDRO",$H$42='RESULTADO PRECIO FIJO'!$E$54,$C$82='RESULTADO PRECIO FIJO'!$D$54),'RESULTADO PRECIO FIJO'!J54,IF(AND('RESULTADO PRECIO FIJO'!$C$56="ALDRO",$H$42='RESULTADO PRECIO FIJO'!$E$56,$C$82='RESULTADO PRECIO FIJO'!$D$56),'RESULTADO PRECIO FIJO'!J56,IF(AND('RESULTADO PRECIO FIJO'!$C$58="ALDRO",$H$42='RESULTADO PRECIO FIJO'!$E$58,$C$82='RESULTADO PRECIO FIJO'!$D$58),'RESULTADO PRECIO FIJO'!J58,IF(AND('RESULTADO PRECIO FIJO'!$C$60="ALDRO",$H$42='RESULTADO PRECIO FIJO'!$E$60,$C$82='RESULTADO PRECIO FIJO'!$D$60),'RESULTADO PRECIO FIJO'!J60,IF(AND('RESULTADO PRECIO FIJO'!$C$62="ALDRO",$H$42='RESULTADO PRECIO FIJO'!$E$62,$C$82='RESULTADO PRECIO FIJO'!$D$62),'RESULTADO PRECIO FIJO'!J62,IF(AND('RESULTADO PRECIO FIJO'!$C$64="ALDRO",$H$42='RESULTADO PRECIO FIJO'!$E$64,$C$82='RESULTADO PRECIO FIJO'!$D$64),'RESULTADO PRECIO FIJO'!J64,IF(AND('RESULTADO PRECIO FIJO'!$C$66="ALDRO",$H$42='RESULTADO PRECIO FIJO'!$E$66,$C$82='RESULTADO PRECIO FIJO'!$D$66),'RESULTADO PRECIO FIJO'!J66,IF(AND('RESULTADO PRECIO FIJO'!$C$68="ALDRO",$H$42='RESULTADO PRECIO FIJO'!$E$68,$C$82='RESULTADO PRECIO FIJO'!$D$68),'RESULTADO PRECIO FIJO'!J68,IF(AND('RESULTADO PRECIO FIJO'!$C$70="ALDRO",$H$42='RESULTADO PRECIO FIJO'!$E$70,$C$82='RESULTADO PRECIO FIJO'!$D$70),'RESULTADO PRECIO FIJO'!J70,IF(AND('RESULTADO PRECIO FIJO'!$C$72="ALDRO",$H$42='RESULTADO PRECIO FIJO'!$E$72,$C$82='RESULTADO PRECIO FIJO'!$D$72),'RESULTADO PRECIO FIJO'!J72,IF(AND('RESULTADO PRECIO FIJO'!$C$74="ALDRO",$H$42='RESULTADO PRECIO FIJO'!$E$74,$C$82='RESULTADO PRECIO FIJO'!$D$74),'RESULTADO PRECIO FIJO'!J74,IF(AND('RESULTADO PRECIO FIJO'!$C$76="ALDRO",$H$42='RESULTADO PRECIO FIJO'!$E$76,$C$82='RESULTADO PRECIO FIJO'!$D$76),'RESULTADO PRECIO FIJO'!J76,IF(AND('RESULTADO PRECIO FIJO'!$C$78="ALDRO",$H$42='RESULTADO PRECIO FIJO'!$E$78,$C$82='RESULTADO PRECIO FIJO'!$D$78),'RESULTADO PRECIO FIJO'!J78,IF(AND('RESULTADO PRECIO FIJO'!$C$80="ALDRO",$H$42='RESULTADO PRECIO FIJO'!$E$80,$C$82='RESULTADO PRECIO FIJO'!$D$80),'RESULTADO PRECIO FIJO'!J80,IF(AND('RESULTADO PRECIO FIJO'!$C$82="ALDRO",$H$42='RESULTADO PRECIO FIJO'!$E$82,$C$82='RESULTADO PRECIO FIJO'!$D$82),'RESULTADO PRECIO FIJO'!J82,IF(AND('RESULTADO PRECIO FIJO'!$C$84="ALDRO",$H$42='RESULTADO PRECIO FIJO'!$E$84,$C$82='RESULTADO PRECIO FIJO'!$D$84),'RESULTADO PRECIO FIJO'!J84,IF(AND('RESULTADO PRECIO FIJO'!$C$86="ALDRO",$H$42='RESULTADO PRECIO FIJO'!$E$86,$C$82='RESULTADO PRECIO FIJO'!$D$86),'RESULTADO PRECIO FIJO'!J86))))))))))))))))))))))))</f>
        <v>0</v>
      </c>
      <c r="H84" s="14">
        <f>IF(AND('RESULTADO PRECIO FIJO'!$C$40="ALDRO",$H$42='RESULTADO PRECIO FIJO'!$E$40,$C$82='RESULTADO PRECIO FIJO'!$D$40),'RESULTADO PRECIO FIJO'!K40,IF(AND('RESULTADO PRECIO FIJO'!$C$42="ALDRO",$H$42='RESULTADO PRECIO FIJO'!$E$42,$C$82='RESULTADO PRECIO FIJO'!$D$42),'RESULTADO PRECIO FIJO'!K42,IF(AND('RESULTADO PRECIO FIJO'!$C$44="ALDRO",$H$42='RESULTADO PRECIO FIJO'!$E$44,$C$82='RESULTADO PRECIO FIJO'!$D$44),'RESULTADO PRECIO FIJO'!K44,IF(AND('RESULTADO PRECIO FIJO'!$C$46="ALDRO",$H$42='RESULTADO PRECIO FIJO'!$E$46,$C$82='RESULTADO PRECIO FIJO'!$D$46),'RESULTADO PRECIO FIJO'!K46,IF(AND('RESULTADO PRECIO FIJO'!$C$48="ALDRO",$H$42='RESULTADO PRECIO FIJO'!$E$48,$C$82='RESULTADO PRECIO FIJO'!$D$48),'RESULTADO PRECIO FIJO'!K48,IF(AND('RESULTADO PRECIO FIJO'!$C$50="ALDRO",$H$42='RESULTADO PRECIO FIJO'!$E$50,$C$82='RESULTADO PRECIO FIJO'!$D$50),'RESULTADO PRECIO FIJO'!K50,IF(AND('RESULTADO PRECIO FIJO'!$C$52="ALDRO",$H$42='RESULTADO PRECIO FIJO'!$E$52,$C$82='RESULTADO PRECIO FIJO'!$D$52),'RESULTADO PRECIO FIJO'!K52,IF(AND('RESULTADO PRECIO FIJO'!$C$54="ALDRO",$H$42='RESULTADO PRECIO FIJO'!$E$54,$C$82='RESULTADO PRECIO FIJO'!$D$54),'RESULTADO PRECIO FIJO'!K54,IF(AND('RESULTADO PRECIO FIJO'!$C$56="ALDRO",$H$42='RESULTADO PRECIO FIJO'!$E$56,$C$82='RESULTADO PRECIO FIJO'!$D$56),'RESULTADO PRECIO FIJO'!K56,IF(AND('RESULTADO PRECIO FIJO'!$C$58="ALDRO",$H$42='RESULTADO PRECIO FIJO'!$E$58,$C$82='RESULTADO PRECIO FIJO'!$D$58),'RESULTADO PRECIO FIJO'!K58,IF(AND('RESULTADO PRECIO FIJO'!$C$60="ALDRO",$H$42='RESULTADO PRECIO FIJO'!$E$60,$C$82='RESULTADO PRECIO FIJO'!$D$60),'RESULTADO PRECIO FIJO'!K60,IF(AND('RESULTADO PRECIO FIJO'!$C$62="ALDRO",$H$42='RESULTADO PRECIO FIJO'!$E$62,$C$82='RESULTADO PRECIO FIJO'!$D$62),'RESULTADO PRECIO FIJO'!K62,IF(AND('RESULTADO PRECIO FIJO'!$C$64="ALDRO",$H$42='RESULTADO PRECIO FIJO'!$E$64,$C$82='RESULTADO PRECIO FIJO'!$D$64),'RESULTADO PRECIO FIJO'!K64,IF(AND('RESULTADO PRECIO FIJO'!$C$66="ALDRO",$H$42='RESULTADO PRECIO FIJO'!$E$66,$C$82='RESULTADO PRECIO FIJO'!$D$66),'RESULTADO PRECIO FIJO'!K66,IF(AND('RESULTADO PRECIO FIJO'!$C$68="ALDRO",$H$42='RESULTADO PRECIO FIJO'!$E$68,$C$82='RESULTADO PRECIO FIJO'!$D$68),'RESULTADO PRECIO FIJO'!K68,IF(AND('RESULTADO PRECIO FIJO'!$C$70="ALDRO",$H$42='RESULTADO PRECIO FIJO'!$E$70,$C$82='RESULTADO PRECIO FIJO'!$D$70),'RESULTADO PRECIO FIJO'!K70,IF(AND('RESULTADO PRECIO FIJO'!$C$72="ALDRO",$H$42='RESULTADO PRECIO FIJO'!$E$72,$C$82='RESULTADO PRECIO FIJO'!$D$72),'RESULTADO PRECIO FIJO'!K72,IF(AND('RESULTADO PRECIO FIJO'!$C$74="ALDRO",$H$42='RESULTADO PRECIO FIJO'!$E$74,$C$82='RESULTADO PRECIO FIJO'!$D$74),'RESULTADO PRECIO FIJO'!K74,IF(AND('RESULTADO PRECIO FIJO'!$C$76="ALDRO",$H$42='RESULTADO PRECIO FIJO'!$E$76,$C$82='RESULTADO PRECIO FIJO'!$D$76),'RESULTADO PRECIO FIJO'!K76,IF(AND('RESULTADO PRECIO FIJO'!$C$78="ALDRO",$H$42='RESULTADO PRECIO FIJO'!$E$78,$C$82='RESULTADO PRECIO FIJO'!$D$78),'RESULTADO PRECIO FIJO'!K78,IF(AND('RESULTADO PRECIO FIJO'!$C$80="ALDRO",$H$42='RESULTADO PRECIO FIJO'!$E$80,$C$82='RESULTADO PRECIO FIJO'!$D$80),'RESULTADO PRECIO FIJO'!K80,IF(AND('RESULTADO PRECIO FIJO'!$C$82="ALDRO",$H$42='RESULTADO PRECIO FIJO'!$E$82,$C$82='RESULTADO PRECIO FIJO'!$D$82),'RESULTADO PRECIO FIJO'!K82,IF(AND('RESULTADO PRECIO FIJO'!$C$84="ALDRO",$H$42='RESULTADO PRECIO FIJO'!$E$84,$C$82='RESULTADO PRECIO FIJO'!$D$84),'RESULTADO PRECIO FIJO'!K84,IF(AND('RESULTADO PRECIO FIJO'!$C$86="ALDRO",$H$42='RESULTADO PRECIO FIJO'!$E$86,$C$82='RESULTADO PRECIO FIJO'!$D$86),'RESULTADO PRECIO FIJO'!K86))))))))))))))))))))))))</f>
        <v>0</v>
      </c>
      <c r="I84" s="14">
        <f>IF(AND('RESULTADO PRECIO FIJO'!$C$40="ALDRO",$H$42='RESULTADO PRECIO FIJO'!$E$40,$C$82='RESULTADO PRECIO FIJO'!$D$40),'RESULTADO PRECIO FIJO'!L40,IF(AND('RESULTADO PRECIO FIJO'!$C$42="ALDRO",$H$42='RESULTADO PRECIO FIJO'!$E$42,$C$82='RESULTADO PRECIO FIJO'!$D$42),'RESULTADO PRECIO FIJO'!L42,IF(AND('RESULTADO PRECIO FIJO'!$C$44="ALDRO",$H$42='RESULTADO PRECIO FIJO'!$E$44,$C$82='RESULTADO PRECIO FIJO'!$D$44),'RESULTADO PRECIO FIJO'!L44,IF(AND('RESULTADO PRECIO FIJO'!$C$46="ALDRO",$H$42='RESULTADO PRECIO FIJO'!$E$46,$C$82='RESULTADO PRECIO FIJO'!$D$46),'RESULTADO PRECIO FIJO'!L46,IF(AND('RESULTADO PRECIO FIJO'!$C$48="ALDRO",$H$42='RESULTADO PRECIO FIJO'!$E$48,$C$82='RESULTADO PRECIO FIJO'!$D$48),'RESULTADO PRECIO FIJO'!L48,IF(AND('RESULTADO PRECIO FIJO'!$C$50="ALDRO",$H$42='RESULTADO PRECIO FIJO'!$E$50,$C$82='RESULTADO PRECIO FIJO'!$D$50),'RESULTADO PRECIO FIJO'!L50,IF(AND('RESULTADO PRECIO FIJO'!$C$52="ALDRO",$H$42='RESULTADO PRECIO FIJO'!$E$52,$C$82='RESULTADO PRECIO FIJO'!$D$52),'RESULTADO PRECIO FIJO'!L52,IF(AND('RESULTADO PRECIO FIJO'!$C$54="ALDRO",$H$42='RESULTADO PRECIO FIJO'!$E$54,$C$82='RESULTADO PRECIO FIJO'!$D$54),'RESULTADO PRECIO FIJO'!L54,IF(AND('RESULTADO PRECIO FIJO'!$C$56="ALDRO",$H$42='RESULTADO PRECIO FIJO'!$E$56,$C$82='RESULTADO PRECIO FIJO'!$D$56),'RESULTADO PRECIO FIJO'!L56,IF(AND('RESULTADO PRECIO FIJO'!$C$58="ALDRO",$H$42='RESULTADO PRECIO FIJO'!$E$58,$C$82='RESULTADO PRECIO FIJO'!$D$58),'RESULTADO PRECIO FIJO'!L58,IF(AND('RESULTADO PRECIO FIJO'!$C$60="ALDRO",$H$42='RESULTADO PRECIO FIJO'!$E$60,$C$82='RESULTADO PRECIO FIJO'!$D$60),'RESULTADO PRECIO FIJO'!L60,IF(AND('RESULTADO PRECIO FIJO'!$C$62="ALDRO",$H$42='RESULTADO PRECIO FIJO'!$E$62,$C$82='RESULTADO PRECIO FIJO'!$D$62),'RESULTADO PRECIO FIJO'!L62,IF(AND('RESULTADO PRECIO FIJO'!$C$64="ALDRO",$H$42='RESULTADO PRECIO FIJO'!$E$64,$C$82='RESULTADO PRECIO FIJO'!$D$64),'RESULTADO PRECIO FIJO'!L64,IF(AND('RESULTADO PRECIO FIJO'!$C$66="ALDRO",$H$42='RESULTADO PRECIO FIJO'!$E$66,$C$82='RESULTADO PRECIO FIJO'!$D$66),'RESULTADO PRECIO FIJO'!L66,IF(AND('RESULTADO PRECIO FIJO'!$C$68="ALDRO",$H$42='RESULTADO PRECIO FIJO'!$E$68,$C$82='RESULTADO PRECIO FIJO'!$D$68),'RESULTADO PRECIO FIJO'!L68,IF(AND('RESULTADO PRECIO FIJO'!$C$70="ALDRO",$H$42='RESULTADO PRECIO FIJO'!$E$70,$C$82='RESULTADO PRECIO FIJO'!$D$70),'RESULTADO PRECIO FIJO'!L70,IF(AND('RESULTADO PRECIO FIJO'!$C$72="ALDRO",$H$42='RESULTADO PRECIO FIJO'!$E$72,$C$82='RESULTADO PRECIO FIJO'!$D$72),'RESULTADO PRECIO FIJO'!L72,IF(AND('RESULTADO PRECIO FIJO'!$C$74="ALDRO",$H$42='RESULTADO PRECIO FIJO'!$E$74,$C$82='RESULTADO PRECIO FIJO'!$D$74),'RESULTADO PRECIO FIJO'!L74,IF(AND('RESULTADO PRECIO FIJO'!$C$76="ALDRO",$H$42='RESULTADO PRECIO FIJO'!$E$76,$C$82='RESULTADO PRECIO FIJO'!$D$76),'RESULTADO PRECIO FIJO'!L76,IF(AND('RESULTADO PRECIO FIJO'!$C$78="ALDRO",$H$42='RESULTADO PRECIO FIJO'!$E$78,$C$82='RESULTADO PRECIO FIJO'!$D$78),'RESULTADO PRECIO FIJO'!L78,IF(AND('RESULTADO PRECIO FIJO'!$C$80="ALDRO",$H$42='RESULTADO PRECIO FIJO'!$E$80,$C$82='RESULTADO PRECIO FIJO'!$D$80),'RESULTADO PRECIO FIJO'!L80,IF(AND('RESULTADO PRECIO FIJO'!$C$82="ALDRO",$H$42='RESULTADO PRECIO FIJO'!$E$82,$C$82='RESULTADO PRECIO FIJO'!$D$82),'RESULTADO PRECIO FIJO'!L82,IF(AND('RESULTADO PRECIO FIJO'!$C$84="ALDRO",$H$42='RESULTADO PRECIO FIJO'!$E$84,$C$82='RESULTADO PRECIO FIJO'!$D$84),'RESULTADO PRECIO FIJO'!L84,IF(AND('RESULTADO PRECIO FIJO'!$C$86="ALDRO",$H$42='RESULTADO PRECIO FIJO'!$E$86,$C$82='RESULTADO PRECIO FIJO'!$D$86),'RESULTADO PRECIO FIJO'!L86))))))))))))))))))))))))</f>
        <v>0</v>
      </c>
      <c r="K84" s="143"/>
    </row>
    <row r="85" spans="1:11" ht="13.5" customHeight="1">
      <c r="B85" s="84"/>
      <c r="C85" s="4" t="s">
        <v>118</v>
      </c>
      <c r="D85" s="14">
        <f>IF(AND('RESULTADO PRECIO FIJO'!$C$40="ALDRO",$H$42='RESULTADO PRECIO FIJO'!$E$40,$C$82='RESULTADO PRECIO FIJO'!$D$40),'RESULTADO PRECIO FIJO'!G41,IF(AND('RESULTADO PRECIO FIJO'!$C$42="ALDRO",$H$42='RESULTADO PRECIO FIJO'!$E$42,$C$82='RESULTADO PRECIO FIJO'!$D$42),'RESULTADO PRECIO FIJO'!G43,IF(AND('RESULTADO PRECIO FIJO'!$C$44="ALDRO",$H$42='RESULTADO PRECIO FIJO'!$E$44,$C$82='RESULTADO PRECIO FIJO'!$D$44),'RESULTADO PRECIO FIJO'!G45,IF(AND('RESULTADO PRECIO FIJO'!$C$46="ALDRO",$H$42='RESULTADO PRECIO FIJO'!$E$46,$C$82='RESULTADO PRECIO FIJO'!$D$46),'RESULTADO PRECIO FIJO'!G47,IF(AND('RESULTADO PRECIO FIJO'!$C$48="ALDRO",$H$42='RESULTADO PRECIO FIJO'!$E$48,$C$82='RESULTADO PRECIO FIJO'!$D$48),'RESULTADO PRECIO FIJO'!G49,IF(AND('RESULTADO PRECIO FIJO'!$C$50="ALDRO",$H$42='RESULTADO PRECIO FIJO'!$E$50,$C$82='RESULTADO PRECIO FIJO'!$D$50),'RESULTADO PRECIO FIJO'!G51,IF(AND('RESULTADO PRECIO FIJO'!$C$52="ALDRO",$H$42='RESULTADO PRECIO FIJO'!$E$52,$C$82='RESULTADO PRECIO FIJO'!$D$52),'RESULTADO PRECIO FIJO'!G53,IF(AND('RESULTADO PRECIO FIJO'!$C$54="ALDRO",$H$42='RESULTADO PRECIO FIJO'!$E$54,$C$82='RESULTADO PRECIO FIJO'!$D$54),'RESULTADO PRECIO FIJO'!G55,IF(AND('RESULTADO PRECIO FIJO'!$C$56="ALDRO",$H$42='RESULTADO PRECIO FIJO'!$E$56,$C$82='RESULTADO PRECIO FIJO'!$D$56),'RESULTADO PRECIO FIJO'!G57,IF(AND('RESULTADO PRECIO FIJO'!$C$58="ALDRO",$H$42='RESULTADO PRECIO FIJO'!$E$58,$C$82='RESULTADO PRECIO FIJO'!$D$58),'RESULTADO PRECIO FIJO'!G59,IF(AND('RESULTADO PRECIO FIJO'!$C$60="ALDRO",$H$42='RESULTADO PRECIO FIJO'!$E$60,$C$82='RESULTADO PRECIO FIJO'!$D$60),'RESULTADO PRECIO FIJO'!G61,IF(AND('RESULTADO PRECIO FIJO'!$C$62="ALDRO",$H$42='RESULTADO PRECIO FIJO'!$E$62,$C$82='RESULTADO PRECIO FIJO'!$D$62),'RESULTADO PRECIO FIJO'!G63,IF(AND('RESULTADO PRECIO FIJO'!$C$64="ALDRO",$H$42='RESULTADO PRECIO FIJO'!$E$64,$C$82='RESULTADO PRECIO FIJO'!$D$64),'RESULTADO PRECIO FIJO'!G65,IF(AND('RESULTADO PRECIO FIJO'!$C$66="ALDRO",$H$42='RESULTADO PRECIO FIJO'!$E$66,$C$82='RESULTADO PRECIO FIJO'!$D$66),'RESULTADO PRECIO FIJO'!G67,IF(AND('RESULTADO PRECIO FIJO'!$C$68="ALDRO",$H$42='RESULTADO PRECIO FIJO'!$E$68,$C$82='RESULTADO PRECIO FIJO'!$D$68),'RESULTADO PRECIO FIJO'!G69,IF(AND('RESULTADO PRECIO FIJO'!$C$70="ALDRO",$H$42='RESULTADO PRECIO FIJO'!$E$70,$C$82='RESULTADO PRECIO FIJO'!$D$70),'RESULTADO PRECIO FIJO'!G71,IF(AND('RESULTADO PRECIO FIJO'!$C$72="ALDRO",$H$42='RESULTADO PRECIO FIJO'!$E$72,$C$82='RESULTADO PRECIO FIJO'!$D$72),'RESULTADO PRECIO FIJO'!G73,IF(AND('RESULTADO PRECIO FIJO'!$C$74="ALDRO",$H$42='RESULTADO PRECIO FIJO'!$E$74,$C$82='RESULTADO PRECIO FIJO'!$D$74),'RESULTADO PRECIO FIJO'!G75,IF(AND('RESULTADO PRECIO FIJO'!$C$76="ALDRO",$H$42='RESULTADO PRECIO FIJO'!$E$76,$C$82='RESULTADO PRECIO FIJO'!$D$76),'RESULTADO PRECIO FIJO'!G77,IF(AND('RESULTADO PRECIO FIJO'!$C$78="ALDRO",$H$42='RESULTADO PRECIO FIJO'!$E$78,$C$82='RESULTADO PRECIO FIJO'!$D$78),'RESULTADO PRECIO FIJO'!G79,IF(AND('RESULTADO PRECIO FIJO'!$C$80="ALDRO",$H$42='RESULTADO PRECIO FIJO'!$E$80,$C$82='RESULTADO PRECIO FIJO'!$D$80),'RESULTADO PRECIO FIJO'!G81,IF(AND('RESULTADO PRECIO FIJO'!$C$82="ALDRO",$H$42='RESULTADO PRECIO FIJO'!$E$82,$C$82='RESULTADO PRECIO FIJO'!$D$82),'RESULTADO PRECIO FIJO'!G83,IF(AND('RESULTADO PRECIO FIJO'!$C$84="ALDRO",$H$42='RESULTADO PRECIO FIJO'!$E$84,$C$82='RESULTADO PRECIO FIJO'!$D$84),'RESULTADO PRECIO FIJO'!G85,IF(AND('RESULTADO PRECIO FIJO'!$C$86="ALDRO",$H$42='RESULTADO PRECIO FIJO'!$E$86,$C$82='RESULTADO PRECIO FIJO'!$D$86),'RESULTADO PRECIO FIJO'!G87))))))))))))))))))))))))</f>
        <v>0.31842799999999999</v>
      </c>
      <c r="E85" s="14">
        <f>IF(AND('RESULTADO PRECIO FIJO'!$C$40="ALDRO",$H$42='RESULTADO PRECIO FIJO'!$E$40,$C$82='RESULTADO PRECIO FIJO'!$D$40),'RESULTADO PRECIO FIJO'!H41,IF(AND('RESULTADO PRECIO FIJO'!$C$42="ALDRO",$H$42='RESULTADO PRECIO FIJO'!$E$42,$C$82='RESULTADO PRECIO FIJO'!$D$42),'RESULTADO PRECIO FIJO'!H43,IF(AND('RESULTADO PRECIO FIJO'!$C$44="ALDRO",$H$42='RESULTADO PRECIO FIJO'!$E$44,$C$82='RESULTADO PRECIO FIJO'!$D$44),'RESULTADO PRECIO FIJO'!H45,IF(AND('RESULTADO PRECIO FIJO'!$C$46="ALDRO",$H$42='RESULTADO PRECIO FIJO'!$E$46,$C$82='RESULTADO PRECIO FIJO'!$D$46),'RESULTADO PRECIO FIJO'!H47,IF(AND('RESULTADO PRECIO FIJO'!$C$48="ALDRO",$H$42='RESULTADO PRECIO FIJO'!$E$48,$C$82='RESULTADO PRECIO FIJO'!$D$48),'RESULTADO PRECIO FIJO'!H49,IF(AND('RESULTADO PRECIO FIJO'!$C$50="ALDRO",$H$42='RESULTADO PRECIO FIJO'!$E$50,$C$82='RESULTADO PRECIO FIJO'!$D$50),'RESULTADO PRECIO FIJO'!H51,IF(AND('RESULTADO PRECIO FIJO'!$C$52="ALDRO",$H$42='RESULTADO PRECIO FIJO'!$E$52,$C$82='RESULTADO PRECIO FIJO'!$D$52),'RESULTADO PRECIO FIJO'!H53,IF(AND('RESULTADO PRECIO FIJO'!$C$54="ALDRO",$H$42='RESULTADO PRECIO FIJO'!$E$54,$C$82='RESULTADO PRECIO FIJO'!$D$54),'RESULTADO PRECIO FIJO'!H55,IF(AND('RESULTADO PRECIO FIJO'!$C$56="ALDRO",$H$42='RESULTADO PRECIO FIJO'!$E$56,$C$82='RESULTADO PRECIO FIJO'!$D$56),'RESULTADO PRECIO FIJO'!H57,IF(AND('RESULTADO PRECIO FIJO'!$C$58="ALDRO",$H$42='RESULTADO PRECIO FIJO'!$E$58,$C$82='RESULTADO PRECIO FIJO'!$D$58),'RESULTADO PRECIO FIJO'!H59,IF(AND('RESULTADO PRECIO FIJO'!$C$60="ALDRO",$H$42='RESULTADO PRECIO FIJO'!$E$60,$C$82='RESULTADO PRECIO FIJO'!$D$60),'RESULTADO PRECIO FIJO'!H61,IF(AND('RESULTADO PRECIO FIJO'!$C$62="ALDRO",$H$42='RESULTADO PRECIO FIJO'!$E$62,$C$82='RESULTADO PRECIO FIJO'!$D$62),'RESULTADO PRECIO FIJO'!H63,IF(AND('RESULTADO PRECIO FIJO'!$C$64="ALDRO",$H$42='RESULTADO PRECIO FIJO'!$E$64,$C$82='RESULTADO PRECIO FIJO'!$D$64),'RESULTADO PRECIO FIJO'!H65,IF(AND('RESULTADO PRECIO FIJO'!$C$66="ALDRO",$H$42='RESULTADO PRECIO FIJO'!$E$66,$C$82='RESULTADO PRECIO FIJO'!$D$66),'RESULTADO PRECIO FIJO'!H67,IF(AND('RESULTADO PRECIO FIJO'!$C$68="ALDRO",$H$42='RESULTADO PRECIO FIJO'!$E$68,$C$82='RESULTADO PRECIO FIJO'!$D$68),'RESULTADO PRECIO FIJO'!H69,IF(AND('RESULTADO PRECIO FIJO'!$C$70="ALDRO",$H$42='RESULTADO PRECIO FIJO'!$E$70,$C$82='RESULTADO PRECIO FIJO'!$D$70),'RESULTADO PRECIO FIJO'!H71,IF(AND('RESULTADO PRECIO FIJO'!$C$72="ALDRO",$H$42='RESULTADO PRECIO FIJO'!$E$72,$C$82='RESULTADO PRECIO FIJO'!$D$72),'RESULTADO PRECIO FIJO'!H73,IF(AND('RESULTADO PRECIO FIJO'!$C$74="ALDRO",$H$42='RESULTADO PRECIO FIJO'!$E$74,$C$82='RESULTADO PRECIO FIJO'!$D$74),'RESULTADO PRECIO FIJO'!H75,IF(AND('RESULTADO PRECIO FIJO'!$C$76="ALDRO",$H$42='RESULTADO PRECIO FIJO'!$E$76,$C$82='RESULTADO PRECIO FIJO'!$D$76),'RESULTADO PRECIO FIJO'!H77,IF(AND('RESULTADO PRECIO FIJO'!$C$78="ALDRO",$H$42='RESULTADO PRECIO FIJO'!$E$78,$C$82='RESULTADO PRECIO FIJO'!$D$78),'RESULTADO PRECIO FIJO'!H79,IF(AND('RESULTADO PRECIO FIJO'!$C$80="ALDRO",$H$42='RESULTADO PRECIO FIJO'!$E$80,$C$82='RESULTADO PRECIO FIJO'!$D$80),'RESULTADO PRECIO FIJO'!H81,IF(AND('RESULTADO PRECIO FIJO'!$C$82="ALDRO",$H$42='RESULTADO PRECIO FIJO'!$E$82,$C$82='RESULTADO PRECIO FIJO'!$D$82),'RESULTADO PRECIO FIJO'!H83,IF(AND('RESULTADO PRECIO FIJO'!$C$84="ALDRO",$H$42='RESULTADO PRECIO FIJO'!$E$84,$C$82='RESULTADO PRECIO FIJO'!$D$84),'RESULTADO PRECIO FIJO'!H85,IF(AND('RESULTADO PRECIO FIJO'!$C$86="ALDRO",$H$42='RESULTADO PRECIO FIJO'!$E$86,$C$82='RESULTADO PRECIO FIJO'!$D$86),'RESULTADO PRECIO FIJO'!H87))))))))))))))))))))))))</f>
        <v>0.258627</v>
      </c>
      <c r="F85" s="14">
        <f>IF(AND('RESULTADO PRECIO FIJO'!$C$40="ALDRO",$H$42='RESULTADO PRECIO FIJO'!$E$40,$C$82='RESULTADO PRECIO FIJO'!$D$40),'RESULTADO PRECIO FIJO'!I41,IF(AND('RESULTADO PRECIO FIJO'!$C$42="ALDRO",$H$42='RESULTADO PRECIO FIJO'!$E$42,$C$82='RESULTADO PRECIO FIJO'!$D$42),'RESULTADO PRECIO FIJO'!I43,IF(AND('RESULTADO PRECIO FIJO'!$C$44="ALDRO",$H$42='RESULTADO PRECIO FIJO'!$E$44,$C$82='RESULTADO PRECIO FIJO'!$D$44),'RESULTADO PRECIO FIJO'!I45,IF(AND('RESULTADO PRECIO FIJO'!$C$46="ALDRO",$H$42='RESULTADO PRECIO FIJO'!$E$46,$C$82='RESULTADO PRECIO FIJO'!$D$46),'RESULTADO PRECIO FIJO'!I47,IF(AND('RESULTADO PRECIO FIJO'!$C$48="ALDRO",$H$42='RESULTADO PRECIO FIJO'!$E$48,$C$82='RESULTADO PRECIO FIJO'!$D$48),'RESULTADO PRECIO FIJO'!I49,IF(AND('RESULTADO PRECIO FIJO'!$C$50="ALDRO",$H$42='RESULTADO PRECIO FIJO'!$E$50,$C$82='RESULTADO PRECIO FIJO'!$D$50),'RESULTADO PRECIO FIJO'!I51,IF(AND('RESULTADO PRECIO FIJO'!$C$52="ALDRO",$H$42='RESULTADO PRECIO FIJO'!$E$52,$C$82='RESULTADO PRECIO FIJO'!$D$52),'RESULTADO PRECIO FIJO'!I53,IF(AND('RESULTADO PRECIO FIJO'!$C$54="ALDRO",$H$42='RESULTADO PRECIO FIJO'!$E$54,$C$82='RESULTADO PRECIO FIJO'!$D$54),'RESULTADO PRECIO FIJO'!I55,IF(AND('RESULTADO PRECIO FIJO'!$C$56="ALDRO",$H$42='RESULTADO PRECIO FIJO'!$E$56,$C$82='RESULTADO PRECIO FIJO'!$D$56),'RESULTADO PRECIO FIJO'!I57,IF(AND('RESULTADO PRECIO FIJO'!$C$58="ALDRO",$H$42='RESULTADO PRECIO FIJO'!$E$58,$C$82='RESULTADO PRECIO FIJO'!$D$58),'RESULTADO PRECIO FIJO'!I59,IF(AND('RESULTADO PRECIO FIJO'!$C$60="ALDRO",$H$42='RESULTADO PRECIO FIJO'!$E$60,$C$82='RESULTADO PRECIO FIJO'!$D$60),'RESULTADO PRECIO FIJO'!I61,IF(AND('RESULTADO PRECIO FIJO'!$C$62="ALDRO",$H$42='RESULTADO PRECIO FIJO'!$E$62,$C$82='RESULTADO PRECIO FIJO'!$D$62),'RESULTADO PRECIO FIJO'!I63,IF(AND('RESULTADO PRECIO FIJO'!$C$64="ALDRO",$H$42='RESULTADO PRECIO FIJO'!$E$64,$C$82='RESULTADO PRECIO FIJO'!$D$64),'RESULTADO PRECIO FIJO'!I65,IF(AND('RESULTADO PRECIO FIJO'!$C$66="ALDRO",$H$42='RESULTADO PRECIO FIJO'!$E$66,$C$82='RESULTADO PRECIO FIJO'!$D$66),'RESULTADO PRECIO FIJO'!I67,IF(AND('RESULTADO PRECIO FIJO'!$C$68="ALDRO",$H$42='RESULTADO PRECIO FIJO'!$E$68,$C$82='RESULTADO PRECIO FIJO'!$D$68),'RESULTADO PRECIO FIJO'!I69,IF(AND('RESULTADO PRECIO FIJO'!$C$70="ALDRO",$H$42='RESULTADO PRECIO FIJO'!$E$70,$C$82='RESULTADO PRECIO FIJO'!$D$70),'RESULTADO PRECIO FIJO'!I71,IF(AND('RESULTADO PRECIO FIJO'!$C$72="ALDRO",$H$42='RESULTADO PRECIO FIJO'!$E$72,$C$82='RESULTADO PRECIO FIJO'!$D$72),'RESULTADO PRECIO FIJO'!I73,IF(AND('RESULTADO PRECIO FIJO'!$C$74="ALDRO",$H$42='RESULTADO PRECIO FIJO'!$E$74,$C$82='RESULTADO PRECIO FIJO'!$D$74),'RESULTADO PRECIO FIJO'!I75,IF(AND('RESULTADO PRECIO FIJO'!$C$76="ALDRO",$H$42='RESULTADO PRECIO FIJO'!$E$76,$C$82='RESULTADO PRECIO FIJO'!$D$76),'RESULTADO PRECIO FIJO'!I77,IF(AND('RESULTADO PRECIO FIJO'!$C$78="ALDRO",$H$42='RESULTADO PRECIO FIJO'!$E$78,$C$82='RESULTADO PRECIO FIJO'!$D$78),'RESULTADO PRECIO FIJO'!I79,IF(AND('RESULTADO PRECIO FIJO'!$C$80="ALDRO",$H$42='RESULTADO PRECIO FIJO'!$E$80,$C$82='RESULTADO PRECIO FIJO'!$D$80),'RESULTADO PRECIO FIJO'!I81,IF(AND('RESULTADO PRECIO FIJO'!$C$82="ALDRO",$H$42='RESULTADO PRECIO FIJO'!$E$82,$C$82='RESULTADO PRECIO FIJO'!$D$82),'RESULTADO PRECIO FIJO'!I83,IF(AND('RESULTADO PRECIO FIJO'!$C$84="ALDRO",$H$42='RESULTADO PRECIO FIJO'!$E$84,$C$82='RESULTADO PRECIO FIJO'!$D$84),'RESULTADO PRECIO FIJO'!I85,IF(AND('RESULTADO PRECIO FIJO'!$C$86="ALDRO",$H$42='RESULTADO PRECIO FIJO'!$E$86,$C$82='RESULTADO PRECIO FIJO'!$D$86),'RESULTADO PRECIO FIJO'!I87))))))))))))))))))))))))</f>
        <v>0.23375399999999999</v>
      </c>
      <c r="G85" s="14">
        <f>IF(AND('RESULTADO PRECIO FIJO'!$C$40="ALDRO",$H$42='RESULTADO PRECIO FIJO'!$E$40,$C$82='RESULTADO PRECIO FIJO'!$D$40),'RESULTADO PRECIO FIJO'!J41,IF(AND('RESULTADO PRECIO FIJO'!$C$42="ALDRO",$H$42='RESULTADO PRECIO FIJO'!$E$42,$C$82='RESULTADO PRECIO FIJO'!$D$42),'RESULTADO PRECIO FIJO'!J43,IF(AND('RESULTADO PRECIO FIJO'!$C$44="ALDRO",$H$42='RESULTADO PRECIO FIJO'!$E$44,$C$82='RESULTADO PRECIO FIJO'!$D$44),'RESULTADO PRECIO FIJO'!J45,IF(AND('RESULTADO PRECIO FIJO'!$C$46="ALDRO",$H$42='RESULTADO PRECIO FIJO'!$E$46,$C$82='RESULTADO PRECIO FIJO'!$D$46),'RESULTADO PRECIO FIJO'!J47,IF(AND('RESULTADO PRECIO FIJO'!$C$48="ALDRO",$H$42='RESULTADO PRECIO FIJO'!$E$48,$C$82='RESULTADO PRECIO FIJO'!$D$48),'RESULTADO PRECIO FIJO'!J49,IF(AND('RESULTADO PRECIO FIJO'!$C$50="ALDRO",$H$42='RESULTADO PRECIO FIJO'!$E$50,$C$82='RESULTADO PRECIO FIJO'!$D$50),'RESULTADO PRECIO FIJO'!J51,IF(AND('RESULTADO PRECIO FIJO'!$C$52="ALDRO",$H$42='RESULTADO PRECIO FIJO'!$E$52,$C$82='RESULTADO PRECIO FIJO'!$D$52),'RESULTADO PRECIO FIJO'!J53,IF(AND('RESULTADO PRECIO FIJO'!$C$54="ALDRO",$H$42='RESULTADO PRECIO FIJO'!$E$54,$C$82='RESULTADO PRECIO FIJO'!$D$54),'RESULTADO PRECIO FIJO'!J55,IF(AND('RESULTADO PRECIO FIJO'!$C$56="ALDRO",$H$42='RESULTADO PRECIO FIJO'!$E$56,$C$82='RESULTADO PRECIO FIJO'!$D$56),'RESULTADO PRECIO FIJO'!J57,IF(AND('RESULTADO PRECIO FIJO'!$C$58="ALDRO",$H$42='RESULTADO PRECIO FIJO'!$E$58,$C$82='RESULTADO PRECIO FIJO'!$D$58),'RESULTADO PRECIO FIJO'!J59,IF(AND('RESULTADO PRECIO FIJO'!$C$60="ALDRO",$H$42='RESULTADO PRECIO FIJO'!$E$60,$C$82='RESULTADO PRECIO FIJO'!$D$60),'RESULTADO PRECIO FIJO'!J61,IF(AND('RESULTADO PRECIO FIJO'!$C$62="ALDRO",$H$42='RESULTADO PRECIO FIJO'!$E$62,$C$82='RESULTADO PRECIO FIJO'!$D$62),'RESULTADO PRECIO FIJO'!J63,IF(AND('RESULTADO PRECIO FIJO'!$C$64="ALDRO",$H$42='RESULTADO PRECIO FIJO'!$E$64,$C$82='RESULTADO PRECIO FIJO'!$D$64),'RESULTADO PRECIO FIJO'!J65,IF(AND('RESULTADO PRECIO FIJO'!$C$66="ALDRO",$H$42='RESULTADO PRECIO FIJO'!$E$66,$C$82='RESULTADO PRECIO FIJO'!$D$66),'RESULTADO PRECIO FIJO'!J67,IF(AND('RESULTADO PRECIO FIJO'!$C$68="ALDRO",$H$42='RESULTADO PRECIO FIJO'!$E$68,$C$82='RESULTADO PRECIO FIJO'!$D$68),'RESULTADO PRECIO FIJO'!J69,IF(AND('RESULTADO PRECIO FIJO'!$C$70="ALDRO",$H$42='RESULTADO PRECIO FIJO'!$E$70,$C$82='RESULTADO PRECIO FIJO'!$D$70),'RESULTADO PRECIO FIJO'!J71,IF(AND('RESULTADO PRECIO FIJO'!$C$72="ALDRO",$H$42='RESULTADO PRECIO FIJO'!$E$72,$C$82='RESULTADO PRECIO FIJO'!$D$72),'RESULTADO PRECIO FIJO'!J73,IF(AND('RESULTADO PRECIO FIJO'!$C$74="ALDRO",$H$42='RESULTADO PRECIO FIJO'!$E$74,$C$82='RESULTADO PRECIO FIJO'!$D$74),'RESULTADO PRECIO FIJO'!J75,IF(AND('RESULTADO PRECIO FIJO'!$C$76="ALDRO",$H$42='RESULTADO PRECIO FIJO'!$E$76,$C$82='RESULTADO PRECIO FIJO'!$D$76),'RESULTADO PRECIO FIJO'!J77,IF(AND('RESULTADO PRECIO FIJO'!$C$78="ALDRO",$H$42='RESULTADO PRECIO FIJO'!$E$78,$C$82='RESULTADO PRECIO FIJO'!$D$78),'RESULTADO PRECIO FIJO'!J79,IF(AND('RESULTADO PRECIO FIJO'!$C$80="ALDRO",$H$42='RESULTADO PRECIO FIJO'!$E$80,$C$82='RESULTADO PRECIO FIJO'!$D$80),'RESULTADO PRECIO FIJO'!J81,IF(AND('RESULTADO PRECIO FIJO'!$C$82="ALDRO",$H$42='RESULTADO PRECIO FIJO'!$E$82,$C$82='RESULTADO PRECIO FIJO'!$D$82),'RESULTADO PRECIO FIJO'!J83,IF(AND('RESULTADO PRECIO FIJO'!$C$84="ALDRO",$H$42='RESULTADO PRECIO FIJO'!$E$84,$C$82='RESULTADO PRECIO FIJO'!$D$84),'RESULTADO PRECIO FIJO'!J85,IF(AND('RESULTADO PRECIO FIJO'!$C$86="ALDRO",$H$42='RESULTADO PRECIO FIJO'!$E$86,$C$82='RESULTADO PRECIO FIJO'!$D$86),'RESULTADO PRECIO FIJO'!J87))))))))))))))))))))))))</f>
        <v>0</v>
      </c>
      <c r="H85" s="14">
        <f>IF(AND('RESULTADO PRECIO FIJO'!$C$40="ALDRO",$H$42='RESULTADO PRECIO FIJO'!$E$40,$C$82='RESULTADO PRECIO FIJO'!$D$40),'RESULTADO PRECIO FIJO'!K41,IF(AND('RESULTADO PRECIO FIJO'!$C$42="ALDRO",$H$42='RESULTADO PRECIO FIJO'!$E$42,$C$82='RESULTADO PRECIO FIJO'!$D$42),'RESULTADO PRECIO FIJO'!K43,IF(AND('RESULTADO PRECIO FIJO'!$C$44="ALDRO",$H$42='RESULTADO PRECIO FIJO'!$E$44,$C$82='RESULTADO PRECIO FIJO'!$D$44),'RESULTADO PRECIO FIJO'!K45,IF(AND('RESULTADO PRECIO FIJO'!$C$46="ALDRO",$H$42='RESULTADO PRECIO FIJO'!$E$46,$C$82='RESULTADO PRECIO FIJO'!$D$46),'RESULTADO PRECIO FIJO'!K47,IF(AND('RESULTADO PRECIO FIJO'!$C$48="ALDRO",$H$42='RESULTADO PRECIO FIJO'!$E$48,$C$82='RESULTADO PRECIO FIJO'!$D$48),'RESULTADO PRECIO FIJO'!K49,IF(AND('RESULTADO PRECIO FIJO'!$C$50="ALDRO",$H$42='RESULTADO PRECIO FIJO'!$E$50,$C$82='RESULTADO PRECIO FIJO'!$D$50),'RESULTADO PRECIO FIJO'!K51,IF(AND('RESULTADO PRECIO FIJO'!$C$52="ALDRO",$H$42='RESULTADO PRECIO FIJO'!$E$52,$C$82='RESULTADO PRECIO FIJO'!$D$52),'RESULTADO PRECIO FIJO'!K53,IF(AND('RESULTADO PRECIO FIJO'!$C$54="ALDRO",$H$42='RESULTADO PRECIO FIJO'!$E$54,$C$82='RESULTADO PRECIO FIJO'!$D$54),'RESULTADO PRECIO FIJO'!K55,IF(AND('RESULTADO PRECIO FIJO'!$C$56="ALDRO",$H$42='RESULTADO PRECIO FIJO'!$E$56,$C$82='RESULTADO PRECIO FIJO'!$D$56),'RESULTADO PRECIO FIJO'!K57,IF(AND('RESULTADO PRECIO FIJO'!$C$58="ALDRO",$H$42='RESULTADO PRECIO FIJO'!$E$58,$C$82='RESULTADO PRECIO FIJO'!$D$58),'RESULTADO PRECIO FIJO'!K59,IF(AND('RESULTADO PRECIO FIJO'!$C$60="ALDRO",$H$42='RESULTADO PRECIO FIJO'!$E$60,$C$82='RESULTADO PRECIO FIJO'!$D$60),'RESULTADO PRECIO FIJO'!K61,IF(AND('RESULTADO PRECIO FIJO'!$C$62="ALDRO",$H$42='RESULTADO PRECIO FIJO'!$E$62,$C$82='RESULTADO PRECIO FIJO'!$D$62),'RESULTADO PRECIO FIJO'!K63,IF(AND('RESULTADO PRECIO FIJO'!$C$64="ALDRO",$H$42='RESULTADO PRECIO FIJO'!$E$64,$C$82='RESULTADO PRECIO FIJO'!$D$64),'RESULTADO PRECIO FIJO'!K65,IF(AND('RESULTADO PRECIO FIJO'!$C$66="ALDRO",$H$42='RESULTADO PRECIO FIJO'!$E$66,$C$82='RESULTADO PRECIO FIJO'!$D$66),'RESULTADO PRECIO FIJO'!K67,IF(AND('RESULTADO PRECIO FIJO'!$C$68="ALDRO",$H$42='RESULTADO PRECIO FIJO'!$E$68,$C$82='RESULTADO PRECIO FIJO'!$D$68),'RESULTADO PRECIO FIJO'!K69,IF(AND('RESULTADO PRECIO FIJO'!$C$70="ALDRO",$H$42='RESULTADO PRECIO FIJO'!$E$70,$C$82='RESULTADO PRECIO FIJO'!$D$70),'RESULTADO PRECIO FIJO'!K71,IF(AND('RESULTADO PRECIO FIJO'!$C$72="ALDRO",$H$42='RESULTADO PRECIO FIJO'!$E$72,$C$82='RESULTADO PRECIO FIJO'!$D$72),'RESULTADO PRECIO FIJO'!K73,IF(AND('RESULTADO PRECIO FIJO'!$C$74="ALDRO",$H$42='RESULTADO PRECIO FIJO'!$E$74,$C$82='RESULTADO PRECIO FIJO'!$D$74),'RESULTADO PRECIO FIJO'!K75,IF(AND('RESULTADO PRECIO FIJO'!$C$76="ALDRO",$H$42='RESULTADO PRECIO FIJO'!$E$76,$C$82='RESULTADO PRECIO FIJO'!$D$76),'RESULTADO PRECIO FIJO'!K77,IF(AND('RESULTADO PRECIO FIJO'!$C$78="ALDRO",$H$42='RESULTADO PRECIO FIJO'!$E$78,$C$82='RESULTADO PRECIO FIJO'!$D$78),'RESULTADO PRECIO FIJO'!K79,IF(AND('RESULTADO PRECIO FIJO'!$C$80="ALDRO",$H$42='RESULTADO PRECIO FIJO'!$E$80,$C$82='RESULTADO PRECIO FIJO'!$D$80),'RESULTADO PRECIO FIJO'!K81,IF(AND('RESULTADO PRECIO FIJO'!$C$82="ALDRO",$H$42='RESULTADO PRECIO FIJO'!$E$82,$C$82='RESULTADO PRECIO FIJO'!$D$82),'RESULTADO PRECIO FIJO'!K83,IF(AND('RESULTADO PRECIO FIJO'!$C$84="ALDRO",$H$42='RESULTADO PRECIO FIJO'!$E$84,$C$82='RESULTADO PRECIO FIJO'!$D$84),'RESULTADO PRECIO FIJO'!K85,IF(AND('RESULTADO PRECIO FIJO'!$C$86="ALDRO",$H$42='RESULTADO PRECIO FIJO'!$E$86,$C$82='RESULTADO PRECIO FIJO'!$D$86),'RESULTADO PRECIO FIJO'!K87))))))))))))))))))))))))</f>
        <v>0</v>
      </c>
      <c r="I85" s="14">
        <f>IF(AND('RESULTADO PRECIO FIJO'!$C$40="ALDRO",$H$42='RESULTADO PRECIO FIJO'!$E$40,$C$82='RESULTADO PRECIO FIJO'!$D$40),'RESULTADO PRECIO FIJO'!L41,IF(AND('RESULTADO PRECIO FIJO'!$C$42="ALDRO",$H$42='RESULTADO PRECIO FIJO'!$E$42,$C$82='RESULTADO PRECIO FIJO'!$D$42),'RESULTADO PRECIO FIJO'!L43,IF(AND('RESULTADO PRECIO FIJO'!$C$44="ALDRO",$H$42='RESULTADO PRECIO FIJO'!$E$44,$C$82='RESULTADO PRECIO FIJO'!$D$44),'RESULTADO PRECIO FIJO'!L45,IF(AND('RESULTADO PRECIO FIJO'!$C$46="ALDRO",$H$42='RESULTADO PRECIO FIJO'!$E$46,$C$82='RESULTADO PRECIO FIJO'!$D$46),'RESULTADO PRECIO FIJO'!L47,IF(AND('RESULTADO PRECIO FIJO'!$C$48="ALDRO",$H$42='RESULTADO PRECIO FIJO'!$E$48,$C$82='RESULTADO PRECIO FIJO'!$D$48),'RESULTADO PRECIO FIJO'!L49,IF(AND('RESULTADO PRECIO FIJO'!$C$50="ALDRO",$H$42='RESULTADO PRECIO FIJO'!$E$50,$C$82='RESULTADO PRECIO FIJO'!$D$50),'RESULTADO PRECIO FIJO'!L51,IF(AND('RESULTADO PRECIO FIJO'!$C$52="ALDRO",$H$42='RESULTADO PRECIO FIJO'!$E$52,$C$82='RESULTADO PRECIO FIJO'!$D$52),'RESULTADO PRECIO FIJO'!L53,IF(AND('RESULTADO PRECIO FIJO'!$C$54="ALDRO",$H$42='RESULTADO PRECIO FIJO'!$E$54,$C$82='RESULTADO PRECIO FIJO'!$D$54),'RESULTADO PRECIO FIJO'!L55,IF(AND('RESULTADO PRECIO FIJO'!$C$56="ALDRO",$H$42='RESULTADO PRECIO FIJO'!$E$56,$C$82='RESULTADO PRECIO FIJO'!$D$56),'RESULTADO PRECIO FIJO'!L57,IF(AND('RESULTADO PRECIO FIJO'!$C$58="ALDRO",$H$42='RESULTADO PRECIO FIJO'!$E$58,$C$82='RESULTADO PRECIO FIJO'!$D$58),'RESULTADO PRECIO FIJO'!L59,IF(AND('RESULTADO PRECIO FIJO'!$C$60="ALDRO",$H$42='RESULTADO PRECIO FIJO'!$E$60,$C$82='RESULTADO PRECIO FIJO'!$D$60),'RESULTADO PRECIO FIJO'!L61,IF(AND('RESULTADO PRECIO FIJO'!$C$62="ALDRO",$H$42='RESULTADO PRECIO FIJO'!$E$62,$C$82='RESULTADO PRECIO FIJO'!$D$62),'RESULTADO PRECIO FIJO'!L63,IF(AND('RESULTADO PRECIO FIJO'!$C$64="ALDRO",$H$42='RESULTADO PRECIO FIJO'!$E$64,$C$82='RESULTADO PRECIO FIJO'!$D$64),'RESULTADO PRECIO FIJO'!L65,IF(AND('RESULTADO PRECIO FIJO'!$C$66="ALDRO",$H$42='RESULTADO PRECIO FIJO'!$E$66,$C$82='RESULTADO PRECIO FIJO'!$D$66),'RESULTADO PRECIO FIJO'!L67,IF(AND('RESULTADO PRECIO FIJO'!$C$68="ALDRO",$H$42='RESULTADO PRECIO FIJO'!$E$68,$C$82='RESULTADO PRECIO FIJO'!$D$68),'RESULTADO PRECIO FIJO'!L69,IF(AND('RESULTADO PRECIO FIJO'!$C$70="ALDRO",$H$42='RESULTADO PRECIO FIJO'!$E$70,$C$82='RESULTADO PRECIO FIJO'!$D$70),'RESULTADO PRECIO FIJO'!L71,IF(AND('RESULTADO PRECIO FIJO'!$C$72="ALDRO",$H$42='RESULTADO PRECIO FIJO'!$E$72,$C$82='RESULTADO PRECIO FIJO'!$D$72),'RESULTADO PRECIO FIJO'!L73,IF(AND('RESULTADO PRECIO FIJO'!$C$74="ALDRO",$H$42='RESULTADO PRECIO FIJO'!$E$74,$C$82='RESULTADO PRECIO FIJO'!$D$74),'RESULTADO PRECIO FIJO'!L75,IF(AND('RESULTADO PRECIO FIJO'!$C$76="ALDRO",$H$42='RESULTADO PRECIO FIJO'!$E$76,$C$82='RESULTADO PRECIO FIJO'!$D$76),'RESULTADO PRECIO FIJO'!L77,IF(AND('RESULTADO PRECIO FIJO'!$C$78="ALDRO",$H$42='RESULTADO PRECIO FIJO'!$E$78,$C$82='RESULTADO PRECIO FIJO'!$D$78),'RESULTADO PRECIO FIJO'!L79,IF(AND('RESULTADO PRECIO FIJO'!$C$80="ALDRO",$H$42='RESULTADO PRECIO FIJO'!$E$80,$C$82='RESULTADO PRECIO FIJO'!$D$80),'RESULTADO PRECIO FIJO'!L81,IF(AND('RESULTADO PRECIO FIJO'!$C$82="ALDRO",$H$42='RESULTADO PRECIO FIJO'!$E$82,$C$82='RESULTADO PRECIO FIJO'!$D$82),'RESULTADO PRECIO FIJO'!L83,IF(AND('RESULTADO PRECIO FIJO'!$C$84="ALDRO",$H$42='RESULTADO PRECIO FIJO'!$E$84,$C$82='RESULTADO PRECIO FIJO'!$D$84),'RESULTADO PRECIO FIJO'!L85,IF(AND('RESULTADO PRECIO FIJO'!$C$86="ALDRO",$H$42='RESULTADO PRECIO FIJO'!$E$86,$C$82='RESULTADO PRECIO FIJO'!$D$86),'RESULTADO PRECIO FIJO'!L87))))))))))))))))))))))))</f>
        <v>0</v>
      </c>
      <c r="K85" s="143"/>
    </row>
    <row r="86" spans="1:11" ht="13.5" customHeight="1">
      <c r="A86" s="562" t="str">
        <f>'INTRODUCIR DATOS'!G62</f>
        <v>*Incluye 2% de descuento sobre TE por facturación electronica 12M</v>
      </c>
      <c r="B86" s="562"/>
      <c r="C86" s="562"/>
      <c r="D86" s="562"/>
      <c r="E86" s="562"/>
      <c r="F86" s="562"/>
      <c r="G86" s="562"/>
      <c r="H86" s="562"/>
      <c r="I86" s="562"/>
      <c r="J86" s="562"/>
      <c r="K86" s="562"/>
    </row>
    <row r="87" spans="1:11" ht="13.5" customHeight="1">
      <c r="A87" s="562"/>
      <c r="B87" s="562"/>
      <c r="C87" s="562"/>
      <c r="D87" s="562"/>
      <c r="E87" s="562"/>
      <c r="F87" s="562"/>
      <c r="G87" s="562"/>
      <c r="H87" s="562"/>
      <c r="I87" s="562"/>
      <c r="J87" s="562"/>
      <c r="K87" s="562"/>
    </row>
    <row r="88" spans="1:11" ht="13.5" customHeight="1">
      <c r="B88" s="551" t="s">
        <v>119</v>
      </c>
      <c r="C88" s="551"/>
      <c r="D88" s="551"/>
      <c r="E88" s="551"/>
      <c r="F88" s="551"/>
      <c r="G88" s="551"/>
      <c r="H88" s="551"/>
      <c r="I88" s="551"/>
      <c r="J88" s="551"/>
      <c r="K88" s="551"/>
    </row>
    <row r="89" spans="1:11" ht="13.5" customHeight="1">
      <c r="B89" s="94" t="s">
        <v>120</v>
      </c>
      <c r="C89" s="94"/>
      <c r="D89" s="95"/>
      <c r="E89" s="95"/>
      <c r="F89" s="95"/>
      <c r="G89" s="94"/>
      <c r="H89" s="94"/>
      <c r="I89" s="95"/>
      <c r="J89" s="96"/>
      <c r="K89" s="226">
        <f>F90+F91+F92+I90+I91+I92</f>
        <v>21.422975999999998</v>
      </c>
    </row>
    <row r="90" spans="1:11" ht="13.5" customHeight="1">
      <c r="B90" s="89"/>
      <c r="C90" s="89"/>
      <c r="D90" s="17" t="s">
        <v>115</v>
      </c>
      <c r="E90" s="89">
        <f>'INTRODUCIR DATOS'!$E$25</f>
        <v>6</v>
      </c>
      <c r="F90" s="8">
        <f>E90*D84*H79</f>
        <v>15.456384</v>
      </c>
      <c r="G90" s="17" t="s">
        <v>62</v>
      </c>
      <c r="H90" s="89">
        <f>'INTRODUCIR DATOS'!$E$28</f>
        <v>0</v>
      </c>
      <c r="I90" s="8">
        <f>IF(G84="",0,H90*G84*H79)</f>
        <v>0</v>
      </c>
      <c r="J90" s="90"/>
      <c r="K90" s="90"/>
    </row>
    <row r="91" spans="1:11" ht="13.5" customHeight="1">
      <c r="B91" s="89"/>
      <c r="C91" s="89"/>
      <c r="D91" s="17" t="s">
        <v>116</v>
      </c>
      <c r="E91" s="89">
        <f>'INTRODUCIR DATOS'!$E$26</f>
        <v>6</v>
      </c>
      <c r="F91" s="8">
        <f>E91*E84*H79</f>
        <v>5.9665920000000003</v>
      </c>
      <c r="G91" s="17" t="s">
        <v>63</v>
      </c>
      <c r="H91" s="89">
        <f>'INTRODUCIR DATOS'!$E$29</f>
        <v>0</v>
      </c>
      <c r="I91" s="8">
        <f>IF(H84="",0,H91*H84*H79)</f>
        <v>0</v>
      </c>
      <c r="J91" s="90"/>
      <c r="K91" s="90"/>
    </row>
    <row r="92" spans="1:11" ht="13.5" customHeight="1">
      <c r="B92" s="9"/>
      <c r="C92" s="9"/>
      <c r="D92" s="17" t="s">
        <v>60</v>
      </c>
      <c r="E92" s="89">
        <f>'INTRODUCIR DATOS'!$E$27</f>
        <v>0</v>
      </c>
      <c r="F92" s="8">
        <f>IF(F84="",0,E92*F84*H79)</f>
        <v>0</v>
      </c>
      <c r="G92" s="18" t="s">
        <v>65</v>
      </c>
      <c r="H92" s="89">
        <f>'INTRODUCIR DATOS'!$E$30</f>
        <v>0</v>
      </c>
      <c r="I92" s="8">
        <f>IF(I84="",0,H92*I84*H79)</f>
        <v>0</v>
      </c>
      <c r="J92" s="9"/>
      <c r="K92" s="9"/>
    </row>
    <row r="93" spans="1:11" ht="13.5" customHeight="1">
      <c r="B93" s="9" t="s">
        <v>121</v>
      </c>
      <c r="C93" s="9"/>
      <c r="D93" s="9"/>
      <c r="E93" s="89"/>
      <c r="F93" s="9"/>
      <c r="G93" s="9" t="s">
        <v>121</v>
      </c>
      <c r="H93" s="89"/>
      <c r="I93" s="9"/>
      <c r="J93" s="9"/>
      <c r="K93" s="9"/>
    </row>
    <row r="94" spans="1:11" ht="13.5" customHeight="1">
      <c r="B94" s="94" t="s">
        <v>122</v>
      </c>
      <c r="C94" s="94"/>
      <c r="D94" s="95"/>
      <c r="E94" s="95"/>
      <c r="F94" s="95"/>
      <c r="G94" s="94"/>
      <c r="H94" s="94"/>
      <c r="I94" s="95"/>
      <c r="J94" s="96"/>
      <c r="K94" s="226">
        <f>F95+F96+F97+I95+I96+I97</f>
        <v>104.125956</v>
      </c>
    </row>
    <row r="95" spans="1:11" ht="13.5" customHeight="1">
      <c r="B95" s="89"/>
      <c r="C95" s="89"/>
      <c r="D95" s="17" t="s">
        <v>115</v>
      </c>
      <c r="E95" s="89">
        <f>'INTRODUCIR DATOS'!$E$32</f>
        <v>327</v>
      </c>
      <c r="F95" s="338">
        <f>E95*D85</f>
        <v>104.125956</v>
      </c>
      <c r="G95" s="17" t="s">
        <v>62</v>
      </c>
      <c r="H95" s="89">
        <f>'INTRODUCIR DATOS'!$E$35</f>
        <v>0</v>
      </c>
      <c r="I95" s="7">
        <f>IF(G85="",0,H95*G85)</f>
        <v>0</v>
      </c>
      <c r="J95" s="90"/>
      <c r="K95" s="90"/>
    </row>
    <row r="96" spans="1:11" ht="13.5" customHeight="1">
      <c r="B96" s="89"/>
      <c r="C96" s="89"/>
      <c r="D96" s="17" t="s">
        <v>116</v>
      </c>
      <c r="E96" s="89">
        <f>'INTRODUCIR DATOS'!$E$33</f>
        <v>0</v>
      </c>
      <c r="F96" s="338">
        <f>E96*E85</f>
        <v>0</v>
      </c>
      <c r="G96" s="17" t="s">
        <v>63</v>
      </c>
      <c r="H96" s="89">
        <f>'INTRODUCIR DATOS'!$E$36</f>
        <v>0</v>
      </c>
      <c r="I96" s="7">
        <f>IF(H85="",0,H96*H85)</f>
        <v>0</v>
      </c>
      <c r="J96" s="90"/>
      <c r="K96" s="90"/>
    </row>
    <row r="97" spans="1:11" ht="13.5" customHeight="1">
      <c r="B97" s="89"/>
      <c r="C97" s="89"/>
      <c r="D97" s="17" t="s">
        <v>60</v>
      </c>
      <c r="E97" s="89">
        <f>'INTRODUCIR DATOS'!$E$34</f>
        <v>0</v>
      </c>
      <c r="F97" s="338">
        <f>E97*F85</f>
        <v>0</v>
      </c>
      <c r="G97" s="17" t="s">
        <v>65</v>
      </c>
      <c r="H97" s="89">
        <f>'INTRODUCIR DATOS'!$E$37</f>
        <v>0</v>
      </c>
      <c r="I97" s="7">
        <f>IF(I85="",0,H97*I85)</f>
        <v>0</v>
      </c>
      <c r="J97" s="90"/>
      <c r="K97" s="90"/>
    </row>
    <row r="98" spans="1:11" ht="13.5" customHeight="1">
      <c r="B98" s="89" t="s">
        <v>123</v>
      </c>
      <c r="C98" s="92"/>
      <c r="D98" s="337"/>
      <c r="E98" s="337"/>
      <c r="F98" s="337"/>
      <c r="G98" s="89"/>
      <c r="H98" s="92"/>
      <c r="I98" s="337"/>
      <c r="J98" s="337"/>
      <c r="K98" s="11">
        <v>0</v>
      </c>
    </row>
    <row r="99" spans="1:11" ht="13.5" customHeight="1">
      <c r="B99" s="89" t="s">
        <v>124</v>
      </c>
      <c r="C99" s="92"/>
      <c r="D99" s="92"/>
      <c r="E99" s="92"/>
      <c r="F99" s="92"/>
      <c r="G99" s="92"/>
      <c r="H99" s="92"/>
      <c r="I99" s="92"/>
      <c r="J99" s="92"/>
      <c r="K99" s="12">
        <v>0</v>
      </c>
    </row>
    <row r="100" spans="1:11" ht="13.5" customHeight="1">
      <c r="B100" s="89" t="s">
        <v>125</v>
      </c>
      <c r="C100" s="89"/>
      <c r="D100" s="89"/>
      <c r="E100" s="552"/>
      <c r="F100" s="552"/>
      <c r="G100" s="552"/>
      <c r="H100" s="9">
        <f>K94+K89+K98</f>
        <v>125.54893200000001</v>
      </c>
      <c r="I100" s="553" t="s">
        <v>121</v>
      </c>
      <c r="J100" s="553"/>
      <c r="K100" s="338">
        <f>H100*'INTRODUCIR DATOS'!$D$17</f>
        <v>0.62774466000000007</v>
      </c>
    </row>
    <row r="101" spans="1:11" ht="13.5" customHeight="1">
      <c r="B101" s="475" t="s">
        <v>26</v>
      </c>
      <c r="C101" s="89"/>
      <c r="D101" s="89"/>
      <c r="E101" s="90"/>
      <c r="F101" s="90"/>
      <c r="G101" s="89"/>
      <c r="H101" s="9"/>
      <c r="I101" s="338"/>
      <c r="J101" s="338"/>
      <c r="K101" s="338">
        <f>'INTRODUCIR DATOS'!$D$15+(IF(C82="MILAN",4,IF(C82="ROMA",2,0)))</f>
        <v>4</v>
      </c>
    </row>
    <row r="102" spans="1:11" ht="13.5" customHeight="1">
      <c r="B102" s="89" t="s">
        <v>28</v>
      </c>
      <c r="C102" s="89"/>
      <c r="D102" s="89"/>
      <c r="E102" s="89"/>
      <c r="F102" s="89"/>
      <c r="G102" s="338"/>
      <c r="H102" s="13"/>
      <c r="I102" s="13"/>
      <c r="J102" s="90"/>
      <c r="K102" s="338">
        <f>'INTRODUCIR DATOS'!$D$16</f>
        <v>0.85</v>
      </c>
    </row>
    <row r="103" spans="1:11" ht="13.5" customHeight="1">
      <c r="B103" s="89" t="s">
        <v>126</v>
      </c>
      <c r="C103" s="89"/>
      <c r="D103" s="89"/>
      <c r="E103" s="554">
        <f>'INTRODUCIR DATOS'!$D$21</f>
        <v>0.21</v>
      </c>
      <c r="F103" s="555"/>
      <c r="G103" s="555"/>
      <c r="H103" s="9">
        <f>K89+K94+K100+K101+K102</f>
        <v>131.02667665999999</v>
      </c>
      <c r="I103" s="13"/>
      <c r="J103" s="90"/>
      <c r="K103" s="338">
        <f>E103*H103</f>
        <v>27.515602098599999</v>
      </c>
    </row>
    <row r="104" spans="1:11" ht="13.5" customHeight="1">
      <c r="B104" s="94" t="s">
        <v>127</v>
      </c>
      <c r="C104" s="94"/>
      <c r="D104" s="95"/>
      <c r="E104" s="95"/>
      <c r="F104" s="95"/>
      <c r="G104" s="94"/>
      <c r="H104" s="94"/>
      <c r="I104" s="95"/>
      <c r="J104" s="96"/>
      <c r="K104" s="226">
        <f>SUM(K89:K103)</f>
        <v>158.54227875859999</v>
      </c>
    </row>
    <row r="105" spans="1:11" ht="13.5" customHeight="1">
      <c r="B105" s="89" t="s">
        <v>128</v>
      </c>
      <c r="C105" s="89"/>
      <c r="D105" s="89"/>
      <c r="E105" s="89"/>
      <c r="F105" s="89"/>
      <c r="G105" s="338"/>
      <c r="H105" s="338"/>
      <c r="I105" s="89"/>
      <c r="J105" s="90"/>
      <c r="K105" s="338">
        <f>'INTRODUCIR DATOS'!$D$14</f>
        <v>114.15</v>
      </c>
    </row>
    <row r="106" spans="1:11" ht="13.5" customHeight="1">
      <c r="B106" s="94" t="s">
        <v>129</v>
      </c>
      <c r="C106" s="94"/>
      <c r="D106" s="95"/>
      <c r="E106" s="95"/>
      <c r="F106" s="95"/>
      <c r="G106" s="94"/>
      <c r="H106" s="94"/>
      <c r="I106" s="95"/>
      <c r="J106" s="109">
        <f>IF(K104=0,"",(K105-K104)/K105)</f>
        <v>-0.38889425106088465</v>
      </c>
      <c r="K106" s="226">
        <f>IF((K104=0),"",K105-K104)</f>
        <v>-44.392278758599986</v>
      </c>
    </row>
    <row r="107" spans="1:11" ht="13.5" customHeight="1">
      <c r="B107" s="143"/>
      <c r="C107" s="143"/>
      <c r="D107" s="143"/>
      <c r="E107" s="143"/>
      <c r="F107" s="143"/>
      <c r="G107" s="143"/>
      <c r="H107" s="143"/>
      <c r="I107" s="143"/>
      <c r="J107" s="143"/>
      <c r="K107" s="143"/>
    </row>
    <row r="108" spans="1:11" ht="13.5" customHeight="1">
      <c r="B108" s="143"/>
      <c r="C108" s="143"/>
      <c r="D108" s="143"/>
      <c r="E108" s="143"/>
      <c r="F108" s="143"/>
      <c r="G108" s="143"/>
      <c r="H108" s="143"/>
      <c r="I108" s="143"/>
      <c r="J108" s="143"/>
      <c r="K108" s="143"/>
    </row>
    <row r="109" spans="1:11" ht="13.5" customHeight="1">
      <c r="A109" s="556" t="s">
        <v>107</v>
      </c>
      <c r="B109" s="556"/>
      <c r="C109" s="556"/>
      <c r="D109" s="556"/>
      <c r="E109" s="556"/>
      <c r="F109" s="556"/>
      <c r="G109" s="556"/>
      <c r="H109" s="556"/>
      <c r="I109" s="556"/>
      <c r="J109" s="556"/>
      <c r="K109" s="556"/>
    </row>
    <row r="110" spans="1:11" ht="13.5" customHeight="1">
      <c r="A110" s="557" t="s">
        <v>108</v>
      </c>
      <c r="B110" s="558"/>
      <c r="C110" s="558"/>
      <c r="D110" s="558"/>
      <c r="E110" s="558"/>
      <c r="F110" s="558"/>
      <c r="G110" s="558"/>
      <c r="H110" s="558"/>
      <c r="I110" s="558"/>
      <c r="J110" s="558"/>
      <c r="K110" s="558"/>
    </row>
    <row r="111" spans="1:11" ht="13.5" customHeight="1">
      <c r="B111" s="143"/>
      <c r="C111" s="143"/>
      <c r="D111" s="143"/>
      <c r="E111" s="143"/>
      <c r="F111" s="143"/>
      <c r="G111" s="143"/>
      <c r="H111" s="143"/>
      <c r="I111" s="143"/>
      <c r="J111" s="143"/>
      <c r="K111" s="143"/>
    </row>
    <row r="112" spans="1:11" ht="13.5" customHeight="1">
      <c r="B112" s="15"/>
      <c r="C112" s="15"/>
      <c r="D112" s="15"/>
      <c r="E112" s="15"/>
      <c r="F112" s="559" t="s">
        <v>109</v>
      </c>
      <c r="G112" s="559"/>
      <c r="H112" s="560" t="str">
        <f>'INTRODUCIR DATOS'!$D$9</f>
        <v>GEMA GARCIA ESCUDERO</v>
      </c>
      <c r="I112" s="560"/>
      <c r="J112" s="560"/>
      <c r="K112" s="560"/>
    </row>
    <row r="113" spans="2:11" ht="13.5" customHeight="1">
      <c r="B113"/>
      <c r="C113" s="15"/>
      <c r="D113" s="15"/>
      <c r="E113" s="15"/>
      <c r="F113" s="559" t="s">
        <v>110</v>
      </c>
      <c r="G113" s="559"/>
      <c r="H113" s="560" t="str">
        <f>'INTRODUCIR DATOS'!$D$10</f>
        <v>C/LOS HUERTOS</v>
      </c>
      <c r="I113" s="560"/>
      <c r="J113" s="560"/>
      <c r="K113" s="560"/>
    </row>
    <row r="114" spans="2:11" ht="13.5" customHeight="1">
      <c r="B114" s="143"/>
      <c r="C114" s="15"/>
      <c r="D114" s="15"/>
      <c r="E114" s="15"/>
      <c r="F114" s="559" t="s">
        <v>111</v>
      </c>
      <c r="G114" s="559"/>
      <c r="H114" s="560" t="str">
        <f>'INTRODUCIR DATOS'!$D$11</f>
        <v>ENCINILLAS</v>
      </c>
      <c r="I114" s="560"/>
      <c r="J114" s="560"/>
      <c r="K114" s="560"/>
    </row>
    <row r="115" spans="2:11" ht="13.5" customHeight="1">
      <c r="B115" s="15"/>
      <c r="C115" s="15"/>
      <c r="D115" s="15"/>
      <c r="E115" s="15"/>
      <c r="F115" s="559" t="s">
        <v>112</v>
      </c>
      <c r="G115" s="559"/>
      <c r="H115" s="558" t="str">
        <f>'INTRODUCIR DATOS'!$D$18</f>
        <v>2.0TD</v>
      </c>
      <c r="I115" s="558"/>
      <c r="J115" s="558"/>
      <c r="K115" s="558"/>
    </row>
    <row r="116" spans="2:11" ht="13.5" customHeight="1">
      <c r="B116" s="15"/>
      <c r="C116" s="15"/>
      <c r="D116" s="15"/>
      <c r="E116" s="15"/>
      <c r="F116" s="559" t="s">
        <v>113</v>
      </c>
      <c r="G116" s="559"/>
      <c r="H116" s="561">
        <f>'INTRODUCIR DATOS'!$D$13</f>
        <v>32</v>
      </c>
      <c r="I116" s="561"/>
      <c r="J116" s="561"/>
      <c r="K116" s="561"/>
    </row>
    <row r="117" spans="2:11" ht="13.5" customHeight="1">
      <c r="B117" s="15"/>
      <c r="C117" s="15"/>
      <c r="D117" s="15"/>
      <c r="E117" s="15"/>
      <c r="F117" s="15"/>
      <c r="G117" s="15"/>
      <c r="H117" s="15"/>
      <c r="I117" s="15"/>
      <c r="J117" s="15"/>
      <c r="K117" s="15"/>
    </row>
    <row r="118" spans="2:11" ht="13.5" customHeight="1">
      <c r="B118" s="15"/>
      <c r="C118" s="15"/>
      <c r="D118" s="15"/>
      <c r="E118" s="15"/>
      <c r="F118" s="15"/>
      <c r="G118" s="15"/>
      <c r="H118" s="15"/>
      <c r="I118" s="15"/>
      <c r="J118" s="15"/>
      <c r="K118" s="15"/>
    </row>
    <row r="119" spans="2:11" ht="13.5" customHeight="1">
      <c r="B119" s="97" t="s">
        <v>114</v>
      </c>
      <c r="C119" s="83" t="str">
        <f>'INTRODUCIR DATOS'!O17</f>
        <v>TE1 UNICA</v>
      </c>
      <c r="D119" s="2"/>
      <c r="E119" s="2"/>
      <c r="F119" s="2"/>
      <c r="G119" s="2"/>
      <c r="H119" s="2"/>
      <c r="I119" s="2"/>
      <c r="J119" s="2"/>
      <c r="K119" s="16"/>
    </row>
    <row r="120" spans="2:11" ht="13.5" customHeight="1">
      <c r="B120" s="84"/>
      <c r="C120" s="84"/>
      <c r="D120" s="3" t="s">
        <v>115</v>
      </c>
      <c r="E120" s="3" t="s">
        <v>116</v>
      </c>
      <c r="F120" s="3" t="s">
        <v>60</v>
      </c>
      <c r="G120" s="3" t="s">
        <v>62</v>
      </c>
      <c r="H120" s="3" t="s">
        <v>63</v>
      </c>
      <c r="I120" s="3" t="s">
        <v>65</v>
      </c>
      <c r="J120" s="3"/>
      <c r="K120" s="143"/>
    </row>
    <row r="121" spans="2:11" ht="13.5" customHeight="1">
      <c r="B121" s="84"/>
      <c r="C121" s="4" t="s">
        <v>117</v>
      </c>
      <c r="D121" s="14">
        <f>IF(AND('RESULTADO PRECIO FIJO'!$C$88="TOTAL",$H$42='RESULTADO PRECIO FIJO'!$E$88,$C$119='RESULTADO PRECIO FIJO'!$D$88),'RESULTADO PRECIO FIJO'!G88,IF(AND('RESULTADO PRECIO FIJO'!$C$90="TOTAL",$H$42='RESULTADO PRECIO FIJO'!$E$90,$C$119='RESULTADO PRECIO FIJO'!$D$90),'RESULTADO PRECIO FIJO'!G90,IF(AND('RESULTADO PRECIO FIJO'!$C$92="TOTAL",$H$42='RESULTADO PRECIO FIJO'!$E$92,$C$119='RESULTADO PRECIO FIJO'!$D$92),'RESULTADO PRECIO FIJO'!G92,IF(AND('RESULTADO PRECIO FIJO'!$C$94="TOTAL",$H$42='RESULTADO PRECIO FIJO'!$E$94,$C$119='RESULTADO PRECIO FIJO'!$D$94),'RESULTADO PRECIO FIJO'!G94,IF(AND('RESULTADO PRECIO FIJO'!$C$96="TOTAL",$H$42='RESULTADO PRECIO FIJO'!$E$96,$C$119='RESULTADO PRECIO FIJO'!$D$96),'RESULTADO PRECIO FIJO'!G96,IF(AND('RESULTADO PRECIO FIJO'!$C$98="TOTAL",$H$42='RESULTADO PRECIO FIJO'!$E$98,$C$119='RESULTADO PRECIO FIJO'!$D$98),'RESULTADO PRECIO FIJO'!G98,IF(AND('RESULTADO PRECIO FIJO'!$C$100="TOTAL",$H$42='RESULTADO PRECIO FIJO'!$E$100,$C$119='RESULTADO PRECIO FIJO'!$D$100),'RESULTADO PRECIO FIJO'!G100,IF(AND('RESULTADO PRECIO FIJO'!$C$102="TOTAL",$H$42='RESULTADO PRECIO FIJO'!$E$102,$C$119='RESULTADO PRECIO FIJO'!$D$102),'RESULTADO PRECIO FIJO'!G102,IF(AND('RESULTADO PRECIO FIJO'!$C$104="TOTAL",$H$42='RESULTADO PRECIO FIJO'!$E$104,$C$119='RESULTADO PRECIO FIJO'!$D$104),'RESULTADO PRECIO FIJO'!G104,IF(AND('RESULTADO PRECIO FIJO'!$C$106="TOTAL",$H$42='RESULTADO PRECIO FIJO'!$E$106,$C$119='RESULTADO PRECIO FIJO'!$D$106),'RESULTADO PRECIO FIJO'!G106,IF(AND('RESULTADO PRECIO FIJO'!$C$108="TOTAL",$H$42='RESULTADO PRECIO FIJO'!$E$108,$C$119='RESULTADO PRECIO FIJO'!$D$108),'RESULTADO PRECIO FIJO'!G108,IF(AND('RESULTADO PRECIO FIJO'!$C$110="TOTAL",$H$42='RESULTADO PRECIO FIJO'!$E$110,$C$119='RESULTADO PRECIO FIJO'!$D$110),'RESULTADO PRECIO FIJO'!G110,IF(AND('RESULTADO PRECIO FIJO'!$C$112="TOTAL",$H$42='RESULTADO PRECIO FIJO'!$E$112,$C$119='RESULTADO PRECIO FIJO'!$D$112),'RESULTADO PRECIO FIJO'!G112,IF(AND('RESULTADO PRECIO FIJO'!$C$114="TOTAL",$H$42='RESULTADO PRECIO FIJO'!$E$114,$C$119='RESULTADO PRECIO FIJO'!$D$114),'RESULTADO PRECIO FIJO'!G114,IF(AND('RESULTADO PRECIO FIJO'!$C$116="TOTAL",$H$42='RESULTADO PRECIO FIJO'!$E$116,$C$119='RESULTADO PRECIO FIJO'!$D$116),'RESULTADO PRECIO FIJO'!G116,IF(AND('RESULTADO PRECIO FIJO'!$C$118="TOTAL",$H$42='RESULTADO PRECIO FIJO'!$E$118,$C$119='RESULTADO PRECIO FIJO'!$D$118),'RESULTADO PRECIO FIJO'!G118,IF(AND('RESULTADO PRECIO FIJO'!$C$120="TOTAL",$H$42='RESULTADO PRECIO FIJO'!$E$120,$C$119='RESULTADO PRECIO FIJO'!$D$120),'RESULTADO PRECIO FIJO'!G120,IF(AND('RESULTADO PRECIO FIJO'!$C$122="TOTAL",$H$42='RESULTADO PRECIO FIJO'!$E$122,$C$119='RESULTADO PRECIO FIJO'!$D$122),'RESULTADO PRECIO FIJO'!G122,IF(AND('RESULTADO PRECIO FIJO'!$C$124="TOTAL",$H$42='RESULTADO PRECIO FIJO'!$E$124,$C$119='RESULTADO PRECIO FIJO'!$D$124),'RESULTADO PRECIO FIJO'!G124,IF(AND('RESULTADO PRECIO FIJO'!$C$126="TOTAL",$H$42='RESULTADO PRECIO FIJO'!$E$126,$C$119='RESULTADO PRECIO FIJO'!$D$126),'RESULTADO PRECIO FIJO'!G126,IF(AND('RESULTADO PRECIO FIJO'!$C$128="TOTAL",$H$42='RESULTADO PRECIO FIJO'!$E$128,$C$119='RESULTADO PRECIO FIJO'!$D$128),'RESULTADO PRECIO FIJO'!G128,IF(AND('RESULTADO PRECIO FIJO'!$C$130="TOTAL",$H$42='RESULTADO PRECIO FIJO'!$E$130,$C$119='RESULTADO PRECIO FIJO'!$D$130),'RESULTADO PRECIO FIJO'!G130,IF(AND('RESULTADO PRECIO FIJO'!$C$132="TOTAL",$H$42='RESULTADO PRECIO FIJO'!$E$132,$C$119='RESULTADO PRECIO FIJO'!$D$132),'RESULTADO PRECIO FIJO'!G132,IF(AND('RESULTADO PRECIO FIJO'!$C$134="TOTAL",$H$42='RESULTADO PRECIO FIJO'!$E$134,$C$119='RESULTADO PRECIO FIJO'!$D$134),'RESULTADO PRECIO FIJO'!G134))))))))))))))))))))))))</f>
        <v>8.1000000000000003E-2</v>
      </c>
      <c r="E121" s="14">
        <f>IF(AND('RESULTADO PRECIO FIJO'!$C$88="TOTAL",$H$42='RESULTADO PRECIO FIJO'!$E$88,$C$119='RESULTADO PRECIO FIJO'!$D$88),'RESULTADO PRECIO FIJO'!H88,IF(AND('RESULTADO PRECIO FIJO'!$C$90="TOTAL",$H$42='RESULTADO PRECIO FIJO'!$E$90,$C$119='RESULTADO PRECIO FIJO'!$D$90),'RESULTADO PRECIO FIJO'!H90,IF(AND('RESULTADO PRECIO FIJO'!$C$92="TOTAL",$H$42='RESULTADO PRECIO FIJO'!$E$92,$C$119='RESULTADO PRECIO FIJO'!$D$92),'RESULTADO PRECIO FIJO'!H92,IF(AND('RESULTADO PRECIO FIJO'!$C$94="TOTAL",$H$42='RESULTADO PRECIO FIJO'!$E$94,$C$119='RESULTADO PRECIO FIJO'!$D$94),'RESULTADO PRECIO FIJO'!H94,IF(AND('RESULTADO PRECIO FIJO'!$C$96="TOTAL",$H$42='RESULTADO PRECIO FIJO'!$E$96,$C$119='RESULTADO PRECIO FIJO'!$D$96),'RESULTADO PRECIO FIJO'!H96,IF(AND('RESULTADO PRECIO FIJO'!$C$98="TOTAL",$H$42='RESULTADO PRECIO FIJO'!$E$98,$C$119='RESULTADO PRECIO FIJO'!$D$98),'RESULTADO PRECIO FIJO'!H98,IF(AND('RESULTADO PRECIO FIJO'!$C$100="TOTAL",$H$42='RESULTADO PRECIO FIJO'!$E$100,$C$119='RESULTADO PRECIO FIJO'!$D$100),'RESULTADO PRECIO FIJO'!H100,IF(AND('RESULTADO PRECIO FIJO'!$C$102="TOTAL",$H$42='RESULTADO PRECIO FIJO'!$E$102,$C$119='RESULTADO PRECIO FIJO'!$D$102),'RESULTADO PRECIO FIJO'!H102,IF(AND('RESULTADO PRECIO FIJO'!$C$104="TOTAL",$H$42='RESULTADO PRECIO FIJO'!$E$104,$C$119='RESULTADO PRECIO FIJO'!$D$104),'RESULTADO PRECIO FIJO'!H104,IF(AND('RESULTADO PRECIO FIJO'!$C$106="TOTAL",$H$42='RESULTADO PRECIO FIJO'!$E$106,$C$119='RESULTADO PRECIO FIJO'!$D$106),'RESULTADO PRECIO FIJO'!H106,IF(AND('RESULTADO PRECIO FIJO'!$C$108="TOTAL",$H$42='RESULTADO PRECIO FIJO'!$E$108,$C$119='RESULTADO PRECIO FIJO'!$D$108),'RESULTADO PRECIO FIJO'!H108,IF(AND('RESULTADO PRECIO FIJO'!$C$110="TOTAL",$H$42='RESULTADO PRECIO FIJO'!$E$110,$C$119='RESULTADO PRECIO FIJO'!$D$110),'RESULTADO PRECIO FIJO'!H110,IF(AND('RESULTADO PRECIO FIJO'!$C$112="TOTAL",$H$42='RESULTADO PRECIO FIJO'!$E$112,$C$119='RESULTADO PRECIO FIJO'!$D$112),'RESULTADO PRECIO FIJO'!H112,IF(AND('RESULTADO PRECIO FIJO'!$C$114="TOTAL",$H$42='RESULTADO PRECIO FIJO'!$E$114,$C$119='RESULTADO PRECIO FIJO'!$D$114),'RESULTADO PRECIO FIJO'!H114,IF(AND('RESULTADO PRECIO FIJO'!$C$116="TOTAL",$H$42='RESULTADO PRECIO FIJO'!$E$116,$C$119='RESULTADO PRECIO FIJO'!$D$116),'RESULTADO PRECIO FIJO'!H116,IF(AND('RESULTADO PRECIO FIJO'!$C$118="TOTAL",$H$42='RESULTADO PRECIO FIJO'!$E$118,$C$119='RESULTADO PRECIO FIJO'!$D$118),'RESULTADO PRECIO FIJO'!H118,IF(AND('RESULTADO PRECIO FIJO'!$C$120="TOTAL",$H$42='RESULTADO PRECIO FIJO'!$E$120,$C$119='RESULTADO PRECIO FIJO'!$D$120),'RESULTADO PRECIO FIJO'!H120,IF(AND('RESULTADO PRECIO FIJO'!$C$122="TOTAL",$H$42='RESULTADO PRECIO FIJO'!$E$122,$C$119='RESULTADO PRECIO FIJO'!$D$122),'RESULTADO PRECIO FIJO'!H122,IF(AND('RESULTADO PRECIO FIJO'!$C$124="TOTAL",$H$42='RESULTADO PRECIO FIJO'!$E$124,$C$119='RESULTADO PRECIO FIJO'!$D$124),'RESULTADO PRECIO FIJO'!H124,IF(AND('RESULTADO PRECIO FIJO'!$C$126="TOTAL",$H$42='RESULTADO PRECIO FIJO'!$E$126,$C$119='RESULTADO PRECIO FIJO'!$D$126),'RESULTADO PRECIO FIJO'!H126,IF(AND('RESULTADO PRECIO FIJO'!$C$128="TOTAL",$H$42='RESULTADO PRECIO FIJO'!$E$128,$C$119='RESULTADO PRECIO FIJO'!$D$128),'RESULTADO PRECIO FIJO'!H128,IF(AND('RESULTADO PRECIO FIJO'!$C$130="TOTAL",$H$42='RESULTADO PRECIO FIJO'!$E$130,$C$119='RESULTADO PRECIO FIJO'!$D$130),'RESULTADO PRECIO FIJO'!H130,IF(AND('RESULTADO PRECIO FIJO'!$C$132="TOTAL",$H$42='RESULTADO PRECIO FIJO'!$E$132,$C$119='RESULTADO PRECIO FIJO'!$D$132),'RESULTADO PRECIO FIJO'!H132,IF(AND('RESULTADO PRECIO FIJO'!$C$134="TOTAL",$H$42='RESULTADO PRECIO FIJO'!$E$134,$C$119='RESULTADO PRECIO FIJO'!$D$134),'RESULTADO PRECIO FIJO'!H134))))))))))))))))))))))))</f>
        <v>1.4999999999999999E-2</v>
      </c>
      <c r="F121" s="14">
        <f>IF(AND('RESULTADO PRECIO FIJO'!$C$88="TOTAL",$H$42='RESULTADO PRECIO FIJO'!$E$88,$C$119='RESULTADO PRECIO FIJO'!$D$88),'RESULTADO PRECIO FIJO'!I88,IF(AND('RESULTADO PRECIO FIJO'!$C$90="TOTAL",$H$42='RESULTADO PRECIO FIJO'!$E$90,$C$119='RESULTADO PRECIO FIJO'!$D$90),'RESULTADO PRECIO FIJO'!I90,IF(AND('RESULTADO PRECIO FIJO'!$C$92="TOTAL",$H$42='RESULTADO PRECIO FIJO'!$E$92,$C$119='RESULTADO PRECIO FIJO'!$D$92),'RESULTADO PRECIO FIJO'!I92,IF(AND('RESULTADO PRECIO FIJO'!$C$94="TOTAL",$H$42='RESULTADO PRECIO FIJO'!$E$94,$C$119='RESULTADO PRECIO FIJO'!$D$94),'RESULTADO PRECIO FIJO'!I94,IF(AND('RESULTADO PRECIO FIJO'!$C$96="TOTAL",$H$42='RESULTADO PRECIO FIJO'!$E$96,$C$119='RESULTADO PRECIO FIJO'!$D$96),'RESULTADO PRECIO FIJO'!I96,IF(AND('RESULTADO PRECIO FIJO'!$C$98="TOTAL",$H$42='RESULTADO PRECIO FIJO'!$E$98,$C$119='RESULTADO PRECIO FIJO'!$D$98),'RESULTADO PRECIO FIJO'!I98,IF(AND('RESULTADO PRECIO FIJO'!$C$100="TOTAL",$H$42='RESULTADO PRECIO FIJO'!$E$100,$C$119='RESULTADO PRECIO FIJO'!$D$100),'RESULTADO PRECIO FIJO'!I100,IF(AND('RESULTADO PRECIO FIJO'!$C$102="TOTAL",$H$42='RESULTADO PRECIO FIJO'!$E$102,$C$119='RESULTADO PRECIO FIJO'!$D$102),'RESULTADO PRECIO FIJO'!I102,IF(AND('RESULTADO PRECIO FIJO'!$C$104="TOTAL",$H$42='RESULTADO PRECIO FIJO'!$E$104,$C$119='RESULTADO PRECIO FIJO'!$D$104),'RESULTADO PRECIO FIJO'!I104,IF(AND('RESULTADO PRECIO FIJO'!$C$106="TOTAL",$H$42='RESULTADO PRECIO FIJO'!$E$106,$C$119='RESULTADO PRECIO FIJO'!$D$106),'RESULTADO PRECIO FIJO'!I106,IF(AND('RESULTADO PRECIO FIJO'!$C$108="TOTAL",$H$42='RESULTADO PRECIO FIJO'!$E$108,$C$119='RESULTADO PRECIO FIJO'!$D$108),'RESULTADO PRECIO FIJO'!I108,IF(AND('RESULTADO PRECIO FIJO'!$C$110="TOTAL",$H$42='RESULTADO PRECIO FIJO'!$E$110,$C$119='RESULTADO PRECIO FIJO'!$D$110),'RESULTADO PRECIO FIJO'!I110,IF(AND('RESULTADO PRECIO FIJO'!$C$112="TOTAL",$H$42='RESULTADO PRECIO FIJO'!$E$112,$C$119='RESULTADO PRECIO FIJO'!$D$112),'RESULTADO PRECIO FIJO'!I112,IF(AND('RESULTADO PRECIO FIJO'!$C$114="TOTAL",$H$42='RESULTADO PRECIO FIJO'!$E$114,$C$119='RESULTADO PRECIO FIJO'!$D$114),'RESULTADO PRECIO FIJO'!I114,IF(AND('RESULTADO PRECIO FIJO'!$C$116="TOTAL",$H$42='RESULTADO PRECIO FIJO'!$E$116,$C$119='RESULTADO PRECIO FIJO'!$D$116),'RESULTADO PRECIO FIJO'!I116,IF(AND('RESULTADO PRECIO FIJO'!$C$118="TOTAL",$H$42='RESULTADO PRECIO FIJO'!$E$118,$C$119='RESULTADO PRECIO FIJO'!$D$118),'RESULTADO PRECIO FIJO'!I118,IF(AND('RESULTADO PRECIO FIJO'!$C$120="TOTAL",$H$42='RESULTADO PRECIO FIJO'!$E$120,$C$119='RESULTADO PRECIO FIJO'!$D$120),'RESULTADO PRECIO FIJO'!I120,IF(AND('RESULTADO PRECIO FIJO'!$C$122="TOTAL",$H$42='RESULTADO PRECIO FIJO'!$E$122,$C$119='RESULTADO PRECIO FIJO'!$D$122),'RESULTADO PRECIO FIJO'!I122,IF(AND('RESULTADO PRECIO FIJO'!$C$124="TOTAL",$H$42='RESULTADO PRECIO FIJO'!$E$124,$C$119='RESULTADO PRECIO FIJO'!$D$124),'RESULTADO PRECIO FIJO'!I124,IF(AND('RESULTADO PRECIO FIJO'!$C$126="TOTAL",$H$42='RESULTADO PRECIO FIJO'!$E$126,$C$119='RESULTADO PRECIO FIJO'!$D$126),'RESULTADO PRECIO FIJO'!I126,IF(AND('RESULTADO PRECIO FIJO'!$C$128="TOTAL",$H$42='RESULTADO PRECIO FIJO'!$E$128,$C$119='RESULTADO PRECIO FIJO'!$D$128),'RESULTADO PRECIO FIJO'!I128,IF(AND('RESULTADO PRECIO FIJO'!$C$130="TOTAL",$H$42='RESULTADO PRECIO FIJO'!$E$130,$C$119='RESULTADO PRECIO FIJO'!$D$130),'RESULTADO PRECIO FIJO'!I130,IF(AND('RESULTADO PRECIO FIJO'!$C$132="TOTAL",$H$42='RESULTADO PRECIO FIJO'!$E$132,$C$119='RESULTADO PRECIO FIJO'!$D$132),'RESULTADO PRECIO FIJO'!I132,IF(AND('RESULTADO PRECIO FIJO'!$C$134="TOTAL",$H$42='RESULTADO PRECIO FIJO'!$E$134,$C$119='RESULTADO PRECIO FIJO'!$D$134),'RESULTADO PRECIO FIJO'!I134))))))))))))))))))))))))</f>
        <v>0</v>
      </c>
      <c r="G121" s="14">
        <f>IF(AND('RESULTADO PRECIO FIJO'!$C$88="TOTAL",$H$42='RESULTADO PRECIO FIJO'!$E$88,$C$119='RESULTADO PRECIO FIJO'!$D$88),'RESULTADO PRECIO FIJO'!J88,IF(AND('RESULTADO PRECIO FIJO'!$C$90="TOTAL",$H$42='RESULTADO PRECIO FIJO'!$E$90,$C$119='RESULTADO PRECIO FIJO'!$D$90),'RESULTADO PRECIO FIJO'!J90,IF(AND('RESULTADO PRECIO FIJO'!$C$92="TOTAL",$H$42='RESULTADO PRECIO FIJO'!$E$92,$C$119='RESULTADO PRECIO FIJO'!$D$92),'RESULTADO PRECIO FIJO'!J92,IF(AND('RESULTADO PRECIO FIJO'!$C$94="TOTAL",$H$42='RESULTADO PRECIO FIJO'!$E$94,$C$119='RESULTADO PRECIO FIJO'!$D$94),'RESULTADO PRECIO FIJO'!J94,IF(AND('RESULTADO PRECIO FIJO'!$C$96="TOTAL",$H$42='RESULTADO PRECIO FIJO'!$E$96,$C$119='RESULTADO PRECIO FIJO'!$D$96),'RESULTADO PRECIO FIJO'!J96,IF(AND('RESULTADO PRECIO FIJO'!$C$98="TOTAL",$H$42='RESULTADO PRECIO FIJO'!$E$98,$C$119='RESULTADO PRECIO FIJO'!$D$98),'RESULTADO PRECIO FIJO'!J98,IF(AND('RESULTADO PRECIO FIJO'!$C$100="TOTAL",$H$42='RESULTADO PRECIO FIJO'!$E$100,$C$119='RESULTADO PRECIO FIJO'!$D$100),'RESULTADO PRECIO FIJO'!J100,IF(AND('RESULTADO PRECIO FIJO'!$C$102="TOTAL",$H$42='RESULTADO PRECIO FIJO'!$E$102,$C$119='RESULTADO PRECIO FIJO'!$D$102),'RESULTADO PRECIO FIJO'!J102,IF(AND('RESULTADO PRECIO FIJO'!$C$104="TOTAL",$H$42='RESULTADO PRECIO FIJO'!$E$104,$C$119='RESULTADO PRECIO FIJO'!$D$104),'RESULTADO PRECIO FIJO'!J104,IF(AND('RESULTADO PRECIO FIJO'!$C$106="TOTAL",$H$42='RESULTADO PRECIO FIJO'!$E$106,$C$119='RESULTADO PRECIO FIJO'!$D$106),'RESULTADO PRECIO FIJO'!J106,IF(AND('RESULTADO PRECIO FIJO'!$C$108="TOTAL",$H$42='RESULTADO PRECIO FIJO'!$E$108,$C$119='RESULTADO PRECIO FIJO'!$D$108),'RESULTADO PRECIO FIJO'!J108,IF(AND('RESULTADO PRECIO FIJO'!$C$110="TOTAL",$H$42='RESULTADO PRECIO FIJO'!$E$110,$C$119='RESULTADO PRECIO FIJO'!$D$110),'RESULTADO PRECIO FIJO'!J110,IF(AND('RESULTADO PRECIO FIJO'!$C$112="TOTAL",$H$42='RESULTADO PRECIO FIJO'!$E$112,$C$119='RESULTADO PRECIO FIJO'!$D$112),'RESULTADO PRECIO FIJO'!J112,IF(AND('RESULTADO PRECIO FIJO'!$C$114="TOTAL",$H$42='RESULTADO PRECIO FIJO'!$E$114,$C$119='RESULTADO PRECIO FIJO'!$D$114),'RESULTADO PRECIO FIJO'!J114,IF(AND('RESULTADO PRECIO FIJO'!$C$116="TOTAL",$H$42='RESULTADO PRECIO FIJO'!$E$116,$C$119='RESULTADO PRECIO FIJO'!$D$116),'RESULTADO PRECIO FIJO'!J116,IF(AND('RESULTADO PRECIO FIJO'!$C$118="TOTAL",$H$42='RESULTADO PRECIO FIJO'!$E$118,$C$119='RESULTADO PRECIO FIJO'!$D$118),'RESULTADO PRECIO FIJO'!J118,IF(AND('RESULTADO PRECIO FIJO'!$C$120="TOTAL",$H$42='RESULTADO PRECIO FIJO'!$E$120,$C$119='RESULTADO PRECIO FIJO'!$D$120),'RESULTADO PRECIO FIJO'!J120,IF(AND('RESULTADO PRECIO FIJO'!$C$122="TOTAL",$H$42='RESULTADO PRECIO FIJO'!$E$122,$C$119='RESULTADO PRECIO FIJO'!$D$122),'RESULTADO PRECIO FIJO'!J122,IF(AND('RESULTADO PRECIO FIJO'!$C$124="TOTAL",$H$42='RESULTADO PRECIO FIJO'!$E$124,$C$119='RESULTADO PRECIO FIJO'!$D$124),'RESULTADO PRECIO FIJO'!J124,IF(AND('RESULTADO PRECIO FIJO'!$C$126="TOTAL",$H$42='RESULTADO PRECIO FIJO'!$E$126,$C$119='RESULTADO PRECIO FIJO'!$D$126),'RESULTADO PRECIO FIJO'!J126,IF(AND('RESULTADO PRECIO FIJO'!$C$128="TOTAL",$H$42='RESULTADO PRECIO FIJO'!$E$128,$C$119='RESULTADO PRECIO FIJO'!$D$128),'RESULTADO PRECIO FIJO'!J128,IF(AND('RESULTADO PRECIO FIJO'!$C$130="TOTAL",$H$42='RESULTADO PRECIO FIJO'!$E$130,$C$119='RESULTADO PRECIO FIJO'!$D$130),'RESULTADO PRECIO FIJO'!J130,IF(AND('RESULTADO PRECIO FIJO'!$C$132="TOTAL",$H$42='RESULTADO PRECIO FIJO'!$E$132,$C$119='RESULTADO PRECIO FIJO'!$D$132),'RESULTADO PRECIO FIJO'!J132,IF(AND('RESULTADO PRECIO FIJO'!$C$134="TOTAL",$H$42='RESULTADO PRECIO FIJO'!$E$134,$C$119='RESULTADO PRECIO FIJO'!$D$134),'RESULTADO PRECIO FIJO'!J134))))))))))))))))))))))))</f>
        <v>0</v>
      </c>
      <c r="H121" s="14">
        <f>IF(AND('RESULTADO PRECIO FIJO'!$C$88="TOTAL",$H$42='RESULTADO PRECIO FIJO'!$E$88,$C$119='RESULTADO PRECIO FIJO'!$D$88),'RESULTADO PRECIO FIJO'!K88,IF(AND('RESULTADO PRECIO FIJO'!$C$90="TOTAL",$H$42='RESULTADO PRECIO FIJO'!$E$90,$C$119='RESULTADO PRECIO FIJO'!$D$90),'RESULTADO PRECIO FIJO'!K90,IF(AND('RESULTADO PRECIO FIJO'!$C$92="TOTAL",$H$42='RESULTADO PRECIO FIJO'!$E$92,$C$119='RESULTADO PRECIO FIJO'!$D$92),'RESULTADO PRECIO FIJO'!K92,IF(AND('RESULTADO PRECIO FIJO'!$C$94="TOTAL",$H$42='RESULTADO PRECIO FIJO'!$E$94,$C$119='RESULTADO PRECIO FIJO'!$D$94),'RESULTADO PRECIO FIJO'!K94,IF(AND('RESULTADO PRECIO FIJO'!$C$96="TOTAL",$H$42='RESULTADO PRECIO FIJO'!$E$96,$C$119='RESULTADO PRECIO FIJO'!$D$96),'RESULTADO PRECIO FIJO'!K96,IF(AND('RESULTADO PRECIO FIJO'!$C$98="TOTAL",$H$42='RESULTADO PRECIO FIJO'!$E$98,$C$119='RESULTADO PRECIO FIJO'!$D$98),'RESULTADO PRECIO FIJO'!K98,IF(AND('RESULTADO PRECIO FIJO'!$C$100="TOTAL",$H$42='RESULTADO PRECIO FIJO'!$E$100,$C$119='RESULTADO PRECIO FIJO'!$D$100),'RESULTADO PRECIO FIJO'!K100,IF(AND('RESULTADO PRECIO FIJO'!$C$102="TOTAL",$H$42='RESULTADO PRECIO FIJO'!$E$102,$C$119='RESULTADO PRECIO FIJO'!$D$102),'RESULTADO PRECIO FIJO'!K102,IF(AND('RESULTADO PRECIO FIJO'!$C$104="TOTAL",$H$42='RESULTADO PRECIO FIJO'!$E$104,$C$119='RESULTADO PRECIO FIJO'!$D$104),'RESULTADO PRECIO FIJO'!K104,IF(AND('RESULTADO PRECIO FIJO'!$C$106="TOTAL",$H$42='RESULTADO PRECIO FIJO'!$E$106,$C$119='RESULTADO PRECIO FIJO'!$D$106),'RESULTADO PRECIO FIJO'!K106,IF(AND('RESULTADO PRECIO FIJO'!$C$108="TOTAL",$H$42='RESULTADO PRECIO FIJO'!$E$108,$C$119='RESULTADO PRECIO FIJO'!$D$108),'RESULTADO PRECIO FIJO'!K108,IF(AND('RESULTADO PRECIO FIJO'!$C$110="TOTAL",$H$42='RESULTADO PRECIO FIJO'!$E$110,$C$119='RESULTADO PRECIO FIJO'!$D$110),'RESULTADO PRECIO FIJO'!K110,IF(AND('RESULTADO PRECIO FIJO'!$C$112="TOTAL",$H$42='RESULTADO PRECIO FIJO'!$E$112,$C$119='RESULTADO PRECIO FIJO'!$D$112),'RESULTADO PRECIO FIJO'!K112,IF(AND('RESULTADO PRECIO FIJO'!$C$114="TOTAL",$H$42='RESULTADO PRECIO FIJO'!$E$114,$C$119='RESULTADO PRECIO FIJO'!$D$114),'RESULTADO PRECIO FIJO'!K114,IF(AND('RESULTADO PRECIO FIJO'!$C$116="TOTAL",$H$42='RESULTADO PRECIO FIJO'!$E$116,$C$119='RESULTADO PRECIO FIJO'!$D$116),'RESULTADO PRECIO FIJO'!K116,IF(AND('RESULTADO PRECIO FIJO'!$C$118="TOTAL",$H$42='RESULTADO PRECIO FIJO'!$E$118,$C$119='RESULTADO PRECIO FIJO'!$D$118),'RESULTADO PRECIO FIJO'!K118,IF(AND('RESULTADO PRECIO FIJO'!$C$120="TOTAL",$H$42='RESULTADO PRECIO FIJO'!$E$120,$C$119='RESULTADO PRECIO FIJO'!$D$120),'RESULTADO PRECIO FIJO'!K120,IF(AND('RESULTADO PRECIO FIJO'!$C$122="TOTAL",$H$42='RESULTADO PRECIO FIJO'!$E$122,$C$119='RESULTADO PRECIO FIJO'!$D$122),'RESULTADO PRECIO FIJO'!K122,IF(AND('RESULTADO PRECIO FIJO'!$C$124="TOTAL",$H$42='RESULTADO PRECIO FIJO'!$E$124,$C$119='RESULTADO PRECIO FIJO'!$D$124),'RESULTADO PRECIO FIJO'!K124,IF(AND('RESULTADO PRECIO FIJO'!$C$126="TOTAL",$H$42='RESULTADO PRECIO FIJO'!$E$126,$C$119='RESULTADO PRECIO FIJO'!$D$126),'RESULTADO PRECIO FIJO'!K126,IF(AND('RESULTADO PRECIO FIJO'!$C$128="TOTAL",$H$42='RESULTADO PRECIO FIJO'!$E$128,$C$119='RESULTADO PRECIO FIJO'!$D$128),'RESULTADO PRECIO FIJO'!K128,IF(AND('RESULTADO PRECIO FIJO'!$C$130="TOTAL",$H$42='RESULTADO PRECIO FIJO'!$E$130,$C$119='RESULTADO PRECIO FIJO'!$D$130),'RESULTADO PRECIO FIJO'!K130,IF(AND('RESULTADO PRECIO FIJO'!$C$132="TOTAL",$H$42='RESULTADO PRECIO FIJO'!$E$132,$C$119='RESULTADO PRECIO FIJO'!$D$132),'RESULTADO PRECIO FIJO'!K132,IF(AND('RESULTADO PRECIO FIJO'!$C$134="TOTAL",$H$42='RESULTADO PRECIO FIJO'!$E$134,$C$119='RESULTADO PRECIO FIJO'!$D$134),'RESULTADO PRECIO FIJO'!K134))))))))))))))))))))))))</f>
        <v>0</v>
      </c>
      <c r="I121" s="14">
        <f>IF(AND('RESULTADO PRECIO FIJO'!$C$88="TOTAL",$H$42='RESULTADO PRECIO FIJO'!$E$88,$C$119='RESULTADO PRECIO FIJO'!$D$88),'RESULTADO PRECIO FIJO'!L88,IF(AND('RESULTADO PRECIO FIJO'!$C$90="TOTAL",$H$42='RESULTADO PRECIO FIJO'!$E$90,$C$119='RESULTADO PRECIO FIJO'!$D$90),'RESULTADO PRECIO FIJO'!L90,IF(AND('RESULTADO PRECIO FIJO'!$C$92="TOTAL",$H$42='RESULTADO PRECIO FIJO'!$E$92,$C$119='RESULTADO PRECIO FIJO'!$D$92),'RESULTADO PRECIO FIJO'!L92,IF(AND('RESULTADO PRECIO FIJO'!$C$94="TOTAL",$H$42='RESULTADO PRECIO FIJO'!$E$94,$C$119='RESULTADO PRECIO FIJO'!$D$94),'RESULTADO PRECIO FIJO'!L94,IF(AND('RESULTADO PRECIO FIJO'!$C$96="TOTAL",$H$42='RESULTADO PRECIO FIJO'!$E$96,$C$119='RESULTADO PRECIO FIJO'!$D$96),'RESULTADO PRECIO FIJO'!L96,IF(AND('RESULTADO PRECIO FIJO'!$C$98="TOTAL",$H$42='RESULTADO PRECIO FIJO'!$E$98,$C$119='RESULTADO PRECIO FIJO'!$D$98),'RESULTADO PRECIO FIJO'!L98,IF(AND('RESULTADO PRECIO FIJO'!$C$100="TOTAL",$H$42='RESULTADO PRECIO FIJO'!$E$100,$C$119='RESULTADO PRECIO FIJO'!$D$100),'RESULTADO PRECIO FIJO'!L100,IF(AND('RESULTADO PRECIO FIJO'!$C$102="TOTAL",$H$42='RESULTADO PRECIO FIJO'!$E$102,$C$119='RESULTADO PRECIO FIJO'!$D$102),'RESULTADO PRECIO FIJO'!L102,IF(AND('RESULTADO PRECIO FIJO'!$C$104="TOTAL",$H$42='RESULTADO PRECIO FIJO'!$E$104,$C$119='RESULTADO PRECIO FIJO'!$D$104),'RESULTADO PRECIO FIJO'!L104,IF(AND('RESULTADO PRECIO FIJO'!$C$106="TOTAL",$H$42='RESULTADO PRECIO FIJO'!$E$106,$C$119='RESULTADO PRECIO FIJO'!$D$106),'RESULTADO PRECIO FIJO'!L106,IF(AND('RESULTADO PRECIO FIJO'!$C$108="TOTAL",$H$42='RESULTADO PRECIO FIJO'!$E$108,$C$119='RESULTADO PRECIO FIJO'!$D$108),'RESULTADO PRECIO FIJO'!L108,IF(AND('RESULTADO PRECIO FIJO'!$C$110="TOTAL",$H$42='RESULTADO PRECIO FIJO'!$E$110,$C$119='RESULTADO PRECIO FIJO'!$D$110),'RESULTADO PRECIO FIJO'!L110,IF(AND('RESULTADO PRECIO FIJO'!$C$112="TOTAL",$H$42='RESULTADO PRECIO FIJO'!$E$112,$C$119='RESULTADO PRECIO FIJO'!$D$112),'RESULTADO PRECIO FIJO'!L112,IF(AND('RESULTADO PRECIO FIJO'!$C$114="TOTAL",$H$42='RESULTADO PRECIO FIJO'!$E$114,$C$119='RESULTADO PRECIO FIJO'!$D$114),'RESULTADO PRECIO FIJO'!L114,IF(AND('RESULTADO PRECIO FIJO'!$C$116="TOTAL",$H$42='RESULTADO PRECIO FIJO'!$E$116,$C$119='RESULTADO PRECIO FIJO'!$D$116),'RESULTADO PRECIO FIJO'!L116,IF(AND('RESULTADO PRECIO FIJO'!$C$118="TOTAL",$H$42='RESULTADO PRECIO FIJO'!$E$118,$C$119='RESULTADO PRECIO FIJO'!$D$118),'RESULTADO PRECIO FIJO'!L118,IF(AND('RESULTADO PRECIO FIJO'!$C$120="TOTAL",$H$42='RESULTADO PRECIO FIJO'!$E$120,$C$119='RESULTADO PRECIO FIJO'!$D$120),'RESULTADO PRECIO FIJO'!L120,IF(AND('RESULTADO PRECIO FIJO'!$C$122="TOTAL",$H$42='RESULTADO PRECIO FIJO'!$E$122,$C$119='RESULTADO PRECIO FIJO'!$D$122),'RESULTADO PRECIO FIJO'!L122,IF(AND('RESULTADO PRECIO FIJO'!$C$124="TOTAL",$H$42='RESULTADO PRECIO FIJO'!$E$124,$C$119='RESULTADO PRECIO FIJO'!$D$124),'RESULTADO PRECIO FIJO'!L124,IF(AND('RESULTADO PRECIO FIJO'!$C$126="TOTAL",$H$42='RESULTADO PRECIO FIJO'!$E$126,$C$119='RESULTADO PRECIO FIJO'!$D$126),'RESULTADO PRECIO FIJO'!L126,IF(AND('RESULTADO PRECIO FIJO'!$C$128="TOTAL",$H$42='RESULTADO PRECIO FIJO'!$E$128,$C$119='RESULTADO PRECIO FIJO'!$D$128),'RESULTADO PRECIO FIJO'!L128,IF(AND('RESULTADO PRECIO FIJO'!$C$130="TOTAL",$H$42='RESULTADO PRECIO FIJO'!$E$130,$C$119='RESULTADO PRECIO FIJO'!$D$130),'RESULTADO PRECIO FIJO'!L130,IF(AND('RESULTADO PRECIO FIJO'!$C$132="TOTAL",$H$42='RESULTADO PRECIO FIJO'!$E$132,$C$119='RESULTADO PRECIO FIJO'!$D$132),'RESULTADO PRECIO FIJO'!L132,IF(AND('RESULTADO PRECIO FIJO'!$C$134="TOTAL",$H$42='RESULTADO PRECIO FIJO'!$E$134,$C$119='RESULTADO PRECIO FIJO'!$D$134),'RESULTADO PRECIO FIJO'!L134))))))))))))))))))))))))</f>
        <v>0</v>
      </c>
      <c r="K121" s="143"/>
    </row>
    <row r="122" spans="2:11" ht="13.5" customHeight="1">
      <c r="B122" s="84"/>
      <c r="C122" s="4" t="s">
        <v>118</v>
      </c>
      <c r="D122" s="14">
        <f>IF(AND('RESULTADO PRECIO FIJO'!$C$88="TOTAL",$H$42='RESULTADO PRECIO FIJO'!$E$88,$C$119='RESULTADO PRECIO FIJO'!$D$88),'RESULTADO PRECIO FIJO'!G89,IF(AND('RESULTADO PRECIO FIJO'!$C$90="TOTAL",$H$42='RESULTADO PRECIO FIJO'!$E$90,$C$119='RESULTADO PRECIO FIJO'!$D$90),'RESULTADO PRECIO FIJO'!G91,IF(AND('RESULTADO PRECIO FIJO'!$C$92="TOTAL",$H$42='RESULTADO PRECIO FIJO'!$E$92,$C$119='RESULTADO PRECIO FIJO'!$D$92),'RESULTADO PRECIO FIJO'!G93,IF(AND('RESULTADO PRECIO FIJO'!$C$94="TOTAL",$H$42='RESULTADO PRECIO FIJO'!$E$94,$C$119='RESULTADO PRECIO FIJO'!$D$94),'RESULTADO PRECIO FIJO'!G95,IF(AND('RESULTADO PRECIO FIJO'!$C$96="TOTAL",$H$42='RESULTADO PRECIO FIJO'!$E$96,$C$119='RESULTADO PRECIO FIJO'!$D$96),'RESULTADO PRECIO FIJO'!G97,IF(AND('RESULTADO PRECIO FIJO'!$C$98="TOTAL",$H$42='RESULTADO PRECIO FIJO'!$E$98,$C$119='RESULTADO PRECIO FIJO'!$D$98),'RESULTADO PRECIO FIJO'!G99,IF(AND('RESULTADO PRECIO FIJO'!$C$100="TOTAL",$H$42='RESULTADO PRECIO FIJO'!$E$100,$C$119='RESULTADO PRECIO FIJO'!$D$100),'RESULTADO PRECIO FIJO'!G101,IF(AND('RESULTADO PRECIO FIJO'!$C$102="TOTAL",$H$42='RESULTADO PRECIO FIJO'!$E$102,$C$119='RESULTADO PRECIO FIJO'!$D$102),'RESULTADO PRECIO FIJO'!G103,IF(AND('RESULTADO PRECIO FIJO'!$C$104="TOTAL",$H$42='RESULTADO PRECIO FIJO'!$E$104,$C$119='RESULTADO PRECIO FIJO'!$D$104),'RESULTADO PRECIO FIJO'!G105,IF(AND('RESULTADO PRECIO FIJO'!$C$106="TOTAL",$H$42='RESULTADO PRECIO FIJO'!$E$106,$C$119='RESULTADO PRECIO FIJO'!$D$106),'RESULTADO PRECIO FIJO'!G107,IF(AND('RESULTADO PRECIO FIJO'!$C$108="TOTAL",$H$42='RESULTADO PRECIO FIJO'!$E$108,$C$119='RESULTADO PRECIO FIJO'!$D$108),'RESULTADO PRECIO FIJO'!G109,IF(AND('RESULTADO PRECIO FIJO'!$C$110="TOTAL",$H$42='RESULTADO PRECIO FIJO'!$E$110,$C$119='RESULTADO PRECIO FIJO'!$D$110),'RESULTADO PRECIO FIJO'!G111,IF(AND('RESULTADO PRECIO FIJO'!$C$112="TOTAL",$H$42='RESULTADO PRECIO FIJO'!$E$112,$C$119='RESULTADO PRECIO FIJO'!$D$112),'RESULTADO PRECIO FIJO'!G113,IF(AND('RESULTADO PRECIO FIJO'!$C$114="TOTAL",$H$42='RESULTADO PRECIO FIJO'!$E$114,$C$119='RESULTADO PRECIO FIJO'!$D$114),'RESULTADO PRECIO FIJO'!G115,IF(AND('RESULTADO PRECIO FIJO'!$C$116="TOTAL",$H$42='RESULTADO PRECIO FIJO'!$E$116,$C$119='RESULTADO PRECIO FIJO'!$D$116),'RESULTADO PRECIO FIJO'!G117,IF(AND('RESULTADO PRECIO FIJO'!$C$118="TOTAL",$H$42='RESULTADO PRECIO FIJO'!$E$118,$C$119='RESULTADO PRECIO FIJO'!$D$118),'RESULTADO PRECIO FIJO'!G119,IF(AND('RESULTADO PRECIO FIJO'!$C$120="TOTAL",$H$42='RESULTADO PRECIO FIJO'!$E$120,$C$119='RESULTADO PRECIO FIJO'!$D$120),'RESULTADO PRECIO FIJO'!G121,IF(AND('RESULTADO PRECIO FIJO'!$C$122="TOTAL",$H$42='RESULTADO PRECIO FIJO'!$E$122,$C$119='RESULTADO PRECIO FIJO'!$D$122),'RESULTADO PRECIO FIJO'!G123,IF(AND('RESULTADO PRECIO FIJO'!$C$124="TOTAL",$H$42='RESULTADO PRECIO FIJO'!$E$124,$C$119='RESULTADO PRECIO FIJO'!$D$124),'RESULTADO PRECIO FIJO'!G125,IF(AND('RESULTADO PRECIO FIJO'!$C$126="TOTAL",$H$42='RESULTADO PRECIO FIJO'!$E$126,$C$119='RESULTADO PRECIO FIJO'!$D$126),'RESULTADO PRECIO FIJO'!G127,IF(AND('RESULTADO PRECIO FIJO'!$C$128="TOTAL",$H$42='RESULTADO PRECIO FIJO'!$E$128,$C$119='RESULTADO PRECIO FIJO'!$D$128),'RESULTADO PRECIO FIJO'!G129,IF(AND('RESULTADO PRECIO FIJO'!$C$130="TOTAL",$H$42='RESULTADO PRECIO FIJO'!$E$130,$C$119='RESULTADO PRECIO FIJO'!$D$130),'RESULTADO PRECIO FIJO'!G131,IF(AND('RESULTADO PRECIO FIJO'!$C$132="TOTAL",$H$42='RESULTADO PRECIO FIJO'!$E$132,$C$119='RESULTADO PRECIO FIJO'!$D$132),'RESULTADO PRECIO FIJO'!G133,IF(AND('RESULTADO PRECIO FIJO'!$C$134="TOTAL",$H$42='RESULTADO PRECIO FIJO'!$E$134,$C$119='RESULTADO PRECIO FIJO'!$D$134),'RESULTADO PRECIO FIJO'!G135))))))))))))))))))))))))</f>
        <v>0.227045</v>
      </c>
      <c r="E122" s="14">
        <f>IF(AND('RESULTADO PRECIO FIJO'!$C$88="TOTAL",$H$42='RESULTADO PRECIO FIJO'!$E$88,$C$119='RESULTADO PRECIO FIJO'!$D$88),'RESULTADO PRECIO FIJO'!H89,IF(AND('RESULTADO PRECIO FIJO'!$C$90="TOTAL",$H$42='RESULTADO PRECIO FIJO'!$E$90,$C$119='RESULTADO PRECIO FIJO'!$D$90),'RESULTADO PRECIO FIJO'!H91,IF(AND('RESULTADO PRECIO FIJO'!$C$92="TOTAL",$H$42='RESULTADO PRECIO FIJO'!$E$92,$C$119='RESULTADO PRECIO FIJO'!$D$92),'RESULTADO PRECIO FIJO'!H93,IF(AND('RESULTADO PRECIO FIJO'!$C$94="TOTAL",$H$42='RESULTADO PRECIO FIJO'!$E$94,$C$119='RESULTADO PRECIO FIJO'!$D$94),'RESULTADO PRECIO FIJO'!H95,IF(AND('RESULTADO PRECIO FIJO'!$C$96="TOTAL",$H$42='RESULTADO PRECIO FIJO'!$E$96,$C$119='RESULTADO PRECIO FIJO'!$D$96),'RESULTADO PRECIO FIJO'!H97,IF(AND('RESULTADO PRECIO FIJO'!$C$98="TOTAL",$H$42='RESULTADO PRECIO FIJO'!$E$98,$C$119='RESULTADO PRECIO FIJO'!$D$98),'RESULTADO PRECIO FIJO'!H99,IF(AND('RESULTADO PRECIO FIJO'!$C$100="TOTAL",$H$42='RESULTADO PRECIO FIJO'!$E$100,$C$119='RESULTADO PRECIO FIJO'!$D$100),'RESULTADO PRECIO FIJO'!H101,IF(AND('RESULTADO PRECIO FIJO'!$C$102="TOTAL",$H$42='RESULTADO PRECIO FIJO'!$E$102,$C$119='RESULTADO PRECIO FIJO'!$D$102),'RESULTADO PRECIO FIJO'!H103,IF(AND('RESULTADO PRECIO FIJO'!$C$104="TOTAL",$H$42='RESULTADO PRECIO FIJO'!$E$104,$C$119='RESULTADO PRECIO FIJO'!$D$104),'RESULTADO PRECIO FIJO'!H105,IF(AND('RESULTADO PRECIO FIJO'!$C$106="TOTAL",$H$42='RESULTADO PRECIO FIJO'!$E$106,$C$119='RESULTADO PRECIO FIJO'!$D$106),'RESULTADO PRECIO FIJO'!H107,IF(AND('RESULTADO PRECIO FIJO'!$C$108="TOTAL",$H$42='RESULTADO PRECIO FIJO'!$E$108,$C$119='RESULTADO PRECIO FIJO'!$D$108),'RESULTADO PRECIO FIJO'!H109,IF(AND('RESULTADO PRECIO FIJO'!$C$110="TOTAL",$H$42='RESULTADO PRECIO FIJO'!$E$110,$C$119='RESULTADO PRECIO FIJO'!$D$110),'RESULTADO PRECIO FIJO'!H111,IF(AND('RESULTADO PRECIO FIJO'!$C$112="TOTAL",$H$42='RESULTADO PRECIO FIJO'!$E$112,$C$119='RESULTADO PRECIO FIJO'!$D$112),'RESULTADO PRECIO FIJO'!H113,IF(AND('RESULTADO PRECIO FIJO'!$C$114="TOTAL",$H$42='RESULTADO PRECIO FIJO'!$E$114,$C$119='RESULTADO PRECIO FIJO'!$D$114),'RESULTADO PRECIO FIJO'!H115,IF(AND('RESULTADO PRECIO FIJO'!$C$116="TOTAL",$H$42='RESULTADO PRECIO FIJO'!$E$116,$C$119='RESULTADO PRECIO FIJO'!$D$116),'RESULTADO PRECIO FIJO'!H117,IF(AND('RESULTADO PRECIO FIJO'!$C$118="TOTAL",$H$42='RESULTADO PRECIO FIJO'!$E$118,$C$119='RESULTADO PRECIO FIJO'!$D$118),'RESULTADO PRECIO FIJO'!H119,IF(AND('RESULTADO PRECIO FIJO'!$C$120="TOTAL",$H$42='RESULTADO PRECIO FIJO'!$E$120,$C$119='RESULTADO PRECIO FIJO'!$D$120),'RESULTADO PRECIO FIJO'!H121,IF(AND('RESULTADO PRECIO FIJO'!$C$122="TOTAL",$H$42='RESULTADO PRECIO FIJO'!$E$122,$C$119='RESULTADO PRECIO FIJO'!$D$122),'RESULTADO PRECIO FIJO'!H123,IF(AND('RESULTADO PRECIO FIJO'!$C$124="TOTAL",$H$42='RESULTADO PRECIO FIJO'!$E$124,$C$119='RESULTADO PRECIO FIJO'!$D$124),'RESULTADO PRECIO FIJO'!H125,IF(AND('RESULTADO PRECIO FIJO'!$C$126="TOTAL",$H$42='RESULTADO PRECIO FIJO'!$E$126,$C$119='RESULTADO PRECIO FIJO'!$D$126),'RESULTADO PRECIO FIJO'!H127,IF(AND('RESULTADO PRECIO FIJO'!$C$128="TOTAL",$H$42='RESULTADO PRECIO FIJO'!$E$128,$C$119='RESULTADO PRECIO FIJO'!$D$128),'RESULTADO PRECIO FIJO'!H129,IF(AND('RESULTADO PRECIO FIJO'!$C$130="TOTAL",$H$42='RESULTADO PRECIO FIJO'!$E$130,$C$119='RESULTADO PRECIO FIJO'!$D$130),'RESULTADO PRECIO FIJO'!H131,IF(AND('RESULTADO PRECIO FIJO'!$C$132="TOTAL",$H$42='RESULTADO PRECIO FIJO'!$E$132,$C$119='RESULTADO PRECIO FIJO'!$D$132),'RESULTADO PRECIO FIJO'!H133,IF(AND('RESULTADO PRECIO FIJO'!$C$134="TOTAL",$H$42='RESULTADO PRECIO FIJO'!$E$134,$C$119='RESULTADO PRECIO FIJO'!$D$134),'RESULTADO PRECIO FIJO'!H135))))))))))))))))))))))))</f>
        <v>0.227045</v>
      </c>
      <c r="F122" s="14">
        <f>IF(AND('RESULTADO PRECIO FIJO'!$C$88="TOTAL",$H$42='RESULTADO PRECIO FIJO'!$E$88,$C$119='RESULTADO PRECIO FIJO'!$D$88),'RESULTADO PRECIO FIJO'!I89,IF(AND('RESULTADO PRECIO FIJO'!$C$90="TOTAL",$H$42='RESULTADO PRECIO FIJO'!$E$90,$C$119='RESULTADO PRECIO FIJO'!$D$90),'RESULTADO PRECIO FIJO'!I91,IF(AND('RESULTADO PRECIO FIJO'!$C$92="TOTAL",$H$42='RESULTADO PRECIO FIJO'!$E$92,$C$119='RESULTADO PRECIO FIJO'!$D$92),'RESULTADO PRECIO FIJO'!I93,IF(AND('RESULTADO PRECIO FIJO'!$C$94="TOTAL",$H$42='RESULTADO PRECIO FIJO'!$E$94,$C$119='RESULTADO PRECIO FIJO'!$D$94),'RESULTADO PRECIO FIJO'!I95,IF(AND('RESULTADO PRECIO FIJO'!$C$96="TOTAL",$H$42='RESULTADO PRECIO FIJO'!$E$96,$C$119='RESULTADO PRECIO FIJO'!$D$96),'RESULTADO PRECIO FIJO'!I97,IF(AND('RESULTADO PRECIO FIJO'!$C$98="TOTAL",$H$42='RESULTADO PRECIO FIJO'!$E$98,$C$119='RESULTADO PRECIO FIJO'!$D$98),'RESULTADO PRECIO FIJO'!I99,IF(AND('RESULTADO PRECIO FIJO'!$C$100="TOTAL",$H$42='RESULTADO PRECIO FIJO'!$E$100,$C$119='RESULTADO PRECIO FIJO'!$D$100),'RESULTADO PRECIO FIJO'!I101,IF(AND('RESULTADO PRECIO FIJO'!$C$102="TOTAL",$H$42='RESULTADO PRECIO FIJO'!$E$102,$C$119='RESULTADO PRECIO FIJO'!$D$102),'RESULTADO PRECIO FIJO'!I103,IF(AND('RESULTADO PRECIO FIJO'!$C$104="TOTAL",$H$42='RESULTADO PRECIO FIJO'!$E$104,$C$119='RESULTADO PRECIO FIJO'!$D$104),'RESULTADO PRECIO FIJO'!I105,IF(AND('RESULTADO PRECIO FIJO'!$C$106="TOTAL",$H$42='RESULTADO PRECIO FIJO'!$E$106,$C$119='RESULTADO PRECIO FIJO'!$D$106),'RESULTADO PRECIO FIJO'!I107,IF(AND('RESULTADO PRECIO FIJO'!$C$108="TOTAL",$H$42='RESULTADO PRECIO FIJO'!$E$108,$C$119='RESULTADO PRECIO FIJO'!$D$108),'RESULTADO PRECIO FIJO'!I109,IF(AND('RESULTADO PRECIO FIJO'!$C$110="TOTAL",$H$42='RESULTADO PRECIO FIJO'!$E$110,$C$119='RESULTADO PRECIO FIJO'!$D$110),'RESULTADO PRECIO FIJO'!I111,IF(AND('RESULTADO PRECIO FIJO'!$C$112="TOTAL",$H$42='RESULTADO PRECIO FIJO'!$E$112,$C$119='RESULTADO PRECIO FIJO'!$D$112),'RESULTADO PRECIO FIJO'!I113,IF(AND('RESULTADO PRECIO FIJO'!$C$114="TOTAL",$H$42='RESULTADO PRECIO FIJO'!$E$114,$C$119='RESULTADO PRECIO FIJO'!$D$114),'RESULTADO PRECIO FIJO'!I115,IF(AND('RESULTADO PRECIO FIJO'!$C$116="TOTAL",$H$42='RESULTADO PRECIO FIJO'!$E$116,$C$119='RESULTADO PRECIO FIJO'!$D$116),'RESULTADO PRECIO FIJO'!I117,IF(AND('RESULTADO PRECIO FIJO'!$C$118="TOTAL",$H$42='RESULTADO PRECIO FIJO'!$E$118,$C$119='RESULTADO PRECIO FIJO'!$D$118),'RESULTADO PRECIO FIJO'!I119,IF(AND('RESULTADO PRECIO FIJO'!$C$120="TOTAL",$H$42='RESULTADO PRECIO FIJO'!$E$120,$C$119='RESULTADO PRECIO FIJO'!$D$120),'RESULTADO PRECIO FIJO'!I121,IF(AND('RESULTADO PRECIO FIJO'!$C$122="TOTAL",$H$42='RESULTADO PRECIO FIJO'!$E$122,$C$119='RESULTADO PRECIO FIJO'!$D$122),'RESULTADO PRECIO FIJO'!I123,IF(AND('RESULTADO PRECIO FIJO'!$C$124="TOTAL",$H$42='RESULTADO PRECIO FIJO'!$E$124,$C$119='RESULTADO PRECIO FIJO'!$D$124),'RESULTADO PRECIO FIJO'!I125,IF(AND('RESULTADO PRECIO FIJO'!$C$126="TOTAL",$H$42='RESULTADO PRECIO FIJO'!$E$126,$C$119='RESULTADO PRECIO FIJO'!$D$126),'RESULTADO PRECIO FIJO'!I127,IF(AND('RESULTADO PRECIO FIJO'!$C$128="TOTAL",$H$42='RESULTADO PRECIO FIJO'!$E$128,$C$119='RESULTADO PRECIO FIJO'!$D$128),'RESULTADO PRECIO FIJO'!I129,IF(AND('RESULTADO PRECIO FIJO'!$C$130="TOTAL",$H$42='RESULTADO PRECIO FIJO'!$E$130,$C$119='RESULTADO PRECIO FIJO'!$D$130),'RESULTADO PRECIO FIJO'!I131,IF(AND('RESULTADO PRECIO FIJO'!$C$132="TOTAL",$H$42='RESULTADO PRECIO FIJO'!$E$132,$C$119='RESULTADO PRECIO FIJO'!$D$132),'RESULTADO PRECIO FIJO'!I133,IF(AND('RESULTADO PRECIO FIJO'!$C$134="TOTAL",$H$42='RESULTADO PRECIO FIJO'!$E$134,$C$119='RESULTADO PRECIO FIJO'!$D$134),'RESULTADO PRECIO FIJO'!I135))))))))))))))))))))))))</f>
        <v>0.227045</v>
      </c>
      <c r="G122" s="14">
        <f>IF(AND('RESULTADO PRECIO FIJO'!$C$88="TOTAL",$H$42='RESULTADO PRECIO FIJO'!$E$88,$C$119='RESULTADO PRECIO FIJO'!$D$88),'RESULTADO PRECIO FIJO'!J89,IF(AND('RESULTADO PRECIO FIJO'!$C$90="TOTAL",$H$42='RESULTADO PRECIO FIJO'!$E$90,$C$119='RESULTADO PRECIO FIJO'!$D$90),'RESULTADO PRECIO FIJO'!J91,IF(AND('RESULTADO PRECIO FIJO'!$C$92="TOTAL",$H$42='RESULTADO PRECIO FIJO'!$E$92,$C$119='RESULTADO PRECIO FIJO'!$D$92),'RESULTADO PRECIO FIJO'!J93,IF(AND('RESULTADO PRECIO FIJO'!$C$94="TOTAL",$H$42='RESULTADO PRECIO FIJO'!$E$94,$C$119='RESULTADO PRECIO FIJO'!$D$94),'RESULTADO PRECIO FIJO'!J95,IF(AND('RESULTADO PRECIO FIJO'!$C$96="TOTAL",$H$42='RESULTADO PRECIO FIJO'!$E$96,$C$119='RESULTADO PRECIO FIJO'!$D$96),'RESULTADO PRECIO FIJO'!J97,IF(AND('RESULTADO PRECIO FIJO'!$C$98="TOTAL",$H$42='RESULTADO PRECIO FIJO'!$E$98,$C$119='RESULTADO PRECIO FIJO'!$D$98),'RESULTADO PRECIO FIJO'!J99,IF(AND('RESULTADO PRECIO FIJO'!$C$100="TOTAL",$H$42='RESULTADO PRECIO FIJO'!$E$100,$C$119='RESULTADO PRECIO FIJO'!$D$100),'RESULTADO PRECIO FIJO'!J101,IF(AND('RESULTADO PRECIO FIJO'!$C$102="TOTAL",$H$42='RESULTADO PRECIO FIJO'!$E$102,$C$119='RESULTADO PRECIO FIJO'!$D$102),'RESULTADO PRECIO FIJO'!J103,IF(AND('RESULTADO PRECIO FIJO'!$C$104="TOTAL",$H$42='RESULTADO PRECIO FIJO'!$E$104,$C$119='RESULTADO PRECIO FIJO'!$D$104),'RESULTADO PRECIO FIJO'!J105,IF(AND('RESULTADO PRECIO FIJO'!$C$106="TOTAL",$H$42='RESULTADO PRECIO FIJO'!$E$106,$C$119='RESULTADO PRECIO FIJO'!$D$106),'RESULTADO PRECIO FIJO'!J107,IF(AND('RESULTADO PRECIO FIJO'!$C$108="TOTAL",$H$42='RESULTADO PRECIO FIJO'!$E$108,$C$119='RESULTADO PRECIO FIJO'!$D$108),'RESULTADO PRECIO FIJO'!J109,IF(AND('RESULTADO PRECIO FIJO'!$C$110="TOTAL",$H$42='RESULTADO PRECIO FIJO'!$E$110,$C$119='RESULTADO PRECIO FIJO'!$D$110),'RESULTADO PRECIO FIJO'!J111,IF(AND('RESULTADO PRECIO FIJO'!$C$112="TOTAL",$H$42='RESULTADO PRECIO FIJO'!$E$112,$C$119='RESULTADO PRECIO FIJO'!$D$112),'RESULTADO PRECIO FIJO'!J113,IF(AND('RESULTADO PRECIO FIJO'!$C$114="TOTAL",$H$42='RESULTADO PRECIO FIJO'!$E$114,$C$119='RESULTADO PRECIO FIJO'!$D$114),'RESULTADO PRECIO FIJO'!J115,IF(AND('RESULTADO PRECIO FIJO'!$C$116="TOTAL",$H$42='RESULTADO PRECIO FIJO'!$E$116,$C$119='RESULTADO PRECIO FIJO'!$D$116),'RESULTADO PRECIO FIJO'!J117,IF(AND('RESULTADO PRECIO FIJO'!$C$118="TOTAL",$H$42='RESULTADO PRECIO FIJO'!$E$118,$C$119='RESULTADO PRECIO FIJO'!$D$118),'RESULTADO PRECIO FIJO'!J119,IF(AND('RESULTADO PRECIO FIJO'!$C$120="TOTAL",$H$42='RESULTADO PRECIO FIJO'!$E$120,$C$119='RESULTADO PRECIO FIJO'!$D$120),'RESULTADO PRECIO FIJO'!J121,IF(AND('RESULTADO PRECIO FIJO'!$C$122="TOTAL",$H$42='RESULTADO PRECIO FIJO'!$E$122,$C$119='RESULTADO PRECIO FIJO'!$D$122),'RESULTADO PRECIO FIJO'!J123,IF(AND('RESULTADO PRECIO FIJO'!$C$124="TOTAL",$H$42='RESULTADO PRECIO FIJO'!$E$124,$C$119='RESULTADO PRECIO FIJO'!$D$124),'RESULTADO PRECIO FIJO'!J125,IF(AND('RESULTADO PRECIO FIJO'!$C$126="TOTAL",$H$42='RESULTADO PRECIO FIJO'!$E$126,$C$119='RESULTADO PRECIO FIJO'!$D$126),'RESULTADO PRECIO FIJO'!J127,IF(AND('RESULTADO PRECIO FIJO'!$C$128="TOTAL",$H$42='RESULTADO PRECIO FIJO'!$E$128,$C$119='RESULTADO PRECIO FIJO'!$D$128),'RESULTADO PRECIO FIJO'!J129,IF(AND('RESULTADO PRECIO FIJO'!$C$130="TOTAL",$H$42='RESULTADO PRECIO FIJO'!$E$130,$C$119='RESULTADO PRECIO FIJO'!$D$130),'RESULTADO PRECIO FIJO'!J131,IF(AND('RESULTADO PRECIO FIJO'!$C$132="TOTAL",$H$42='RESULTADO PRECIO FIJO'!$E$132,$C$119='RESULTADO PRECIO FIJO'!$D$132),'RESULTADO PRECIO FIJO'!J133,IF(AND('RESULTADO PRECIO FIJO'!$C$134="TOTAL",$H$42='RESULTADO PRECIO FIJO'!$E$134,$C$119='RESULTADO PRECIO FIJO'!$D$134),'RESULTADO PRECIO FIJO'!J135))))))))))))))))))))))))</f>
        <v>0.227045</v>
      </c>
      <c r="H122" s="14">
        <f>IF(AND('RESULTADO PRECIO FIJO'!$C$88="TOTAL",$H$42='RESULTADO PRECIO FIJO'!$E$88,$C$119='RESULTADO PRECIO FIJO'!$D$88),'RESULTADO PRECIO FIJO'!K89,IF(AND('RESULTADO PRECIO FIJO'!$C$90="TOTAL",$H$42='RESULTADO PRECIO FIJO'!$E$90,$C$119='RESULTADO PRECIO FIJO'!$D$90),'RESULTADO PRECIO FIJO'!K91,IF(AND('RESULTADO PRECIO FIJO'!$C$92="TOTAL",$H$42='RESULTADO PRECIO FIJO'!$E$92,$C$119='RESULTADO PRECIO FIJO'!$D$92),'RESULTADO PRECIO FIJO'!K93,IF(AND('RESULTADO PRECIO FIJO'!$C$94="TOTAL",$H$42='RESULTADO PRECIO FIJO'!$E$94,$C$119='RESULTADO PRECIO FIJO'!$D$94),'RESULTADO PRECIO FIJO'!K95,IF(AND('RESULTADO PRECIO FIJO'!$C$96="TOTAL",$H$42='RESULTADO PRECIO FIJO'!$E$96,$C$119='RESULTADO PRECIO FIJO'!$D$96),'RESULTADO PRECIO FIJO'!K97,IF(AND('RESULTADO PRECIO FIJO'!$C$98="TOTAL",$H$42='RESULTADO PRECIO FIJO'!$E$98,$C$119='RESULTADO PRECIO FIJO'!$D$98),'RESULTADO PRECIO FIJO'!K99,IF(AND('RESULTADO PRECIO FIJO'!$C$100="TOTAL",$H$42='RESULTADO PRECIO FIJO'!$E$100,$C$119='RESULTADO PRECIO FIJO'!$D$100),'RESULTADO PRECIO FIJO'!K101,IF(AND('RESULTADO PRECIO FIJO'!$C$102="TOTAL",$H$42='RESULTADO PRECIO FIJO'!$E$102,$C$119='RESULTADO PRECIO FIJO'!$D$102),'RESULTADO PRECIO FIJO'!K103,IF(AND('RESULTADO PRECIO FIJO'!$C$104="TOTAL",$H$42='RESULTADO PRECIO FIJO'!$E$104,$C$119='RESULTADO PRECIO FIJO'!$D$104),'RESULTADO PRECIO FIJO'!K105,IF(AND('RESULTADO PRECIO FIJO'!$C$106="TOTAL",$H$42='RESULTADO PRECIO FIJO'!$E$106,$C$119='RESULTADO PRECIO FIJO'!$D$106),'RESULTADO PRECIO FIJO'!K107,IF(AND('RESULTADO PRECIO FIJO'!$C$108="TOTAL",$H$42='RESULTADO PRECIO FIJO'!$E$108,$C$119='RESULTADO PRECIO FIJO'!$D$108),'RESULTADO PRECIO FIJO'!K109,IF(AND('RESULTADO PRECIO FIJO'!$C$110="TOTAL",$H$42='RESULTADO PRECIO FIJO'!$E$110,$C$119='RESULTADO PRECIO FIJO'!$D$110),'RESULTADO PRECIO FIJO'!K111,IF(AND('RESULTADO PRECIO FIJO'!$C$112="TOTAL",$H$42='RESULTADO PRECIO FIJO'!$E$112,$C$119='RESULTADO PRECIO FIJO'!$D$112),'RESULTADO PRECIO FIJO'!K113,IF(AND('RESULTADO PRECIO FIJO'!$C$114="TOTAL",$H$42='RESULTADO PRECIO FIJO'!$E$114,$C$119='RESULTADO PRECIO FIJO'!$D$114),'RESULTADO PRECIO FIJO'!K115,IF(AND('RESULTADO PRECIO FIJO'!$C$116="TOTAL",$H$42='RESULTADO PRECIO FIJO'!$E$116,$C$119='RESULTADO PRECIO FIJO'!$D$116),'RESULTADO PRECIO FIJO'!K117,IF(AND('RESULTADO PRECIO FIJO'!$C$118="TOTAL",$H$42='RESULTADO PRECIO FIJO'!$E$118,$C$119='RESULTADO PRECIO FIJO'!$D$118),'RESULTADO PRECIO FIJO'!K119,IF(AND('RESULTADO PRECIO FIJO'!$C$120="TOTAL",$H$42='RESULTADO PRECIO FIJO'!$E$120,$C$119='RESULTADO PRECIO FIJO'!$D$120),'RESULTADO PRECIO FIJO'!K121,IF(AND('RESULTADO PRECIO FIJO'!$C$122="TOTAL",$H$42='RESULTADO PRECIO FIJO'!$E$122,$C$119='RESULTADO PRECIO FIJO'!$D$122),'RESULTADO PRECIO FIJO'!K123,IF(AND('RESULTADO PRECIO FIJO'!$C$124="TOTAL",$H$42='RESULTADO PRECIO FIJO'!$E$124,$C$119='RESULTADO PRECIO FIJO'!$D$124),'RESULTADO PRECIO FIJO'!K125,IF(AND('RESULTADO PRECIO FIJO'!$C$126="TOTAL",$H$42='RESULTADO PRECIO FIJO'!$E$126,$C$119='RESULTADO PRECIO FIJO'!$D$126),'RESULTADO PRECIO FIJO'!K127,IF(AND('RESULTADO PRECIO FIJO'!$C$128="TOTAL",$H$42='RESULTADO PRECIO FIJO'!$E$128,$C$119='RESULTADO PRECIO FIJO'!$D$128),'RESULTADO PRECIO FIJO'!K129,IF(AND('RESULTADO PRECIO FIJO'!$C$130="TOTAL",$H$42='RESULTADO PRECIO FIJO'!$E$130,$C$119='RESULTADO PRECIO FIJO'!$D$130),'RESULTADO PRECIO FIJO'!K131,IF(AND('RESULTADO PRECIO FIJO'!$C$132="TOTAL",$H$42='RESULTADO PRECIO FIJO'!$E$132,$C$119='RESULTADO PRECIO FIJO'!$D$132),'RESULTADO PRECIO FIJO'!K133,IF(AND('RESULTADO PRECIO FIJO'!$C$134="TOTAL",$H$42='RESULTADO PRECIO FIJO'!$E$134,$C$119='RESULTADO PRECIO FIJO'!$D$134),'RESULTADO PRECIO FIJO'!K135))))))))))))))))))))))))</f>
        <v>0.227045</v>
      </c>
      <c r="I122" s="14">
        <f>IF(AND('RESULTADO PRECIO FIJO'!$C$88="TOTAL",$H$42='RESULTADO PRECIO FIJO'!$E$88,$C$119='RESULTADO PRECIO FIJO'!$D$88),'RESULTADO PRECIO FIJO'!L89,IF(AND('RESULTADO PRECIO FIJO'!$C$90="TOTAL",$H$42='RESULTADO PRECIO FIJO'!$E$90,$C$119='RESULTADO PRECIO FIJO'!$D$90),'RESULTADO PRECIO FIJO'!L91,IF(AND('RESULTADO PRECIO FIJO'!$C$92="TOTAL",$H$42='RESULTADO PRECIO FIJO'!$E$92,$C$119='RESULTADO PRECIO FIJO'!$D$92),'RESULTADO PRECIO FIJO'!L93,IF(AND('RESULTADO PRECIO FIJO'!$C$94="TOTAL",$H$42='RESULTADO PRECIO FIJO'!$E$94,$C$119='RESULTADO PRECIO FIJO'!$D$94),'RESULTADO PRECIO FIJO'!L95,IF(AND('RESULTADO PRECIO FIJO'!$C$96="TOTAL",$H$42='RESULTADO PRECIO FIJO'!$E$96,$C$119='RESULTADO PRECIO FIJO'!$D$96),'RESULTADO PRECIO FIJO'!L97,IF(AND('RESULTADO PRECIO FIJO'!$C$98="TOTAL",$H$42='RESULTADO PRECIO FIJO'!$E$98,$C$119='RESULTADO PRECIO FIJO'!$D$98),'RESULTADO PRECIO FIJO'!L99,IF(AND('RESULTADO PRECIO FIJO'!$C$100="TOTAL",$H$42='RESULTADO PRECIO FIJO'!$E$100,$C$119='RESULTADO PRECIO FIJO'!$D$100),'RESULTADO PRECIO FIJO'!L101,IF(AND('RESULTADO PRECIO FIJO'!$C$102="TOTAL",$H$42='RESULTADO PRECIO FIJO'!$E$102,$C$119='RESULTADO PRECIO FIJO'!$D$102),'RESULTADO PRECIO FIJO'!L103,IF(AND('RESULTADO PRECIO FIJO'!$C$104="TOTAL",$H$42='RESULTADO PRECIO FIJO'!$E$104,$C$119='RESULTADO PRECIO FIJO'!$D$104),'RESULTADO PRECIO FIJO'!L105,IF(AND('RESULTADO PRECIO FIJO'!$C$106="TOTAL",$H$42='RESULTADO PRECIO FIJO'!$E$106,$C$119='RESULTADO PRECIO FIJO'!$D$106),'RESULTADO PRECIO FIJO'!L107,IF(AND('RESULTADO PRECIO FIJO'!$C$108="TOTAL",$H$42='RESULTADO PRECIO FIJO'!$E$108,$C$119='RESULTADO PRECIO FIJO'!$D$108),'RESULTADO PRECIO FIJO'!L109,IF(AND('RESULTADO PRECIO FIJO'!$C$110="TOTAL",$H$42='RESULTADO PRECIO FIJO'!$E$110,$C$119='RESULTADO PRECIO FIJO'!$D$110),'RESULTADO PRECIO FIJO'!L111,IF(AND('RESULTADO PRECIO FIJO'!$C$112="TOTAL",$H$42='RESULTADO PRECIO FIJO'!$E$112,$C$119='RESULTADO PRECIO FIJO'!$D$112),'RESULTADO PRECIO FIJO'!L113,IF(AND('RESULTADO PRECIO FIJO'!$C$114="TOTAL",$H$42='RESULTADO PRECIO FIJO'!$E$114,$C$119='RESULTADO PRECIO FIJO'!$D$114),'RESULTADO PRECIO FIJO'!L115,IF(AND('RESULTADO PRECIO FIJO'!$C$116="TOTAL",$H$42='RESULTADO PRECIO FIJO'!$E$116,$C$119='RESULTADO PRECIO FIJO'!$D$116),'RESULTADO PRECIO FIJO'!L117,IF(AND('RESULTADO PRECIO FIJO'!$C$118="TOTAL",$H$42='RESULTADO PRECIO FIJO'!$E$118,$C$119='RESULTADO PRECIO FIJO'!$D$118),'RESULTADO PRECIO FIJO'!L119,IF(AND('RESULTADO PRECIO FIJO'!$C$120="TOTAL",$H$42='RESULTADO PRECIO FIJO'!$E$120,$C$119='RESULTADO PRECIO FIJO'!$D$120),'RESULTADO PRECIO FIJO'!L121,IF(AND('RESULTADO PRECIO FIJO'!$C$122="TOTAL",$H$42='RESULTADO PRECIO FIJO'!$E$122,$C$119='RESULTADO PRECIO FIJO'!$D$122),'RESULTADO PRECIO FIJO'!L123,IF(AND('RESULTADO PRECIO FIJO'!$C$124="TOTAL",$H$42='RESULTADO PRECIO FIJO'!$E$124,$C$119='RESULTADO PRECIO FIJO'!$D$124),'RESULTADO PRECIO FIJO'!L125,IF(AND('RESULTADO PRECIO FIJO'!$C$126="TOTAL",$H$42='RESULTADO PRECIO FIJO'!$E$126,$C$119='RESULTADO PRECIO FIJO'!$D$126),'RESULTADO PRECIO FIJO'!L127,IF(AND('RESULTADO PRECIO FIJO'!$C$128="TOTAL",$H$42='RESULTADO PRECIO FIJO'!$E$128,$C$119='RESULTADO PRECIO FIJO'!$D$128),'RESULTADO PRECIO FIJO'!L129,IF(AND('RESULTADO PRECIO FIJO'!$C$130="TOTAL",$H$42='RESULTADO PRECIO FIJO'!$E$130,$C$119='RESULTADO PRECIO FIJO'!$D$130),'RESULTADO PRECIO FIJO'!L131,IF(AND('RESULTADO PRECIO FIJO'!$C$132="TOTAL",$H$42='RESULTADO PRECIO FIJO'!$E$132,$C$119='RESULTADO PRECIO FIJO'!$D$132),'RESULTADO PRECIO FIJO'!L133,IF(AND('RESULTADO PRECIO FIJO'!$C$134="TOTAL",$H$42='RESULTADO PRECIO FIJO'!$E$134,$C$119='RESULTADO PRECIO FIJO'!$D$134),'RESULTADO PRECIO FIJO'!L135))))))))))))))))))))))))</f>
        <v>0.227045</v>
      </c>
      <c r="K122" s="143"/>
    </row>
    <row r="123" spans="2:11" ht="13.5" customHeight="1">
      <c r="B123" s="84"/>
      <c r="C123" s="15"/>
      <c r="D123" s="6"/>
      <c r="E123" s="6"/>
      <c r="F123" s="6"/>
      <c r="G123" s="6"/>
      <c r="H123" s="6"/>
      <c r="I123" s="6"/>
      <c r="J123" s="6"/>
      <c r="K123" s="6"/>
    </row>
    <row r="124" spans="2:11" ht="13.5" customHeight="1">
      <c r="B124" s="85"/>
      <c r="C124" s="85"/>
      <c r="D124" s="85"/>
      <c r="E124" s="85"/>
      <c r="F124" s="85"/>
      <c r="G124" s="85"/>
      <c r="H124" s="85"/>
      <c r="I124" s="85"/>
      <c r="J124" s="85"/>
      <c r="K124" s="85"/>
    </row>
    <row r="125" spans="2:11" ht="13.5" customHeight="1">
      <c r="B125" s="564" t="s">
        <v>119</v>
      </c>
      <c r="C125" s="564"/>
      <c r="D125" s="564"/>
      <c r="E125" s="564"/>
      <c r="F125" s="564"/>
      <c r="G125" s="564"/>
      <c r="H125" s="564"/>
      <c r="I125" s="564"/>
      <c r="J125" s="564"/>
      <c r="K125" s="564"/>
    </row>
    <row r="126" spans="2:11" ht="13.5" customHeight="1">
      <c r="B126" s="98" t="s">
        <v>120</v>
      </c>
      <c r="C126" s="98"/>
      <c r="D126" s="99"/>
      <c r="E126" s="99"/>
      <c r="F126" s="99"/>
      <c r="G126" s="100"/>
      <c r="H126" s="100"/>
      <c r="I126" s="99"/>
      <c r="J126" s="101"/>
      <c r="K126" s="227">
        <f>F127+F128+F129+I127+I128+I129</f>
        <v>18.431999999999999</v>
      </c>
    </row>
    <row r="127" spans="2:11" ht="13.5" customHeight="1">
      <c r="B127" s="28"/>
      <c r="C127" s="89"/>
      <c r="D127" s="17" t="s">
        <v>115</v>
      </c>
      <c r="E127" s="89">
        <f>'INTRODUCIR DATOS'!$E$25</f>
        <v>6</v>
      </c>
      <c r="F127" s="8">
        <f>E127*D121*H116</f>
        <v>15.552</v>
      </c>
      <c r="G127" s="17" t="s">
        <v>62</v>
      </c>
      <c r="H127" s="89">
        <f>'INTRODUCIR DATOS'!$E$28</f>
        <v>0</v>
      </c>
      <c r="I127" s="8">
        <f>IF(G121="",0,H127*G121*H116)</f>
        <v>0</v>
      </c>
      <c r="J127" s="90"/>
      <c r="K127" s="90"/>
    </row>
    <row r="128" spans="2:11" ht="13.5" customHeight="1">
      <c r="B128" s="28"/>
      <c r="C128" s="89"/>
      <c r="D128" s="17" t="s">
        <v>116</v>
      </c>
      <c r="E128" s="89">
        <f>'INTRODUCIR DATOS'!$E$26</f>
        <v>6</v>
      </c>
      <c r="F128" s="8">
        <f>E128*E121*H116</f>
        <v>2.88</v>
      </c>
      <c r="G128" s="17" t="s">
        <v>63</v>
      </c>
      <c r="H128" s="89">
        <f>'INTRODUCIR DATOS'!$E$29</f>
        <v>0</v>
      </c>
      <c r="I128" s="8">
        <f>IF(H121="",0,H128*H121*H116)</f>
        <v>0</v>
      </c>
      <c r="J128" s="90"/>
      <c r="K128" s="90"/>
    </row>
    <row r="129" spans="2:11" ht="13.5" customHeight="1">
      <c r="B129" s="28"/>
      <c r="C129" s="9"/>
      <c r="D129" s="17" t="s">
        <v>60</v>
      </c>
      <c r="E129" s="89">
        <f>'INTRODUCIR DATOS'!$E$27</f>
        <v>0</v>
      </c>
      <c r="F129" s="8">
        <f>IF(F121="",0,E129*F121*H116)</f>
        <v>0</v>
      </c>
      <c r="G129" s="18" t="s">
        <v>65</v>
      </c>
      <c r="H129" s="89">
        <f>'INTRODUCIR DATOS'!$E$30</f>
        <v>0</v>
      </c>
      <c r="I129" s="8">
        <f>IF(I121="",0,H129*I121*H116)</f>
        <v>0</v>
      </c>
      <c r="J129" s="9"/>
      <c r="K129" s="9"/>
    </row>
    <row r="130" spans="2:11" ht="13.5" customHeight="1">
      <c r="B130" s="9" t="s">
        <v>121</v>
      </c>
      <c r="C130" s="9"/>
      <c r="D130" s="9"/>
      <c r="E130" s="89"/>
      <c r="F130" s="9"/>
      <c r="G130" s="9" t="s">
        <v>121</v>
      </c>
      <c r="H130" s="89"/>
      <c r="I130" s="9"/>
      <c r="J130" s="9"/>
      <c r="K130" s="9"/>
    </row>
    <row r="131" spans="2:11" ht="13.5" customHeight="1">
      <c r="B131" s="98" t="s">
        <v>122</v>
      </c>
      <c r="C131" s="102"/>
      <c r="D131" s="99"/>
      <c r="E131" s="100"/>
      <c r="F131" s="100"/>
      <c r="G131" s="103"/>
      <c r="H131" s="99"/>
      <c r="I131" s="99"/>
      <c r="J131" s="101"/>
      <c r="K131" s="227">
        <f>F132+F133+F134+I132+I133+I134</f>
        <v>74.243714999999995</v>
      </c>
    </row>
    <row r="132" spans="2:11" ht="13.5" customHeight="1">
      <c r="B132" s="89"/>
      <c r="C132" s="89"/>
      <c r="D132" s="17" t="s">
        <v>115</v>
      </c>
      <c r="E132" s="89">
        <f>'INTRODUCIR DATOS'!$E$32</f>
        <v>327</v>
      </c>
      <c r="F132" s="338">
        <f>E132*D122</f>
        <v>74.243714999999995</v>
      </c>
      <c r="G132" s="17" t="s">
        <v>62</v>
      </c>
      <c r="H132" s="89">
        <f>'INTRODUCIR DATOS'!$E$35</f>
        <v>0</v>
      </c>
      <c r="I132" s="7">
        <f>IF(G122="",0,H132*G122)</f>
        <v>0</v>
      </c>
      <c r="J132" s="90"/>
      <c r="K132" s="90"/>
    </row>
    <row r="133" spans="2:11" ht="13.5" customHeight="1">
      <c r="B133" s="89"/>
      <c r="C133" s="89"/>
      <c r="D133" s="17" t="s">
        <v>116</v>
      </c>
      <c r="E133" s="89">
        <f>'INTRODUCIR DATOS'!$E$33</f>
        <v>0</v>
      </c>
      <c r="F133" s="338">
        <f>E133*E122</f>
        <v>0</v>
      </c>
      <c r="G133" s="17" t="s">
        <v>63</v>
      </c>
      <c r="H133" s="89">
        <f>'INTRODUCIR DATOS'!$E$36</f>
        <v>0</v>
      </c>
      <c r="I133" s="7">
        <f>IF(H122="",0,H133*H122)</f>
        <v>0</v>
      </c>
      <c r="J133" s="90"/>
      <c r="K133" s="90"/>
    </row>
    <row r="134" spans="2:11" ht="13.5" customHeight="1">
      <c r="B134" s="89"/>
      <c r="C134" s="89"/>
      <c r="D134" s="17" t="s">
        <v>60</v>
      </c>
      <c r="E134" s="89">
        <f>'INTRODUCIR DATOS'!$E$34</f>
        <v>0</v>
      </c>
      <c r="F134" s="338">
        <f>E134*F122</f>
        <v>0</v>
      </c>
      <c r="G134" s="17" t="s">
        <v>65</v>
      </c>
      <c r="H134" s="89">
        <f>'INTRODUCIR DATOS'!$E$37</f>
        <v>0</v>
      </c>
      <c r="I134" s="7">
        <f>IF(I122="",0,H134*I122)</f>
        <v>0</v>
      </c>
      <c r="J134" s="90"/>
      <c r="K134" s="90"/>
    </row>
    <row r="135" spans="2:11" ht="13.5" customHeight="1">
      <c r="B135" s="89" t="s">
        <v>123</v>
      </c>
      <c r="C135" s="92"/>
      <c r="D135" s="337"/>
      <c r="E135" s="337"/>
      <c r="F135" s="337"/>
      <c r="G135" s="89"/>
      <c r="H135" s="92"/>
      <c r="I135" s="337"/>
      <c r="J135" s="337"/>
      <c r="K135" s="11">
        <v>0</v>
      </c>
    </row>
    <row r="136" spans="2:11" ht="13.5" customHeight="1">
      <c r="B136" s="89" t="s">
        <v>124</v>
      </c>
      <c r="C136" s="92"/>
      <c r="D136" s="92"/>
      <c r="E136" s="92"/>
      <c r="F136" s="92"/>
      <c r="G136" s="92"/>
      <c r="H136" s="92"/>
      <c r="I136" s="92"/>
      <c r="J136" s="92"/>
      <c r="K136" s="12">
        <v>0</v>
      </c>
    </row>
    <row r="137" spans="2:11" ht="13.5" customHeight="1">
      <c r="B137" s="89" t="s">
        <v>125</v>
      </c>
      <c r="C137" s="89"/>
      <c r="D137" s="89"/>
      <c r="E137" s="552"/>
      <c r="F137" s="552"/>
      <c r="G137" s="552"/>
      <c r="H137" s="9">
        <f>K131+K126+K135</f>
        <v>92.675714999999997</v>
      </c>
      <c r="I137" s="553" t="s">
        <v>121</v>
      </c>
      <c r="J137" s="553"/>
      <c r="K137" s="338">
        <f>H137*'INTRODUCIR DATOS'!$D$17</f>
        <v>0.46337857500000001</v>
      </c>
    </row>
    <row r="138" spans="2:11" ht="13.5" customHeight="1">
      <c r="B138" s="475" t="s">
        <v>26</v>
      </c>
      <c r="C138" s="89"/>
      <c r="D138" s="89"/>
      <c r="E138" s="90"/>
      <c r="F138" s="90"/>
      <c r="G138" s="89"/>
      <c r="H138" s="9"/>
      <c r="I138" s="338"/>
      <c r="J138" s="338"/>
      <c r="K138" s="338">
        <f>'INTRODUCIR DATOS'!$D$15</f>
        <v>0</v>
      </c>
    </row>
    <row r="139" spans="2:11" ht="13.5" customHeight="1">
      <c r="B139" s="89" t="s">
        <v>28</v>
      </c>
      <c r="C139" s="89"/>
      <c r="D139" s="89"/>
      <c r="E139" s="89"/>
      <c r="F139" s="89"/>
      <c r="G139" s="338"/>
      <c r="H139" s="13"/>
      <c r="I139" s="13"/>
      <c r="J139" s="90"/>
      <c r="K139" s="338">
        <f>'INTRODUCIR DATOS'!$D$16</f>
        <v>0.85</v>
      </c>
    </row>
    <row r="140" spans="2:11" ht="13.5" customHeight="1">
      <c r="B140" s="89" t="s">
        <v>126</v>
      </c>
      <c r="C140" s="89"/>
      <c r="D140" s="89"/>
      <c r="E140" s="554">
        <f>'INTRODUCIR DATOS'!$D$21</f>
        <v>0.21</v>
      </c>
      <c r="F140" s="555"/>
      <c r="G140" s="555"/>
      <c r="H140" s="9">
        <f>K126+K131+K137+K138+K139</f>
        <v>93.989093574999984</v>
      </c>
      <c r="I140" s="13"/>
      <c r="J140" s="90"/>
      <c r="K140" s="338">
        <f>E140*H140</f>
        <v>19.737709650749995</v>
      </c>
    </row>
    <row r="141" spans="2:11" ht="13.5" customHeight="1">
      <c r="B141" s="98" t="s">
        <v>127</v>
      </c>
      <c r="C141" s="102"/>
      <c r="D141" s="99"/>
      <c r="E141" s="99"/>
      <c r="F141" s="99"/>
      <c r="G141" s="99"/>
      <c r="H141" s="99"/>
      <c r="I141" s="99"/>
      <c r="J141" s="99"/>
      <c r="K141" s="228">
        <f>SUM(K126:K140)</f>
        <v>113.72680322574998</v>
      </c>
    </row>
    <row r="142" spans="2:11" ht="13.5" customHeight="1">
      <c r="B142" s="89" t="s">
        <v>128</v>
      </c>
      <c r="C142" s="89"/>
      <c r="D142" s="89"/>
      <c r="E142" s="89"/>
      <c r="F142" s="89"/>
      <c r="G142" s="338"/>
      <c r="H142" s="338"/>
      <c r="I142" s="89"/>
      <c r="J142" s="90"/>
      <c r="K142" s="338">
        <f>'INTRODUCIR DATOS'!$D$14</f>
        <v>114.15</v>
      </c>
    </row>
    <row r="143" spans="2:11" ht="13.5" customHeight="1">
      <c r="B143" s="104" t="s">
        <v>129</v>
      </c>
      <c r="C143" s="105"/>
      <c r="D143" s="106"/>
      <c r="E143" s="106"/>
      <c r="F143" s="106"/>
      <c r="G143" s="106"/>
      <c r="H143" s="106"/>
      <c r="I143" s="106"/>
      <c r="J143" s="107">
        <f>IF(K141=0,"",(K142-K141)/K142)</f>
        <v>3.7073742816472201E-3</v>
      </c>
      <c r="K143" s="229">
        <f>IF((K141=0),"",K142-K141)</f>
        <v>0.42319677425003022</v>
      </c>
    </row>
    <row r="144" spans="2:11" ht="13.5" customHeight="1">
      <c r="B144" s="143"/>
      <c r="C144" s="143"/>
      <c r="D144" s="143"/>
      <c r="E144" s="143"/>
      <c r="F144" s="143"/>
      <c r="G144" s="143"/>
      <c r="H144" s="143"/>
      <c r="I144" s="143"/>
      <c r="J144" s="143"/>
      <c r="K144" s="143"/>
    </row>
    <row r="145" spans="1:11" ht="13.5" customHeight="1">
      <c r="B145" s="143"/>
      <c r="C145" s="143"/>
      <c r="D145" s="143"/>
      <c r="E145" s="143"/>
      <c r="F145" s="143"/>
      <c r="G145" s="143"/>
      <c r="H145" s="143"/>
      <c r="I145" s="143"/>
      <c r="J145" s="143"/>
      <c r="K145" s="143"/>
    </row>
    <row r="146" spans="1:11" ht="13.5" customHeight="1">
      <c r="A146" s="556" t="s">
        <v>107</v>
      </c>
      <c r="B146" s="556"/>
      <c r="C146" s="556"/>
      <c r="D146" s="556"/>
      <c r="E146" s="556"/>
      <c r="F146" s="556"/>
      <c r="G146" s="556"/>
      <c r="H146" s="556"/>
      <c r="I146" s="556"/>
      <c r="J146" s="556"/>
      <c r="K146" s="556"/>
    </row>
    <row r="147" spans="1:11" ht="13.5" customHeight="1">
      <c r="A147" s="557" t="s">
        <v>108</v>
      </c>
      <c r="B147" s="558"/>
      <c r="C147" s="558"/>
      <c r="D147" s="558"/>
      <c r="E147" s="558"/>
      <c r="F147" s="558"/>
      <c r="G147" s="558"/>
      <c r="H147" s="558"/>
      <c r="I147" s="558"/>
      <c r="J147" s="558"/>
      <c r="K147" s="558"/>
    </row>
    <row r="148" spans="1:11" ht="13.5" customHeight="1">
      <c r="B148" s="143"/>
      <c r="C148" s="143"/>
      <c r="D148" s="143"/>
      <c r="E148" s="143"/>
      <c r="F148" s="143"/>
      <c r="G148" s="143"/>
      <c r="H148" s="143"/>
      <c r="I148" s="143"/>
      <c r="J148" s="143"/>
      <c r="K148" s="143"/>
    </row>
    <row r="149" spans="1:11" ht="13.5" customHeight="1">
      <c r="B149" s="15"/>
      <c r="C149" s="15"/>
      <c r="D149" s="15"/>
      <c r="E149" s="15"/>
      <c r="F149" s="559" t="s">
        <v>109</v>
      </c>
      <c r="G149" s="559"/>
      <c r="H149" s="560" t="str">
        <f>'INTRODUCIR DATOS'!$D$9</f>
        <v>GEMA GARCIA ESCUDERO</v>
      </c>
      <c r="I149" s="560"/>
      <c r="J149" s="560"/>
      <c r="K149" s="560"/>
    </row>
    <row r="150" spans="1:11" ht="13.5" customHeight="1">
      <c r="B150" s="143"/>
      <c r="C150" s="15"/>
      <c r="D150" s="15"/>
      <c r="E150" s="15"/>
      <c r="F150" s="559" t="s">
        <v>110</v>
      </c>
      <c r="G150" s="559"/>
      <c r="H150" s="560" t="str">
        <f>'INTRODUCIR DATOS'!$D$10</f>
        <v>C/LOS HUERTOS</v>
      </c>
      <c r="I150" s="560"/>
      <c r="J150" s="560"/>
      <c r="K150" s="560"/>
    </row>
    <row r="151" spans="1:11" ht="13.5" customHeight="1">
      <c r="B151" s="143"/>
      <c r="C151" s="15"/>
      <c r="D151" s="15"/>
      <c r="E151" s="15"/>
      <c r="F151" s="559" t="s">
        <v>111</v>
      </c>
      <c r="G151" s="559"/>
      <c r="H151" s="560" t="str">
        <f>'INTRODUCIR DATOS'!$D$11</f>
        <v>ENCINILLAS</v>
      </c>
      <c r="I151" s="560"/>
      <c r="J151" s="560"/>
      <c r="K151" s="560"/>
    </row>
    <row r="152" spans="1:11" ht="13.5" customHeight="1">
      <c r="B152" s="15"/>
      <c r="C152" s="15"/>
      <c r="D152" s="15"/>
      <c r="E152" s="15"/>
      <c r="F152" s="559" t="s">
        <v>112</v>
      </c>
      <c r="G152" s="559"/>
      <c r="H152" s="558" t="str">
        <f>'INTRODUCIR DATOS'!$D$18</f>
        <v>2.0TD</v>
      </c>
      <c r="I152" s="558"/>
      <c r="J152" s="558"/>
      <c r="K152" s="558"/>
    </row>
    <row r="153" spans="1:11" ht="13.5" customHeight="1">
      <c r="B153" s="15"/>
      <c r="C153" s="15"/>
      <c r="D153" s="15"/>
      <c r="E153" s="15"/>
      <c r="F153" s="559" t="s">
        <v>113</v>
      </c>
      <c r="G153" s="559"/>
      <c r="H153" s="561">
        <f>'INTRODUCIR DATOS'!$D$13</f>
        <v>32</v>
      </c>
      <c r="I153" s="561"/>
      <c r="J153" s="561"/>
      <c r="K153" s="561"/>
    </row>
    <row r="154" spans="1:11" ht="13.5" customHeight="1">
      <c r="B154" s="15"/>
      <c r="C154" s="15"/>
      <c r="D154" s="15"/>
      <c r="E154" s="15"/>
      <c r="F154" s="15"/>
      <c r="G154" s="15"/>
      <c r="H154" s="15"/>
      <c r="I154" s="15"/>
      <c r="J154" s="15"/>
      <c r="K154" s="15"/>
    </row>
    <row r="155" spans="1:11" ht="13.5" customHeight="1">
      <c r="B155" s="384" t="s">
        <v>114</v>
      </c>
      <c r="C155" s="83" t="str">
        <f>'INTRODUCIR DATOS'!O18</f>
        <v>E7</v>
      </c>
      <c r="D155" s="15"/>
      <c r="E155" s="15"/>
      <c r="F155" s="15"/>
      <c r="G155" s="15"/>
      <c r="H155" s="15"/>
      <c r="I155" s="15"/>
      <c r="J155" s="15"/>
      <c r="K155" s="15"/>
    </row>
    <row r="156" spans="1:11" ht="13.5" customHeight="1">
      <c r="C156" s="83" t="str">
        <f>'INTRODUCIR DATOS'!O19</f>
        <v>P0</v>
      </c>
      <c r="D156" s="2"/>
      <c r="E156" s="2"/>
      <c r="F156" s="2"/>
      <c r="G156" s="2"/>
      <c r="H156" s="2"/>
      <c r="I156" s="2"/>
      <c r="J156" s="2"/>
      <c r="K156" s="16"/>
    </row>
    <row r="157" spans="1:11" ht="13.5" customHeight="1">
      <c r="B157" s="84"/>
      <c r="C157" s="84"/>
      <c r="D157" s="3" t="s">
        <v>115</v>
      </c>
      <c r="E157" s="3" t="s">
        <v>116</v>
      </c>
      <c r="F157" s="3" t="s">
        <v>60</v>
      </c>
      <c r="G157" s="3" t="s">
        <v>62</v>
      </c>
      <c r="H157" s="3" t="s">
        <v>63</v>
      </c>
      <c r="I157" s="3" t="s">
        <v>65</v>
      </c>
      <c r="J157" s="28"/>
      <c r="K157" s="28"/>
    </row>
    <row r="158" spans="1:11" ht="13.5" customHeight="1">
      <c r="B158" s="84"/>
      <c r="C158" s="4" t="s">
        <v>117</v>
      </c>
      <c r="D158" s="14">
        <f>IF('INTRODUCIR DATOS'!$O$19='PRECIOS CYE'!$A$18,'PRECIOS CYE'!B18,IF('INTRODUCIR DATOS'!$O$19='PRECIOS CYE'!$A$19,'PRECIOS CYE'!B19,IF('INTRODUCIR DATOS'!$O$19='PRECIOS CYE'!$A$20,'PRECIOS CYE'!B20,IF('INTRODUCIR DATOS'!$O$19='PRECIOS CYE'!$A$21,'PRECIOS CYE'!B21,IF('INTRODUCIR DATOS'!$O$19='PRECIOS CYE'!$A$22,'PRECIOS CYE'!B22,IF('INTRODUCIR DATOS'!$O$19='PRECIOS CYE'!$A$23,'PRECIOS CYE'!B23,IF('INTRODUCIR DATOS'!$O$19='PRECIOS CYE'!$A$24,'PRECIOS CYE'!B24,IF('INTRODUCIR DATOS'!$O$19='PRECIOS CYE'!$A$25,'PRECIOS CYE'!B25,IF('INTRODUCIR DATOS'!$O$19='PRECIOS CYE'!$A$26,'PRECIOS CYE'!B26,IF('INTRODUCIR DATOS'!$O$19='PRECIOS CYE'!$A$27,'PRECIOS CYE'!B27,))))))))))</f>
        <v>0</v>
      </c>
      <c r="E158" s="14">
        <f>IF('INTRODUCIR DATOS'!$O$19='PRECIOS CYE'!$A$18,'PRECIOS CYE'!C18,IF('INTRODUCIR DATOS'!$O$19='PRECIOS CYE'!$A$19,'PRECIOS CYE'!C19,IF('INTRODUCIR DATOS'!$O$19='PRECIOS CYE'!$A$20,'PRECIOS CYE'!C20,IF('INTRODUCIR DATOS'!$O$19='PRECIOS CYE'!$A$21,'PRECIOS CYE'!C21,IF('INTRODUCIR DATOS'!$O$19='PRECIOS CYE'!$A$22,'PRECIOS CYE'!C22,IF('INTRODUCIR DATOS'!$O$19='PRECIOS CYE'!$A$23,'PRECIOS CYE'!C23,IF('INTRODUCIR DATOS'!$O$19='PRECIOS CYE'!$A$24,'PRECIOS CYE'!C24,IF('INTRODUCIR DATOS'!$O$19='PRECIOS CYE'!$A$25,'PRECIOS CYE'!C25,IF('INTRODUCIR DATOS'!$O$19='PRECIOS CYE'!$A$26,'PRECIOS CYE'!C26,IF('INTRODUCIR DATOS'!$O$19='PRECIOS CYE'!$A$27,'PRECIOS CYE'!C27,))))))))))</f>
        <v>0</v>
      </c>
      <c r="F158" s="14">
        <f>IF('INTRODUCIR DATOS'!$O$19='PRECIOS CYE'!$A$18,'PRECIOS CYE'!D18,IF('INTRODUCIR DATOS'!$O$19='PRECIOS CYE'!$A$19,'PRECIOS CYE'!D19,IF('INTRODUCIR DATOS'!$O$19='PRECIOS CYE'!$A$20,'PRECIOS CYE'!D20,IF('INTRODUCIR DATOS'!$O$19='PRECIOS CYE'!$A$21,'PRECIOS CYE'!D21,IF('INTRODUCIR DATOS'!$O$19='PRECIOS CYE'!$A$22,'PRECIOS CYE'!D22,IF('INTRODUCIR DATOS'!$O$19='PRECIOS CYE'!$A$23,'PRECIOS CYE'!D23,IF('INTRODUCIR DATOS'!$O$19='PRECIOS CYE'!$A$24,'PRECIOS CYE'!D24,IF('INTRODUCIR DATOS'!$O$19='PRECIOS CYE'!$A$25,'PRECIOS CYE'!D25,IF('INTRODUCIR DATOS'!$O$19='PRECIOS CYE'!$A$26,'PRECIOS CYE'!D26,IF('INTRODUCIR DATOS'!$O$19='PRECIOS CYE'!$A$27,'PRECIOS CYE'!D27,))))))))))</f>
        <v>0</v>
      </c>
      <c r="G158" s="14">
        <f>IF('INTRODUCIR DATOS'!$O$19='PRECIOS CYE'!$A$18,'PRECIOS CYE'!E18,IF('INTRODUCIR DATOS'!$O$19='PRECIOS CYE'!$A$19,'PRECIOS CYE'!E19,IF('INTRODUCIR DATOS'!$O$19='PRECIOS CYE'!$A$20,'PRECIOS CYE'!E20,IF('INTRODUCIR DATOS'!$O$19='PRECIOS CYE'!$A$21,'PRECIOS CYE'!E21,IF('INTRODUCIR DATOS'!$O$19='PRECIOS CYE'!$A$22,'PRECIOS CYE'!E22,IF('INTRODUCIR DATOS'!$O$19='PRECIOS CYE'!$A$23,'PRECIOS CYE'!E23,IF('INTRODUCIR DATOS'!$O$19='PRECIOS CYE'!$A$24,'PRECIOS CYE'!E24,IF('INTRODUCIR DATOS'!$O$19='PRECIOS CYE'!$A$25,'PRECIOS CYE'!E25,IF('INTRODUCIR DATOS'!$O$19='PRECIOS CYE'!$A$26,'PRECIOS CYE'!E26,IF('INTRODUCIR DATOS'!$O$19='PRECIOS CYE'!$A$27,'PRECIOS CYE'!E27,))))))))))</f>
        <v>0</v>
      </c>
      <c r="H158" s="14">
        <f>IF('INTRODUCIR DATOS'!$O$19='PRECIOS CYE'!$A$18,'PRECIOS CYE'!F18,IF('INTRODUCIR DATOS'!$O$19='PRECIOS CYE'!$A$19,'PRECIOS CYE'!F19,IF('INTRODUCIR DATOS'!$O$19='PRECIOS CYE'!$A$20,'PRECIOS CYE'!F20,IF('INTRODUCIR DATOS'!$O$19='PRECIOS CYE'!$A$21,'PRECIOS CYE'!F21,IF('INTRODUCIR DATOS'!$O$19='PRECIOS CYE'!$A$22,'PRECIOS CYE'!F22,IF('INTRODUCIR DATOS'!$O$19='PRECIOS CYE'!$A$23,'PRECIOS CYE'!F23,IF('INTRODUCIR DATOS'!$O$19='PRECIOS CYE'!$A$24,'PRECIOS CYE'!F24,IF('INTRODUCIR DATOS'!$O$19='PRECIOS CYE'!$A$25,'PRECIOS CYE'!F25,IF('INTRODUCIR DATOS'!$O$19='PRECIOS CYE'!$A$26,'PRECIOS CYE'!F26,IF('INTRODUCIR DATOS'!$O$19='PRECIOS CYE'!$A$27,'PRECIOS CYE'!F27,))))))))))</f>
        <v>0</v>
      </c>
      <c r="I158" s="14">
        <f>IF('INTRODUCIR DATOS'!$O$19='PRECIOS CYE'!$A$18,'PRECIOS CYE'!G18,IF('INTRODUCIR DATOS'!$O$19='PRECIOS CYE'!$A$19,'PRECIOS CYE'!G19,IF('INTRODUCIR DATOS'!$O$19='PRECIOS CYE'!$A$20,'PRECIOS CYE'!G20,IF('INTRODUCIR DATOS'!$O$19='PRECIOS CYE'!$A$21,'PRECIOS CYE'!G21,IF('INTRODUCIR DATOS'!$O$19='PRECIOS CYE'!$A$22,'PRECIOS CYE'!G22,IF('INTRODUCIR DATOS'!$O$19='PRECIOS CYE'!$A$23,'PRECIOS CYE'!G23,IF('INTRODUCIR DATOS'!$O$19='PRECIOS CYE'!$A$24,'PRECIOS CYE'!G24,IF('INTRODUCIR DATOS'!$O$19='PRECIOS CYE'!$A$25,'PRECIOS CYE'!G25,IF('INTRODUCIR DATOS'!$O$19='PRECIOS CYE'!$A$26,'PRECIOS CYE'!G26,IF('INTRODUCIR DATOS'!$O$19='PRECIOS CYE'!$A$27,'PRECIOS CYE'!G27,))))))))))</f>
        <v>0</v>
      </c>
      <c r="J158" s="28"/>
      <c r="K158" s="28"/>
    </row>
    <row r="159" spans="1:11" ht="13.5" customHeight="1">
      <c r="B159" s="84"/>
      <c r="C159" s="4" t="s">
        <v>118</v>
      </c>
      <c r="D159" s="14">
        <f>IF('INTRODUCIR DATOS'!$O$18='PRECIOS CYE'!$A$3,'PRECIOS CYE'!B3,IF('INTRODUCIR DATOS'!$O$18='PRECIOS CYE'!$A$4,'PRECIOS CYE'!B4,IF('INTRODUCIR DATOS'!$O$18='PRECIOS CYE'!$A$5,'PRECIOS CYE'!B5,IF('INTRODUCIR DATOS'!$O$18='PRECIOS CYE'!$A$6,'PRECIOS CYE'!B6,IF('INTRODUCIR DATOS'!$O$18='PRECIOS CYE'!$A$7,'PRECIOS CYE'!B7,IF('INTRODUCIR DATOS'!$O$18='PRECIOS CYE'!$A$8,'PRECIOS CYE'!B8,IF('INTRODUCIR DATOS'!$O$18='PRECIOS CYE'!$A$9,'PRECIOS CYE'!B9,IF('INTRODUCIR DATOS'!$O$18='PRECIOS CYE'!$A$10,'PRECIOS CYE'!B10,IF('INTRODUCIR DATOS'!$O$18='PRECIOS CYE'!$A$11,'PRECIOS CYE'!B11,IF('INTRODUCIR DATOS'!$O$18='PRECIOS CYE'!$A$12,'PRECIOS CYE'!B12,IF('INTRODUCIR DATOS'!$O$18='PRECIOS CYE'!$A$13,'PRECIOS CYE'!B13,IF('INTRODUCIR DATOS'!$O$18='PRECIOS CYE'!$A$14,'PRECIOS CYE'!B14,IF('INTRODUCIR DATOS'!$O$18='PRECIOS CYE'!$A$15,'PRECIOS CYE'!B15,IF('INTRODUCIR DATOS'!$O$18='PRECIOS CYE'!$A$16,'PRECIOS CYE'!B16,IF('INTRODUCIR DATOS'!$O$18='PRECIOS CYE'!$A$17,'PRECIOS CYE'!B17,IF('INTRODUCIR DATOS'!$O$18='PRECIOS CYE'!$A$18,'PRECIOS CYE'!B18,))))))))))))))))</f>
        <v>0</v>
      </c>
      <c r="E159" s="14">
        <f>IF('INTRODUCIR DATOS'!$O$18='PRECIOS CYE'!$A$3,'PRECIOS CYE'!C3,IF('INTRODUCIR DATOS'!$O$18='PRECIOS CYE'!$A$4,'PRECIOS CYE'!C4,IF('INTRODUCIR DATOS'!$O$18='PRECIOS CYE'!$A$5,'PRECIOS CYE'!C5,IF('INTRODUCIR DATOS'!$O$18='PRECIOS CYE'!$A$6,'PRECIOS CYE'!C6,IF('INTRODUCIR DATOS'!$O$18='PRECIOS CYE'!$A$7,'PRECIOS CYE'!C7,IF('INTRODUCIR DATOS'!$O$18='PRECIOS CYE'!$A$8,'PRECIOS CYE'!C8,IF('INTRODUCIR DATOS'!$O$18='PRECIOS CYE'!$A$9,'PRECIOS CYE'!C9,IF('INTRODUCIR DATOS'!$O$18='PRECIOS CYE'!$A$10,'PRECIOS CYE'!C10,IF('INTRODUCIR DATOS'!$O$18='PRECIOS CYE'!$A$11,'PRECIOS CYE'!C11,IF('INTRODUCIR DATOS'!$O$18='PRECIOS CYE'!$A$12,'PRECIOS CYE'!C12,IF('INTRODUCIR DATOS'!$O$18='PRECIOS CYE'!$A$13,'PRECIOS CYE'!C13,IF('INTRODUCIR DATOS'!$O$18='PRECIOS CYE'!$A$14,'PRECIOS CYE'!C14,IF('INTRODUCIR DATOS'!$O$18='PRECIOS CYE'!$A$15,'PRECIOS CYE'!C15,IF('INTRODUCIR DATOS'!$O$18='PRECIOS CYE'!$A$16,'PRECIOS CYE'!C16,IF('INTRODUCIR DATOS'!$O$18='PRECIOS CYE'!$A$17,'PRECIOS CYE'!C17,IF('INTRODUCIR DATOS'!$O$18='PRECIOS CYE'!$A$18,'PRECIOS CYE'!C18,))))))))))))))))</f>
        <v>0</v>
      </c>
      <c r="F159" s="14">
        <f>IF('INTRODUCIR DATOS'!$O$18='PRECIOS CYE'!$A$3,'PRECIOS CYE'!D3,IF('INTRODUCIR DATOS'!$O$18='PRECIOS CYE'!$A$4,'PRECIOS CYE'!D4,IF('INTRODUCIR DATOS'!$O$18='PRECIOS CYE'!$A$5,'PRECIOS CYE'!D5,IF('INTRODUCIR DATOS'!$O$18='PRECIOS CYE'!$A$6,'PRECIOS CYE'!D6,IF('INTRODUCIR DATOS'!$O$18='PRECIOS CYE'!$A$7,'PRECIOS CYE'!D7,IF('INTRODUCIR DATOS'!$O$18='PRECIOS CYE'!$A$8,'PRECIOS CYE'!D8,IF('INTRODUCIR DATOS'!$O$18='PRECIOS CYE'!$A$9,'PRECIOS CYE'!D9,IF('INTRODUCIR DATOS'!$O$18='PRECIOS CYE'!$A$10,'PRECIOS CYE'!D10,IF('INTRODUCIR DATOS'!$O$18='PRECIOS CYE'!$A$11,'PRECIOS CYE'!D11,IF('INTRODUCIR DATOS'!$O$18='PRECIOS CYE'!$A$12,'PRECIOS CYE'!D12,IF('INTRODUCIR DATOS'!$O$18='PRECIOS CYE'!$A$13,'PRECIOS CYE'!D13,IF('INTRODUCIR DATOS'!$O$18='PRECIOS CYE'!$A$14,'PRECIOS CYE'!D14,IF('INTRODUCIR DATOS'!$O$18='PRECIOS CYE'!$A$15,'PRECIOS CYE'!D15,IF('INTRODUCIR DATOS'!$O$18='PRECIOS CYE'!$A$16,'PRECIOS CYE'!D16,IF('INTRODUCIR DATOS'!$O$18='PRECIOS CYE'!$A$17,'PRECIOS CYE'!D17,IF('INTRODUCIR DATOS'!$O$18='PRECIOS CYE'!$A$18,'PRECIOS CYE'!D18,))))))))))))))))</f>
        <v>0</v>
      </c>
      <c r="G159" s="14">
        <f>IF('INTRODUCIR DATOS'!$O$18='PRECIOS CYE'!$A$3,'PRECIOS CYE'!E3,IF('INTRODUCIR DATOS'!$O$18='PRECIOS CYE'!$A$4,'PRECIOS CYE'!E4,IF('INTRODUCIR DATOS'!$O$18='PRECIOS CYE'!$A$5,'PRECIOS CYE'!E5,IF('INTRODUCIR DATOS'!$O$18='PRECIOS CYE'!$A$6,'PRECIOS CYE'!E6,IF('INTRODUCIR DATOS'!$O$18='PRECIOS CYE'!$A$7,'PRECIOS CYE'!E7,IF('INTRODUCIR DATOS'!$O$18='PRECIOS CYE'!$A$8,'PRECIOS CYE'!E8,IF('INTRODUCIR DATOS'!$O$18='PRECIOS CYE'!$A$9,'PRECIOS CYE'!E9,IF('INTRODUCIR DATOS'!$O$18='PRECIOS CYE'!$A$10,'PRECIOS CYE'!E10,IF('INTRODUCIR DATOS'!$O$18='PRECIOS CYE'!$A$11,'PRECIOS CYE'!E11,IF('INTRODUCIR DATOS'!$O$18='PRECIOS CYE'!$A$12,'PRECIOS CYE'!E12,IF('INTRODUCIR DATOS'!$O$18='PRECIOS CYE'!$A$13,'PRECIOS CYE'!E13,IF('INTRODUCIR DATOS'!$O$18='PRECIOS CYE'!$A$14,'PRECIOS CYE'!E14,IF('INTRODUCIR DATOS'!$O$18='PRECIOS CYE'!$A$15,'PRECIOS CYE'!E15,IF('INTRODUCIR DATOS'!$O$18='PRECIOS CYE'!$A$16,'PRECIOS CYE'!E16,IF('INTRODUCIR DATOS'!$O$18='PRECIOS CYE'!$A$17,'PRECIOS CYE'!E17,IF('INTRODUCIR DATOS'!$O$18='PRECIOS CYE'!$A$18,'PRECIOS CYE'!E18,))))))))))))))))</f>
        <v>0</v>
      </c>
      <c r="H159" s="14">
        <f>IF('INTRODUCIR DATOS'!$O$18='PRECIOS CYE'!$A$3,'PRECIOS CYE'!F3,IF('INTRODUCIR DATOS'!$O$18='PRECIOS CYE'!$A$4,'PRECIOS CYE'!F4,IF('INTRODUCIR DATOS'!$O$18='PRECIOS CYE'!$A$5,'PRECIOS CYE'!F5,IF('INTRODUCIR DATOS'!$O$18='PRECIOS CYE'!$A$6,'PRECIOS CYE'!F6,IF('INTRODUCIR DATOS'!$O$18='PRECIOS CYE'!$A$7,'PRECIOS CYE'!F7,IF('INTRODUCIR DATOS'!$O$18='PRECIOS CYE'!$A$8,'PRECIOS CYE'!F8,IF('INTRODUCIR DATOS'!$O$18='PRECIOS CYE'!$A$9,'PRECIOS CYE'!F9,IF('INTRODUCIR DATOS'!$O$18='PRECIOS CYE'!$A$10,'PRECIOS CYE'!F10,IF('INTRODUCIR DATOS'!$O$18='PRECIOS CYE'!$A$11,'PRECIOS CYE'!F11,IF('INTRODUCIR DATOS'!$O$18='PRECIOS CYE'!$A$12,'PRECIOS CYE'!F12,IF('INTRODUCIR DATOS'!$O$18='PRECIOS CYE'!$A$13,'PRECIOS CYE'!F13,IF('INTRODUCIR DATOS'!$O$18='PRECIOS CYE'!$A$14,'PRECIOS CYE'!F14,IF('INTRODUCIR DATOS'!$O$18='PRECIOS CYE'!$A$15,'PRECIOS CYE'!F15,IF('INTRODUCIR DATOS'!$O$18='PRECIOS CYE'!$A$16,'PRECIOS CYE'!F16,IF('INTRODUCIR DATOS'!$O$18='PRECIOS CYE'!$A$17,'PRECIOS CYE'!F17,IF('INTRODUCIR DATOS'!$O$18='PRECIOS CYE'!$A$18,'PRECIOS CYE'!F18,))))))))))))))))</f>
        <v>0</v>
      </c>
      <c r="I159" s="14">
        <f>IF('INTRODUCIR DATOS'!$O$18='PRECIOS CYE'!$A$3,'PRECIOS CYE'!G3,IF('INTRODUCIR DATOS'!$O$18='PRECIOS CYE'!$A$4,'PRECIOS CYE'!G4,IF('INTRODUCIR DATOS'!$O$18='PRECIOS CYE'!$A$5,'PRECIOS CYE'!G5,IF('INTRODUCIR DATOS'!$O$18='PRECIOS CYE'!$A$6,'PRECIOS CYE'!G6,IF('INTRODUCIR DATOS'!$O$18='PRECIOS CYE'!$A$7,'PRECIOS CYE'!G7,IF('INTRODUCIR DATOS'!$O$18='PRECIOS CYE'!$A$8,'PRECIOS CYE'!G8,IF('INTRODUCIR DATOS'!$O$18='PRECIOS CYE'!$A$9,'PRECIOS CYE'!G9,IF('INTRODUCIR DATOS'!$O$18='PRECIOS CYE'!$A$10,'PRECIOS CYE'!G10,IF('INTRODUCIR DATOS'!$O$18='PRECIOS CYE'!$A$11,'PRECIOS CYE'!G11,IF('INTRODUCIR DATOS'!$O$18='PRECIOS CYE'!$A$12,'PRECIOS CYE'!G12,IF('INTRODUCIR DATOS'!$O$18='PRECIOS CYE'!$A$13,'PRECIOS CYE'!G13,IF('INTRODUCIR DATOS'!$O$18='PRECIOS CYE'!$A$14,'PRECIOS CYE'!G14,IF('INTRODUCIR DATOS'!$O$18='PRECIOS CYE'!$A$15,'PRECIOS CYE'!G15,IF('INTRODUCIR DATOS'!$O$18='PRECIOS CYE'!$A$16,'PRECIOS CYE'!G16,IF('INTRODUCIR DATOS'!$O$18='PRECIOS CYE'!$A$17,'PRECIOS CYE'!G17,IF('INTRODUCIR DATOS'!$O$18='PRECIOS CYE'!$A$18,'PRECIOS CYE'!G18,))))))))))))))))</f>
        <v>0</v>
      </c>
      <c r="J159" s="28"/>
      <c r="K159" s="28"/>
    </row>
    <row r="160" spans="1:11" ht="13.5" customHeight="1">
      <c r="B160" s="84"/>
      <c r="C160" s="15"/>
      <c r="D160" s="6"/>
      <c r="E160" s="6"/>
      <c r="F160" s="6"/>
      <c r="G160" s="6"/>
      <c r="H160" s="6"/>
      <c r="I160" s="6"/>
      <c r="J160" s="6"/>
      <c r="K160" s="6"/>
    </row>
    <row r="161" spans="2:11" ht="13.5" customHeight="1">
      <c r="B161" s="85"/>
      <c r="C161" s="85"/>
      <c r="D161" s="85"/>
      <c r="E161" s="85"/>
      <c r="F161" s="85"/>
      <c r="G161" s="85"/>
      <c r="H161" s="85"/>
      <c r="I161" s="85"/>
      <c r="J161" s="85"/>
      <c r="K161" s="85"/>
    </row>
    <row r="162" spans="2:11" ht="13.5" customHeight="1">
      <c r="B162" s="551" t="s">
        <v>119</v>
      </c>
      <c r="C162" s="551"/>
      <c r="D162" s="551"/>
      <c r="E162" s="551"/>
      <c r="F162" s="551"/>
      <c r="G162" s="551"/>
      <c r="H162" s="551"/>
      <c r="I162" s="551"/>
      <c r="J162" s="551"/>
      <c r="K162" s="551"/>
    </row>
    <row r="163" spans="2:11" ht="13.5" customHeight="1">
      <c r="B163" s="390" t="s">
        <v>120</v>
      </c>
      <c r="C163" s="390"/>
      <c r="D163" s="391"/>
      <c r="E163" s="391"/>
      <c r="F163" s="391"/>
      <c r="G163" s="390"/>
      <c r="H163" s="390"/>
      <c r="I163" s="391"/>
      <c r="J163" s="392"/>
      <c r="K163" s="393">
        <f>F164+F165+F166+I164+I165+I166</f>
        <v>0</v>
      </c>
    </row>
    <row r="164" spans="2:11" ht="13.5" customHeight="1">
      <c r="B164" s="28"/>
      <c r="C164" s="89"/>
      <c r="D164" s="17" t="s">
        <v>115</v>
      </c>
      <c r="E164" s="89">
        <f>'INTRODUCIR DATOS'!$E$25</f>
        <v>6</v>
      </c>
      <c r="F164" s="8">
        <f>E164*D158*H153</f>
        <v>0</v>
      </c>
      <c r="G164" s="17" t="s">
        <v>62</v>
      </c>
      <c r="H164" s="89">
        <f>'INTRODUCIR DATOS'!$E$28</f>
        <v>0</v>
      </c>
      <c r="I164" s="8">
        <f>IF(G158="",0,H164*G158*H153)</f>
        <v>0</v>
      </c>
      <c r="J164" s="90"/>
      <c r="K164" s="90"/>
    </row>
    <row r="165" spans="2:11" ht="13.5" customHeight="1">
      <c r="B165" s="28"/>
      <c r="C165" s="89"/>
      <c r="D165" s="17" t="s">
        <v>116</v>
      </c>
      <c r="E165" s="89">
        <f>'INTRODUCIR DATOS'!$E$26</f>
        <v>6</v>
      </c>
      <c r="F165" s="8">
        <f>E165*E158*H153</f>
        <v>0</v>
      </c>
      <c r="G165" s="17" t="s">
        <v>63</v>
      </c>
      <c r="H165" s="89">
        <f>'INTRODUCIR DATOS'!$E$29</f>
        <v>0</v>
      </c>
      <c r="I165" s="8">
        <f>IF(H158="",0,H165*H158*H153)</f>
        <v>0</v>
      </c>
      <c r="J165" s="90"/>
      <c r="K165" s="90"/>
    </row>
    <row r="166" spans="2:11" ht="13.5" customHeight="1">
      <c r="B166" s="28"/>
      <c r="C166" s="9"/>
      <c r="D166" s="17" t="s">
        <v>60</v>
      </c>
      <c r="E166" s="89">
        <f>'INTRODUCIR DATOS'!$E$27</f>
        <v>0</v>
      </c>
      <c r="F166" s="8">
        <f>IF(F158="",0,E166*F158*H153)</f>
        <v>0</v>
      </c>
      <c r="G166" s="18" t="s">
        <v>65</v>
      </c>
      <c r="H166" s="89">
        <f>'INTRODUCIR DATOS'!$E$30</f>
        <v>0</v>
      </c>
      <c r="I166" s="8">
        <f>IF(I158="",0,H166*I158*H153)</f>
        <v>0</v>
      </c>
      <c r="J166" s="9"/>
      <c r="K166" s="9"/>
    </row>
    <row r="167" spans="2:11" ht="13.5" customHeight="1">
      <c r="B167" s="9" t="s">
        <v>121</v>
      </c>
      <c r="C167" s="9"/>
      <c r="D167" s="9"/>
      <c r="E167" s="9"/>
      <c r="F167" s="9"/>
      <c r="G167" s="9"/>
      <c r="H167" s="9"/>
      <c r="I167" s="9"/>
      <c r="J167" s="9"/>
      <c r="K167" s="9"/>
    </row>
    <row r="168" spans="2:11" ht="13.5" customHeight="1">
      <c r="B168" s="390" t="s">
        <v>122</v>
      </c>
      <c r="C168" s="390"/>
      <c r="D168" s="391"/>
      <c r="E168" s="391"/>
      <c r="F168" s="391"/>
      <c r="G168" s="390"/>
      <c r="H168" s="390"/>
      <c r="I168" s="391"/>
      <c r="J168" s="392"/>
      <c r="K168" s="393">
        <f>F169+F170+F171+I169+I170+I171</f>
        <v>0</v>
      </c>
    </row>
    <row r="169" spans="2:11" ht="13.5" customHeight="1">
      <c r="B169" s="89"/>
      <c r="C169" s="89"/>
      <c r="D169" s="17" t="s">
        <v>115</v>
      </c>
      <c r="E169" s="89">
        <f>'INTRODUCIR DATOS'!$E$32</f>
        <v>327</v>
      </c>
      <c r="F169" s="338">
        <f>E169*D159</f>
        <v>0</v>
      </c>
      <c r="G169" s="17" t="s">
        <v>62</v>
      </c>
      <c r="H169" s="89">
        <f>'INTRODUCIR DATOS'!$E$35</f>
        <v>0</v>
      </c>
      <c r="I169" s="7">
        <f>IF(G159="",0,H169*G159)</f>
        <v>0</v>
      </c>
      <c r="J169" s="90"/>
      <c r="K169" s="90"/>
    </row>
    <row r="170" spans="2:11" ht="13.5" customHeight="1">
      <c r="B170" s="89"/>
      <c r="C170" s="89"/>
      <c r="D170" s="17" t="s">
        <v>116</v>
      </c>
      <c r="E170" s="89">
        <f>'INTRODUCIR DATOS'!$E$33</f>
        <v>0</v>
      </c>
      <c r="F170" s="338">
        <f>E170*E159</f>
        <v>0</v>
      </c>
      <c r="G170" s="17" t="s">
        <v>63</v>
      </c>
      <c r="H170" s="89">
        <f>'INTRODUCIR DATOS'!$E$36</f>
        <v>0</v>
      </c>
      <c r="I170" s="7">
        <f>IF(H159="",0,H170*H159)</f>
        <v>0</v>
      </c>
      <c r="J170" s="90"/>
      <c r="K170" s="90"/>
    </row>
    <row r="171" spans="2:11" ht="13.5" customHeight="1">
      <c r="B171" s="89"/>
      <c r="C171" s="89"/>
      <c r="D171" s="17" t="s">
        <v>60</v>
      </c>
      <c r="E171" s="89">
        <f>'INTRODUCIR DATOS'!$E$34</f>
        <v>0</v>
      </c>
      <c r="F171" s="338">
        <f>E171*F159</f>
        <v>0</v>
      </c>
      <c r="G171" s="17" t="s">
        <v>65</v>
      </c>
      <c r="H171" s="89">
        <f>'INTRODUCIR DATOS'!$E$37</f>
        <v>0</v>
      </c>
      <c r="I171" s="7">
        <f>IF(I159="",0,H171*I159)</f>
        <v>0</v>
      </c>
      <c r="J171" s="90"/>
      <c r="K171" s="90"/>
    </row>
    <row r="172" spans="2:11" ht="13.5" customHeight="1">
      <c r="B172" s="89"/>
      <c r="C172" s="89"/>
      <c r="D172" s="17"/>
      <c r="E172" s="89"/>
      <c r="F172" s="338"/>
      <c r="G172" s="17"/>
      <c r="H172" s="89"/>
      <c r="I172" s="7"/>
      <c r="J172" s="90"/>
      <c r="K172" s="90"/>
    </row>
    <row r="173" spans="2:11" ht="13.5" customHeight="1">
      <c r="B173" s="89" t="s">
        <v>123</v>
      </c>
      <c r="C173" s="92"/>
      <c r="D173" s="337"/>
      <c r="E173" s="337"/>
      <c r="F173" s="337"/>
      <c r="G173" s="89"/>
      <c r="H173" s="92"/>
      <c r="I173" s="337"/>
      <c r="J173" s="337"/>
      <c r="K173" s="11">
        <v>0</v>
      </c>
    </row>
    <row r="174" spans="2:11" ht="13.5" customHeight="1">
      <c r="B174" s="89" t="s">
        <v>124</v>
      </c>
      <c r="C174" s="92"/>
      <c r="D174" s="92"/>
      <c r="E174" s="92"/>
      <c r="F174" s="92"/>
      <c r="G174" s="92"/>
      <c r="H174" s="92"/>
      <c r="I174" s="92"/>
      <c r="J174" s="92"/>
      <c r="K174" s="12">
        <v>0</v>
      </c>
    </row>
    <row r="175" spans="2:11" ht="13.5" customHeight="1">
      <c r="B175" s="89" t="s">
        <v>125</v>
      </c>
      <c r="C175" s="89"/>
      <c r="D175" s="89"/>
      <c r="E175" s="552"/>
      <c r="F175" s="552"/>
      <c r="G175" s="552"/>
      <c r="H175" s="9">
        <f>K168+K163+K173</f>
        <v>0</v>
      </c>
      <c r="I175" s="553" t="s">
        <v>121</v>
      </c>
      <c r="J175" s="553"/>
      <c r="K175" s="338">
        <f>H175*'INTRODUCIR DATOS'!$D$17</f>
        <v>0</v>
      </c>
    </row>
    <row r="176" spans="2:11" ht="13.5" customHeight="1">
      <c r="B176" s="475" t="s">
        <v>26</v>
      </c>
      <c r="C176" s="89"/>
      <c r="D176" s="89"/>
      <c r="E176" s="90"/>
      <c r="F176" s="90"/>
      <c r="G176" s="89"/>
      <c r="H176" s="9"/>
      <c r="I176" s="338"/>
      <c r="J176" s="338"/>
      <c r="K176" s="338">
        <f>'INTRODUCIR DATOS'!$D$15</f>
        <v>0</v>
      </c>
    </row>
    <row r="177" spans="1:11" ht="13.5" customHeight="1">
      <c r="B177" s="89" t="s">
        <v>28</v>
      </c>
      <c r="C177" s="89"/>
      <c r="D177" s="89"/>
      <c r="E177" s="89"/>
      <c r="F177" s="89"/>
      <c r="G177" s="338"/>
      <c r="H177" s="13"/>
      <c r="I177" s="13"/>
      <c r="J177" s="90"/>
      <c r="K177" s="338">
        <f>'INTRODUCIR DATOS'!$D$16</f>
        <v>0.85</v>
      </c>
    </row>
    <row r="178" spans="1:11" ht="13.5" customHeight="1">
      <c r="B178" s="89" t="s">
        <v>126</v>
      </c>
      <c r="C178" s="89"/>
      <c r="D178" s="89"/>
      <c r="E178" s="554">
        <f>'INTRODUCIR DATOS'!$D$21</f>
        <v>0.21</v>
      </c>
      <c r="F178" s="555"/>
      <c r="G178" s="555"/>
      <c r="H178" s="9">
        <f>K164+K169+K175+K176+K177</f>
        <v>0.85</v>
      </c>
      <c r="I178" s="13"/>
      <c r="J178" s="90"/>
      <c r="K178" s="338">
        <f>E178*H178</f>
        <v>0.17849999999999999</v>
      </c>
    </row>
    <row r="179" spans="1:11" ht="13.5" customHeight="1">
      <c r="B179" s="390" t="s">
        <v>127</v>
      </c>
      <c r="C179" s="390"/>
      <c r="D179" s="391"/>
      <c r="E179" s="391"/>
      <c r="F179" s="391"/>
      <c r="G179" s="390"/>
      <c r="H179" s="390"/>
      <c r="I179" s="391"/>
      <c r="J179" s="392"/>
      <c r="K179" s="393">
        <f>SUM(K163:K178)</f>
        <v>1.0285</v>
      </c>
    </row>
    <row r="180" spans="1:11" ht="13.5" customHeight="1">
      <c r="B180" s="89" t="s">
        <v>128</v>
      </c>
      <c r="C180" s="89"/>
      <c r="D180" s="89"/>
      <c r="E180" s="89"/>
      <c r="F180" s="89"/>
      <c r="G180" s="338"/>
      <c r="H180" s="338"/>
      <c r="I180" s="89"/>
      <c r="J180" s="90"/>
      <c r="K180" s="338">
        <f>'INTRODUCIR DATOS'!$D$14</f>
        <v>114.15</v>
      </c>
    </row>
    <row r="181" spans="1:11" ht="13.5" customHeight="1">
      <c r="B181" s="394" t="s">
        <v>129</v>
      </c>
      <c r="C181" s="395"/>
      <c r="D181" s="32"/>
      <c r="E181" s="32"/>
      <c r="F181" s="32"/>
      <c r="G181" s="32"/>
      <c r="H181" s="32"/>
      <c r="I181" s="32"/>
      <c r="J181" s="31">
        <f>IF(K179=0,"",(K180-K179)/K180)</f>
        <v>0.99098992553657472</v>
      </c>
      <c r="K181" s="30" t="str">
        <f>IF(K163=0,"",IF((K168=0),"",K180-K179))</f>
        <v/>
      </c>
    </row>
    <row r="182" spans="1:11" ht="13.5" customHeight="1">
      <c r="B182" s="143"/>
      <c r="C182" s="143"/>
      <c r="D182" s="143"/>
      <c r="E182" s="143"/>
      <c r="F182" s="143"/>
      <c r="G182" s="143"/>
      <c r="H182" s="143"/>
      <c r="I182" s="143"/>
      <c r="J182" s="143"/>
      <c r="K182" s="143"/>
    </row>
    <row r="183" spans="1:11" ht="13.5" customHeight="1">
      <c r="A183" s="556" t="s">
        <v>107</v>
      </c>
      <c r="B183" s="556"/>
      <c r="C183" s="556"/>
      <c r="D183" s="556"/>
      <c r="E183" s="556"/>
      <c r="F183" s="556"/>
      <c r="G183" s="556"/>
      <c r="H183" s="556"/>
      <c r="I183" s="556"/>
      <c r="J183" s="556"/>
      <c r="K183" s="556"/>
    </row>
    <row r="184" spans="1:11">
      <c r="A184" s="557" t="s">
        <v>108</v>
      </c>
      <c r="B184" s="558"/>
      <c r="C184" s="558"/>
      <c r="D184" s="558"/>
      <c r="E184" s="558"/>
      <c r="F184" s="558"/>
      <c r="G184" s="558"/>
      <c r="H184" s="558"/>
      <c r="I184" s="558"/>
      <c r="J184" s="558"/>
      <c r="K184" s="558"/>
    </row>
    <row r="185" spans="1:11" ht="13.5" customHeight="1">
      <c r="B185" s="143"/>
      <c r="C185" s="143"/>
      <c r="D185" s="143"/>
      <c r="E185" s="143"/>
      <c r="F185" s="143"/>
      <c r="G185" s="143"/>
      <c r="H185" s="143"/>
      <c r="I185" s="143"/>
      <c r="J185" s="143"/>
      <c r="K185" s="143"/>
    </row>
    <row r="186" spans="1:11" ht="13.5" customHeight="1">
      <c r="B186" s="15"/>
      <c r="C186" s="15"/>
      <c r="D186" s="15"/>
      <c r="E186" s="15"/>
      <c r="F186" s="559" t="s">
        <v>109</v>
      </c>
      <c r="G186" s="559"/>
      <c r="H186" s="560" t="str">
        <f>'INTRODUCIR DATOS'!$D$9</f>
        <v>GEMA GARCIA ESCUDERO</v>
      </c>
      <c r="I186" s="560"/>
      <c r="J186" s="560"/>
      <c r="K186" s="560"/>
    </row>
    <row r="187" spans="1:11" ht="13.5" customHeight="1">
      <c r="B187" s="143"/>
      <c r="C187" s="15"/>
      <c r="D187" s="15"/>
      <c r="E187" s="15"/>
      <c r="F187" s="559" t="s">
        <v>110</v>
      </c>
      <c r="G187" s="559"/>
      <c r="H187" s="560" t="str">
        <f>'INTRODUCIR DATOS'!$D$10</f>
        <v>C/LOS HUERTOS</v>
      </c>
      <c r="I187" s="560"/>
      <c r="J187" s="560"/>
      <c r="K187" s="560"/>
    </row>
    <row r="188" spans="1:11" ht="13.5" customHeight="1">
      <c r="B188" s="143"/>
      <c r="C188" s="15"/>
      <c r="D188" s="15"/>
      <c r="E188" s="15"/>
      <c r="F188" s="559" t="s">
        <v>111</v>
      </c>
      <c r="G188" s="559"/>
      <c r="H188" s="560" t="str">
        <f>'INTRODUCIR DATOS'!$D$11</f>
        <v>ENCINILLAS</v>
      </c>
      <c r="I188" s="560"/>
      <c r="J188" s="560"/>
      <c r="K188" s="560"/>
    </row>
    <row r="189" spans="1:11" ht="13.5" customHeight="1">
      <c r="B189" s="15"/>
      <c r="C189" s="15"/>
      <c r="D189" s="15"/>
      <c r="E189" s="15"/>
      <c r="F189" s="559" t="s">
        <v>112</v>
      </c>
      <c r="G189" s="559"/>
      <c r="H189" s="558" t="str">
        <f>'INTRODUCIR DATOS'!$D$18</f>
        <v>2.0TD</v>
      </c>
      <c r="I189" s="558"/>
      <c r="J189" s="558"/>
      <c r="K189" s="558"/>
    </row>
    <row r="190" spans="1:11" ht="13.5" customHeight="1">
      <c r="B190" s="15"/>
      <c r="C190" s="15"/>
      <c r="D190" s="15"/>
      <c r="E190" s="15"/>
      <c r="F190" s="559" t="s">
        <v>113</v>
      </c>
      <c r="G190" s="559"/>
      <c r="H190" s="561">
        <f>'INTRODUCIR DATOS'!$D$13</f>
        <v>32</v>
      </c>
      <c r="I190" s="561"/>
      <c r="J190" s="561"/>
      <c r="K190" s="561"/>
    </row>
    <row r="191" spans="1:11" ht="13.5" customHeight="1">
      <c r="B191" s="15"/>
      <c r="C191" s="15"/>
      <c r="D191" s="15"/>
      <c r="E191" s="15"/>
      <c r="F191" s="15"/>
      <c r="G191" s="15"/>
      <c r="H191" s="15"/>
      <c r="I191" s="15"/>
      <c r="J191" s="15"/>
      <c r="K191" s="15"/>
    </row>
    <row r="192" spans="1:11" ht="13.5" customHeight="1">
      <c r="B192" s="1" t="s">
        <v>114</v>
      </c>
      <c r="C192" s="83" t="str">
        <f>'INTRODUCIR DATOS'!O20</f>
        <v>TEMPO OPEN</v>
      </c>
      <c r="D192" s="15"/>
      <c r="E192" s="15"/>
      <c r="F192" s="15"/>
      <c r="G192" s="15"/>
      <c r="H192" s="15"/>
      <c r="I192" s="15"/>
      <c r="J192" s="15"/>
      <c r="K192" s="15"/>
    </row>
    <row r="193" spans="1:11" ht="13.5" customHeight="1">
      <c r="C193" s="83"/>
      <c r="D193" s="2"/>
      <c r="E193" s="2"/>
      <c r="F193" s="2"/>
      <c r="G193" s="2"/>
      <c r="H193" s="2"/>
      <c r="I193" s="2"/>
      <c r="J193" s="2"/>
      <c r="K193" s="16"/>
    </row>
    <row r="194" spans="1:11" ht="13.5" customHeight="1">
      <c r="B194" s="84"/>
      <c r="C194" s="84"/>
      <c r="D194" s="3" t="s">
        <v>115</v>
      </c>
      <c r="E194" s="3" t="s">
        <v>116</v>
      </c>
      <c r="F194" s="3" t="s">
        <v>60</v>
      </c>
      <c r="G194" s="3" t="s">
        <v>62</v>
      </c>
      <c r="H194" s="3" t="s">
        <v>63</v>
      </c>
      <c r="I194" s="3" t="s">
        <v>65</v>
      </c>
      <c r="J194" s="28"/>
      <c r="K194" s="28"/>
    </row>
    <row r="195" spans="1:11" ht="13.5" customHeight="1">
      <c r="B195" s="84"/>
      <c r="C195" s="4" t="s">
        <v>117</v>
      </c>
      <c r="D195" s="477">
        <f>HLOOKUP(D$194,'RESULTADO PRECIO FIJO'!$G:$L,VLOOKUP($C$192&amp;$H$189,'RESULTADO PRECIO FIJO'!$A$136:$O$155,2,FALSE))</f>
        <v>9.5743499999999995E-2</v>
      </c>
      <c r="E195" s="477">
        <f>HLOOKUP(E$194,'RESULTADO PRECIO FIJO'!$G:$L,VLOOKUP($C$192&amp;$H$189,'RESULTADO PRECIO FIJO'!$A$136:$O$155,2,FALSE))</f>
        <v>2.6622033329999999E-2</v>
      </c>
      <c r="F195" s="477">
        <f>HLOOKUP(F$194,'RESULTADO PRECIO FIJO'!$G:$L,VLOOKUP($C$192&amp;$H$189,'RESULTADO PRECIO FIJO'!$A$136:$O$155,2,FALSE))</f>
        <v>0</v>
      </c>
      <c r="G195" s="477">
        <f>HLOOKUP(G$194,'RESULTADO PRECIO FIJO'!$G:$L,VLOOKUP($C$192&amp;$H$189,'RESULTADO PRECIO FIJO'!$A$136:$O$155,2,FALSE))</f>
        <v>0</v>
      </c>
      <c r="H195" s="477">
        <f>HLOOKUP(H$194,'RESULTADO PRECIO FIJO'!$G:$L,VLOOKUP($C$192&amp;$H$189,'RESULTADO PRECIO FIJO'!$A$136:$O$155,2,FALSE))</f>
        <v>0</v>
      </c>
      <c r="I195" s="477">
        <f>HLOOKUP(I$194,'RESULTADO PRECIO FIJO'!$G:$L,VLOOKUP($C$192&amp;$H$189,'RESULTADO PRECIO FIJO'!$A$136:$O$155,2,FALSE))</f>
        <v>0</v>
      </c>
      <c r="J195" s="28">
        <f>VLOOKUP(C192&amp;H189,'RESULTADO PRECIO FIJO'!A136:O155,2,FALSE)</f>
        <v>138</v>
      </c>
      <c r="K195" s="28"/>
    </row>
    <row r="196" spans="1:11" ht="13.5" customHeight="1">
      <c r="B196" s="84"/>
      <c r="C196" s="4" t="s">
        <v>118</v>
      </c>
      <c r="D196" s="477">
        <f>HLOOKUP(D$194,'RESULTADO PRECIO FIJO'!$G:$L,VLOOKUP($C$192&amp;$H$189,'RESULTADO PRECIO FIJO'!$A$136:$O$155,2,FALSE)+1)</f>
        <v>0.16813705500000001</v>
      </c>
      <c r="E196" s="477">
        <f>HLOOKUP(E$194,'RESULTADO PRECIO FIJO'!$G:$L,VLOOKUP($C$192&amp;$H$189,'RESULTADO PRECIO FIJO'!$A$136:$O$155,2,FALSE)+1)</f>
        <v>0.16813705500000001</v>
      </c>
      <c r="F196" s="477">
        <f>HLOOKUP(F$194,'RESULTADO PRECIO FIJO'!$G:$L,VLOOKUP($C$192&amp;$H$189,'RESULTADO PRECIO FIJO'!$A$136:$O$155,2,FALSE)+1)</f>
        <v>0.16813705500000001</v>
      </c>
      <c r="G196" s="477">
        <f>HLOOKUP(G$194,'RESULTADO PRECIO FIJO'!$G:$L,VLOOKUP($C$192&amp;$H$189,'RESULTADO PRECIO FIJO'!$A$136:$O$155,2,FALSE)+1)</f>
        <v>0</v>
      </c>
      <c r="H196" s="477">
        <f>HLOOKUP(H$194,'RESULTADO PRECIO FIJO'!$G:$L,VLOOKUP($C$192&amp;$H$189,'RESULTADO PRECIO FIJO'!$A$136:$O$155,2,FALSE)+1)</f>
        <v>0</v>
      </c>
      <c r="I196" s="477">
        <f>HLOOKUP(I$194,'RESULTADO PRECIO FIJO'!$G:$L,VLOOKUP($C$192&amp;$H$189,'RESULTADO PRECIO FIJO'!$A$136:$O$155,2,FALSE)+1)</f>
        <v>0</v>
      </c>
      <c r="J196" s="28"/>
      <c r="K196" s="28"/>
    </row>
    <row r="197" spans="1:11" ht="13.5" customHeight="1">
      <c r="A197" s="550" t="str">
        <f>IF(C192="TEMPO OPEN",'INTRODUCIR DATOS'!G68,IF(C192="PREMIUM 24h",'INTRODUCIR DATOS'!G70,IF(C192="TEMPO 3 PERIODOS",'INTRODUCIR DATOS'!G69,IF(C192="TEMPO HAPPY",'INTRODUCIR DATOS'!G67,))))</f>
        <v>*Tarifa Tempo Open: Incluye 7% descuento sobre TE. Descuento sobre energia a elegir: Plana: 15% todo el día, Día: 20% (8a24), Laboral: 25% (8a24 lunes a viernes), Fin de semana: 45% (sab, dom, festivos), Noche: 55% (0a8)</v>
      </c>
      <c r="B197" s="550"/>
      <c r="C197" s="550"/>
      <c r="D197" s="550"/>
      <c r="E197" s="550"/>
      <c r="F197" s="550"/>
      <c r="G197" s="550"/>
      <c r="H197" s="550"/>
      <c r="I197" s="550"/>
      <c r="J197" s="550"/>
      <c r="K197" s="550"/>
    </row>
    <row r="198" spans="1:11" ht="13.5" customHeight="1">
      <c r="A198" s="550"/>
      <c r="B198" s="550"/>
      <c r="C198" s="550"/>
      <c r="D198" s="550"/>
      <c r="E198" s="550"/>
      <c r="F198" s="550"/>
      <c r="G198" s="550"/>
      <c r="H198" s="550"/>
      <c r="I198" s="550"/>
      <c r="J198" s="550"/>
      <c r="K198" s="550"/>
    </row>
    <row r="199" spans="1:11" ht="13.5" customHeight="1">
      <c r="B199" s="564" t="s">
        <v>119</v>
      </c>
      <c r="C199" s="564"/>
      <c r="D199" s="564"/>
      <c r="E199" s="564"/>
      <c r="F199" s="564"/>
      <c r="G199" s="564"/>
      <c r="H199" s="564"/>
      <c r="I199" s="564"/>
      <c r="J199" s="564"/>
      <c r="K199" s="564"/>
    </row>
    <row r="200" spans="1:11" ht="13.5" customHeight="1">
      <c r="B200" s="398" t="s">
        <v>120</v>
      </c>
      <c r="C200" s="398"/>
      <c r="D200" s="399"/>
      <c r="E200" s="399"/>
      <c r="F200" s="399"/>
      <c r="G200" s="398"/>
      <c r="H200" s="398"/>
      <c r="I200" s="399"/>
      <c r="J200" s="400"/>
      <c r="K200" s="401">
        <f>F201+F202+F203+I201+I202+I203</f>
        <v>23.49418239936</v>
      </c>
    </row>
    <row r="201" spans="1:11" ht="13.5" customHeight="1">
      <c r="B201" s="28"/>
      <c r="C201" s="89"/>
      <c r="D201" s="17" t="s">
        <v>115</v>
      </c>
      <c r="E201" s="89">
        <f>'INTRODUCIR DATOS'!$E$25</f>
        <v>6</v>
      </c>
      <c r="F201" s="8">
        <f>E201*D195*H190</f>
        <v>18.382752</v>
      </c>
      <c r="G201" s="17" t="s">
        <v>62</v>
      </c>
      <c r="H201" s="89">
        <f>'INTRODUCIR DATOS'!$E$28</f>
        <v>0</v>
      </c>
      <c r="I201" s="8">
        <f>IF(G195="",0,H201*G195*H190)</f>
        <v>0</v>
      </c>
      <c r="J201" s="90"/>
      <c r="K201" s="90"/>
    </row>
    <row r="202" spans="1:11" ht="13.5" customHeight="1">
      <c r="B202" s="28"/>
      <c r="C202" s="89"/>
      <c r="D202" s="17" t="s">
        <v>116</v>
      </c>
      <c r="E202" s="89">
        <f>'INTRODUCIR DATOS'!$E$26</f>
        <v>6</v>
      </c>
      <c r="F202" s="8">
        <f>E202*E195*H190</f>
        <v>5.1114303993599997</v>
      </c>
      <c r="G202" s="17" t="s">
        <v>63</v>
      </c>
      <c r="H202" s="89">
        <f>'INTRODUCIR DATOS'!$E$29</f>
        <v>0</v>
      </c>
      <c r="I202" s="8">
        <f>IF(H195="",0,H202*H195*H190)</f>
        <v>0</v>
      </c>
      <c r="J202" s="90"/>
      <c r="K202" s="90"/>
    </row>
    <row r="203" spans="1:11" ht="13.5" customHeight="1">
      <c r="B203" s="28"/>
      <c r="C203" s="9"/>
      <c r="D203" s="17" t="s">
        <v>60</v>
      </c>
      <c r="E203" s="89">
        <f>'INTRODUCIR DATOS'!$E$27</f>
        <v>0</v>
      </c>
      <c r="F203" s="8">
        <f>IF(F195="",0,E203*F195*H190)</f>
        <v>0</v>
      </c>
      <c r="G203" s="18" t="s">
        <v>65</v>
      </c>
      <c r="H203" s="89">
        <f>'INTRODUCIR DATOS'!$E$30</f>
        <v>0</v>
      </c>
      <c r="I203" s="8">
        <f>IF(I195="",0,H203*I195*H190)</f>
        <v>0</v>
      </c>
      <c r="J203" s="9"/>
      <c r="K203" s="9"/>
    </row>
    <row r="204" spans="1:11" ht="13.5" customHeight="1">
      <c r="B204" s="9" t="s">
        <v>121</v>
      </c>
      <c r="C204" s="9"/>
      <c r="D204" s="9"/>
      <c r="E204" s="9"/>
      <c r="F204" s="9"/>
      <c r="G204" s="9"/>
      <c r="H204" s="9"/>
      <c r="I204" s="9"/>
      <c r="J204" s="9"/>
      <c r="K204" s="9"/>
    </row>
    <row r="205" spans="1:11" ht="13.5" customHeight="1">
      <c r="B205" s="398" t="s">
        <v>122</v>
      </c>
      <c r="C205" s="398"/>
      <c r="D205" s="399"/>
      <c r="E205" s="399"/>
      <c r="F205" s="399"/>
      <c r="G205" s="398"/>
      <c r="H205" s="398"/>
      <c r="I205" s="399"/>
      <c r="J205" s="400"/>
      <c r="K205" s="401">
        <f>F206+F207+F208+I206+I207+I208</f>
        <v>54.980816985000004</v>
      </c>
    </row>
    <row r="206" spans="1:11" ht="13.5" customHeight="1">
      <c r="B206" s="89"/>
      <c r="C206" s="89"/>
      <c r="D206" s="17" t="s">
        <v>115</v>
      </c>
      <c r="E206" s="476">
        <f>'INTRODUCIR DATOS'!$E$32</f>
        <v>327</v>
      </c>
      <c r="F206" s="338">
        <f>E206*D196</f>
        <v>54.980816985000004</v>
      </c>
      <c r="G206" s="17" t="s">
        <v>62</v>
      </c>
      <c r="H206" s="89">
        <f>'INTRODUCIR DATOS'!$E$35</f>
        <v>0</v>
      </c>
      <c r="I206" s="7">
        <f>IF(G196="",0,H206*G196)</f>
        <v>0</v>
      </c>
      <c r="J206" s="90"/>
      <c r="K206" s="90"/>
    </row>
    <row r="207" spans="1:11" ht="13.5" customHeight="1">
      <c r="B207" s="89"/>
      <c r="C207" s="89"/>
      <c r="D207" s="17" t="s">
        <v>116</v>
      </c>
      <c r="E207" s="89">
        <f>'INTRODUCIR DATOS'!$E$33</f>
        <v>0</v>
      </c>
      <c r="F207" s="338">
        <f>E207*E196</f>
        <v>0</v>
      </c>
      <c r="G207" s="17" t="s">
        <v>63</v>
      </c>
      <c r="H207" s="89">
        <f>'INTRODUCIR DATOS'!$E$36</f>
        <v>0</v>
      </c>
      <c r="I207" s="7">
        <f>IF(H196="",0,H207*H196)</f>
        <v>0</v>
      </c>
      <c r="J207" s="90"/>
      <c r="K207" s="90"/>
    </row>
    <row r="208" spans="1:11" ht="13.5" customHeight="1">
      <c r="B208" s="89"/>
      <c r="C208" s="89"/>
      <c r="D208" s="17" t="s">
        <v>60</v>
      </c>
      <c r="E208" s="89">
        <f>'INTRODUCIR DATOS'!$E$34</f>
        <v>0</v>
      </c>
      <c r="F208" s="338">
        <f>E208*F196</f>
        <v>0</v>
      </c>
      <c r="G208" s="17" t="s">
        <v>65</v>
      </c>
      <c r="H208" s="89">
        <f>'INTRODUCIR DATOS'!$E$37</f>
        <v>0</v>
      </c>
      <c r="I208" s="7">
        <f>IF(I196="",0,H208*I196)</f>
        <v>0</v>
      </c>
      <c r="J208" s="90"/>
      <c r="K208" s="90"/>
    </row>
    <row r="209" spans="1:11" ht="13.5" customHeight="1">
      <c r="B209" s="89" t="s">
        <v>123</v>
      </c>
      <c r="C209" s="92"/>
      <c r="D209" s="337"/>
      <c r="E209" s="337"/>
      <c r="F209" s="337"/>
      <c r="G209" s="89"/>
      <c r="H209" s="92"/>
      <c r="I209" s="337"/>
      <c r="J209" s="337"/>
      <c r="K209" s="11">
        <v>0</v>
      </c>
    </row>
    <row r="210" spans="1:11" ht="13.5" customHeight="1">
      <c r="B210" s="89" t="s">
        <v>124</v>
      </c>
      <c r="C210" s="92"/>
      <c r="D210" s="92"/>
      <c r="E210" s="92"/>
      <c r="F210" s="92"/>
      <c r="G210" s="92"/>
      <c r="H210" s="92"/>
      <c r="I210" s="92"/>
      <c r="J210" s="92"/>
      <c r="K210" s="12">
        <v>0</v>
      </c>
    </row>
    <row r="211" spans="1:11" ht="13.5" customHeight="1">
      <c r="B211" s="89" t="s">
        <v>125</v>
      </c>
      <c r="C211" s="89"/>
      <c r="D211" s="89"/>
      <c r="E211" s="552"/>
      <c r="F211" s="552"/>
      <c r="G211" s="552"/>
      <c r="H211" s="9">
        <f>K205+K200+K209</f>
        <v>78.474999384360004</v>
      </c>
      <c r="I211" s="553" t="s">
        <v>121</v>
      </c>
      <c r="J211" s="553"/>
      <c r="K211" s="338">
        <f>H211*'INTRODUCIR DATOS'!$D$17</f>
        <v>0.3923749969218</v>
      </c>
    </row>
    <row r="212" spans="1:11" ht="13.5" customHeight="1">
      <c r="B212" s="475" t="s">
        <v>26</v>
      </c>
      <c r="C212" s="89"/>
      <c r="D212" s="89"/>
      <c r="E212" s="90"/>
      <c r="F212" s="90"/>
      <c r="G212" s="89"/>
      <c r="H212" s="9"/>
      <c r="I212" s="338"/>
      <c r="J212" s="338"/>
      <c r="K212" s="338">
        <f>'INTRODUCIR DATOS'!$D$15</f>
        <v>0</v>
      </c>
    </row>
    <row r="213" spans="1:11" ht="13.5" customHeight="1">
      <c r="B213" s="89" t="s">
        <v>28</v>
      </c>
      <c r="C213" s="89"/>
      <c r="D213" s="89"/>
      <c r="E213" s="89"/>
      <c r="F213" s="89"/>
      <c r="G213" s="338"/>
      <c r="H213" s="13"/>
      <c r="I213" s="13"/>
      <c r="J213" s="90"/>
      <c r="K213" s="338">
        <f>'INTRODUCIR DATOS'!$D$16</f>
        <v>0.85</v>
      </c>
    </row>
    <row r="214" spans="1:11" ht="13.5" customHeight="1">
      <c r="B214" s="89" t="s">
        <v>126</v>
      </c>
      <c r="C214" s="89"/>
      <c r="D214" s="89"/>
      <c r="E214" s="554">
        <f>'INTRODUCIR DATOS'!$D$21</f>
        <v>0.21</v>
      </c>
      <c r="F214" s="555"/>
      <c r="G214" s="555"/>
      <c r="H214" s="9">
        <f>K200+K205+K211+K212+K213</f>
        <v>79.7173743812818</v>
      </c>
      <c r="I214" s="13"/>
      <c r="J214" s="90"/>
      <c r="K214" s="338">
        <f>E214*H214</f>
        <v>16.740648620069177</v>
      </c>
    </row>
    <row r="215" spans="1:11" ht="13.5" customHeight="1">
      <c r="B215" s="398" t="s">
        <v>127</v>
      </c>
      <c r="C215" s="398"/>
      <c r="D215" s="399"/>
      <c r="E215" s="399"/>
      <c r="F215" s="399"/>
      <c r="G215" s="398"/>
      <c r="H215" s="398"/>
      <c r="I215" s="399"/>
      <c r="J215" s="400"/>
      <c r="K215" s="401">
        <f>SUM(K200:K214)</f>
        <v>96.458023001350981</v>
      </c>
    </row>
    <row r="216" spans="1:11" ht="13.5" customHeight="1">
      <c r="B216" s="89" t="s">
        <v>128</v>
      </c>
      <c r="C216" s="89"/>
      <c r="D216" s="89"/>
      <c r="E216" s="89"/>
      <c r="F216" s="89"/>
      <c r="G216" s="338"/>
      <c r="H216" s="338"/>
      <c r="I216" s="89"/>
      <c r="J216" s="90"/>
      <c r="K216" s="338">
        <f>'INTRODUCIR DATOS'!$D$14</f>
        <v>114.15</v>
      </c>
    </row>
    <row r="217" spans="1:11" ht="13.5" customHeight="1">
      <c r="B217" s="396" t="s">
        <v>129</v>
      </c>
      <c r="C217" s="397"/>
      <c r="D217" s="281"/>
      <c r="E217" s="281"/>
      <c r="F217" s="281"/>
      <c r="G217" s="281"/>
      <c r="H217" s="281"/>
      <c r="I217" s="281"/>
      <c r="J217" s="282">
        <f>IF(K215=0,"",(K216-K215)/K216)</f>
        <v>0.15498884799517323</v>
      </c>
      <c r="K217" s="283">
        <f>IF(K200=0,"",IF((K205=0),"",K216-K215))</f>
        <v>17.691976998649025</v>
      </c>
    </row>
    <row r="218" spans="1:11" ht="13.5" customHeight="1">
      <c r="B218" s="143"/>
      <c r="C218" s="143"/>
      <c r="D218" s="143"/>
      <c r="E218" s="143"/>
      <c r="F218" s="143"/>
      <c r="G218" s="143"/>
      <c r="H218" s="143"/>
      <c r="I218" s="143"/>
      <c r="J218" s="143"/>
      <c r="K218" s="143"/>
    </row>
    <row r="219" spans="1:11" ht="13.5" customHeight="1">
      <c r="A219" s="556" t="s">
        <v>107</v>
      </c>
      <c r="B219" s="556"/>
      <c r="C219" s="556"/>
      <c r="D219" s="556"/>
      <c r="E219" s="556"/>
      <c r="F219" s="556"/>
      <c r="G219" s="556"/>
      <c r="H219" s="556"/>
      <c r="I219" s="556"/>
      <c r="J219" s="556"/>
      <c r="K219" s="556"/>
    </row>
    <row r="220" spans="1:11">
      <c r="A220" s="557" t="s">
        <v>108</v>
      </c>
      <c r="B220" s="558"/>
      <c r="C220" s="558"/>
      <c r="D220" s="558"/>
      <c r="E220" s="558"/>
      <c r="F220" s="558"/>
      <c r="G220" s="558"/>
      <c r="H220" s="558"/>
      <c r="I220" s="558"/>
      <c r="J220" s="558"/>
      <c r="K220" s="558"/>
    </row>
    <row r="221" spans="1:11" ht="13.5" customHeight="1">
      <c r="B221" s="143"/>
      <c r="C221" s="143"/>
      <c r="D221" s="143"/>
      <c r="E221" s="143"/>
      <c r="F221" s="143"/>
      <c r="G221" s="143"/>
      <c r="H221" s="143"/>
      <c r="I221" s="143"/>
      <c r="J221" s="143"/>
      <c r="K221" s="143"/>
    </row>
    <row r="222" spans="1:11" ht="13.5" customHeight="1">
      <c r="B222" s="143"/>
      <c r="C222" s="143"/>
      <c r="D222" s="143"/>
      <c r="E222" s="143"/>
      <c r="F222" s="143"/>
      <c r="G222" s="143"/>
      <c r="H222" s="143"/>
      <c r="I222" s="143"/>
      <c r="J222" s="143"/>
      <c r="K222" s="143"/>
    </row>
    <row r="223" spans="1:11" ht="13.5" customHeight="1">
      <c r="B223" s="15"/>
      <c r="C223" s="15"/>
      <c r="D223" s="15"/>
      <c r="E223" s="15"/>
      <c r="F223" s="559" t="s">
        <v>109</v>
      </c>
      <c r="G223" s="559"/>
      <c r="H223" s="560" t="str">
        <f>'INTRODUCIR DATOS'!$D$9</f>
        <v>GEMA GARCIA ESCUDERO</v>
      </c>
      <c r="I223" s="560"/>
      <c r="J223" s="560"/>
      <c r="K223" s="560"/>
    </row>
    <row r="224" spans="1:11" ht="13.5" customHeight="1">
      <c r="B224" s="143"/>
      <c r="C224" s="15"/>
      <c r="D224" s="15"/>
      <c r="E224" s="15"/>
      <c r="F224" s="559" t="s">
        <v>110</v>
      </c>
      <c r="G224" s="559"/>
      <c r="H224" s="560" t="str">
        <f>'INTRODUCIR DATOS'!$D$10</f>
        <v>C/LOS HUERTOS</v>
      </c>
      <c r="I224" s="560"/>
      <c r="J224" s="560"/>
      <c r="K224" s="560"/>
    </row>
    <row r="225" spans="1:11" ht="13.5" customHeight="1">
      <c r="B225" s="143"/>
      <c r="C225" s="15"/>
      <c r="D225" s="15"/>
      <c r="E225" s="15"/>
      <c r="F225" s="559" t="s">
        <v>111</v>
      </c>
      <c r="G225" s="559"/>
      <c r="H225" s="560" t="str">
        <f>'INTRODUCIR DATOS'!$D$11</f>
        <v>ENCINILLAS</v>
      </c>
      <c r="I225" s="560"/>
      <c r="J225" s="560"/>
      <c r="K225" s="560"/>
    </row>
    <row r="226" spans="1:11" ht="13.5" customHeight="1">
      <c r="B226" s="15"/>
      <c r="C226" s="15"/>
      <c r="D226" s="15"/>
      <c r="E226" s="15"/>
      <c r="F226" s="559" t="s">
        <v>112</v>
      </c>
      <c r="G226" s="559"/>
      <c r="H226" s="558" t="str">
        <f>'INTRODUCIR DATOS'!$D$18</f>
        <v>2.0TD</v>
      </c>
      <c r="I226" s="558"/>
      <c r="J226" s="558"/>
      <c r="K226" s="558"/>
    </row>
    <row r="227" spans="1:11" ht="13.5" customHeight="1">
      <c r="B227" s="15"/>
      <c r="C227" s="15"/>
      <c r="D227" s="15"/>
      <c r="E227" s="15"/>
      <c r="F227" s="559" t="s">
        <v>113</v>
      </c>
      <c r="G227" s="559"/>
      <c r="H227" s="561">
        <f>'INTRODUCIR DATOS'!$D$13</f>
        <v>32</v>
      </c>
      <c r="I227" s="561"/>
      <c r="J227" s="561"/>
      <c r="K227" s="561"/>
    </row>
    <row r="228" spans="1:11" ht="13.5" customHeight="1">
      <c r="B228" s="15"/>
      <c r="C228" s="15"/>
      <c r="D228" s="15"/>
      <c r="E228" s="15"/>
      <c r="F228" s="15"/>
      <c r="G228" s="15"/>
      <c r="H228" s="15"/>
      <c r="I228" s="15"/>
      <c r="J228" s="15"/>
      <c r="K228" s="15"/>
    </row>
    <row r="229" spans="1:11" ht="13.5" customHeight="1">
      <c r="B229" s="384" t="s">
        <v>114</v>
      </c>
      <c r="C229" s="384" t="str">
        <f>'INTRODUCIR DATOS'!O21</f>
        <v>ESTABLE</v>
      </c>
      <c r="D229" s="15"/>
      <c r="E229" s="15"/>
      <c r="F229" s="15"/>
      <c r="G229" s="15"/>
      <c r="H229" s="15"/>
      <c r="I229" s="15"/>
      <c r="J229" s="15"/>
      <c r="K229" s="15"/>
    </row>
    <row r="230" spans="1:11" ht="13.5" customHeight="1">
      <c r="C230" s="83"/>
      <c r="D230" s="2"/>
      <c r="E230" s="2"/>
      <c r="F230" s="2"/>
      <c r="G230" s="2"/>
      <c r="H230" s="2"/>
      <c r="I230" s="2"/>
      <c r="J230" s="2"/>
      <c r="K230" s="16"/>
    </row>
    <row r="231" spans="1:11" ht="13.5" customHeight="1">
      <c r="B231" s="84"/>
      <c r="C231" s="84"/>
      <c r="D231" s="402" t="s">
        <v>115</v>
      </c>
      <c r="E231" s="402" t="s">
        <v>116</v>
      </c>
      <c r="F231" s="402" t="s">
        <v>60</v>
      </c>
      <c r="G231" s="402" t="s">
        <v>62</v>
      </c>
      <c r="H231" s="402" t="s">
        <v>63</v>
      </c>
      <c r="I231" s="402" t="s">
        <v>65</v>
      </c>
      <c r="J231" s="28"/>
      <c r="K231" s="28"/>
    </row>
    <row r="232" spans="1:11" ht="13.5" customHeight="1">
      <c r="B232" s="84"/>
      <c r="C232" s="4" t="s">
        <v>117</v>
      </c>
      <c r="D232" s="14">
        <f>IF(AND('RESULTADO PRECIO FIJO'!$C$156="IBERDROLA",$H$42='RESULTADO PRECIO FIJO'!$E$156,$C$229='RESULTADO PRECIO FIJO'!$D$156),'RESULTADO PRECIO FIJO'!G156,IF(AND('RESULTADO PRECIO FIJO'!$C$158="IBERDROLA",$H$42='RESULTADO PRECIO FIJO'!$E$158,$C$229='RESULTADO PRECIO FIJO'!$D$158),'RESULTADO PRECIO FIJO'!G158,IF(AND('RESULTADO PRECIO FIJO'!$C$160="IBERDROLA",$H$42='RESULTADO PRECIO FIJO'!$E$160,$C$229='RESULTADO PRECIO FIJO'!$D$160),'RESULTADO PRECIO FIJO'!G160,IF(AND('RESULTADO PRECIO FIJO'!$C$162="IBERDROLA",$H$42='RESULTADO PRECIO FIJO'!$E$162,$C$229='RESULTADO PRECIO FIJO'!$D$162),'RESULTADO PRECIO FIJO'!G162,IF(AND('RESULTADO PRECIO FIJO'!$C$164="IBERDROLA",$H$42='RESULTADO PRECIO FIJO'!$E$164,$C$229='RESULTADO PRECIO FIJO'!$D$164),'RESULTADO PRECIO FIJO'!G164)))))</f>
        <v>8.8982786300000005E-2</v>
      </c>
      <c r="E232" s="14">
        <f>IF(AND('RESULTADO PRECIO FIJO'!$C$156="IBERDROLA",$H$42='RESULTADO PRECIO FIJO'!$E$156,$C$229='RESULTADO PRECIO FIJO'!$D$156),'RESULTADO PRECIO FIJO'!H156,IF(AND('RESULTADO PRECIO FIJO'!$C$158="IBERDROLA",$H$42='RESULTADO PRECIO FIJO'!$E$158,$C$229='RESULTADO PRECIO FIJO'!$D$158),'RESULTADO PRECIO FIJO'!H158,IF(AND('RESULTADO PRECIO FIJO'!$C$160="IBERDROLA",$H$42='RESULTADO PRECIO FIJO'!$E$160,$C$229='RESULTADO PRECIO FIJO'!$D$160),'RESULTADO PRECIO FIJO'!H160,IF(AND('RESULTADO PRECIO FIJO'!$C$162="IBERDROLA",$H$42='RESULTADO PRECIO FIJO'!$E$162,$C$229='RESULTADO PRECIO FIJO'!$D$162),'RESULTADO PRECIO FIJO'!H162,IF(AND('RESULTADO PRECIO FIJO'!$C$164="IBERDROLA",$H$42='RESULTADO PRECIO FIJO'!$E$164,$C$229='RESULTADO PRECIO FIJO'!$D$164),'RESULTADO PRECIO FIJO'!H164)))))</f>
        <v>1.4501619170000001E-2</v>
      </c>
      <c r="F232" s="14">
        <f>IF(AND('RESULTADO PRECIO FIJO'!$C$156="IBERDROLA",$H$42='RESULTADO PRECIO FIJO'!$E$156,$C$229='RESULTADO PRECIO FIJO'!$D$156),'RESULTADO PRECIO FIJO'!I156,IF(AND('RESULTADO PRECIO FIJO'!$C$158="IBERDROLA",$H$42='RESULTADO PRECIO FIJO'!$E$158,$C$229='RESULTADO PRECIO FIJO'!$D$158),'RESULTADO PRECIO FIJO'!I158,IF(AND('RESULTADO PRECIO FIJO'!$C$160="IBERDROLA",$H$42='RESULTADO PRECIO FIJO'!$E$160,$C$229='RESULTADO PRECIO FIJO'!$D$160),'RESULTADO PRECIO FIJO'!I160,IF(AND('RESULTADO PRECIO FIJO'!$C$162="IBERDROLA",$H$42='RESULTADO PRECIO FIJO'!$E$162,$C$229='RESULTADO PRECIO FIJO'!$D$162),'RESULTADO PRECIO FIJO'!I162,IF(AND('RESULTADO PRECIO FIJO'!$C$164="IBERDROLA",$H$42='RESULTADO PRECIO FIJO'!$E$164,$C$229='RESULTADO PRECIO FIJO'!$D$164),'RESULTADO PRECIO FIJO'!I164)))))</f>
        <v>0</v>
      </c>
      <c r="G232" s="14">
        <f>IF(AND('RESULTADO PRECIO FIJO'!$C$156="IBERDROLA",$H$42='RESULTADO PRECIO FIJO'!$E$156,$C$229='RESULTADO PRECIO FIJO'!$D$156),'RESULTADO PRECIO FIJO'!J156,IF(AND('RESULTADO PRECIO FIJO'!$C$158="IBERDROLA",$H$42='RESULTADO PRECIO FIJO'!$E$158,$C$229='RESULTADO PRECIO FIJO'!$D$158),'RESULTADO PRECIO FIJO'!J158,IF(AND('RESULTADO PRECIO FIJO'!$C$160="IBERDROLA",$H$42='RESULTADO PRECIO FIJO'!$E$160,$C$229='RESULTADO PRECIO FIJO'!$D$160),'RESULTADO PRECIO FIJO'!J160,IF(AND('RESULTADO PRECIO FIJO'!$C$162="IBERDROLA",$H$42='RESULTADO PRECIO FIJO'!$E$162,$C$229='RESULTADO PRECIO FIJO'!$D$162),'RESULTADO PRECIO FIJO'!J162,IF(AND('RESULTADO PRECIO FIJO'!$C$164="IBERDROLA",$H$42='RESULTADO PRECIO FIJO'!$E$164,$C$229='RESULTADO PRECIO FIJO'!$D$164),'RESULTADO PRECIO FIJO'!J164)))))</f>
        <v>0</v>
      </c>
      <c r="H232" s="14">
        <f>IF(AND('RESULTADO PRECIO FIJO'!$C$156="IBERDROLA",$H$42='RESULTADO PRECIO FIJO'!$E$156,$C$229='RESULTADO PRECIO FIJO'!$D$156),'RESULTADO PRECIO FIJO'!K156,IF(AND('RESULTADO PRECIO FIJO'!$C$158="IBERDROLA",$H$42='RESULTADO PRECIO FIJO'!$E$158,$C$229='RESULTADO PRECIO FIJO'!$D$158),'RESULTADO PRECIO FIJO'!K158,IF(AND('RESULTADO PRECIO FIJO'!$C$160="IBERDROLA",$H$42='RESULTADO PRECIO FIJO'!$E$160,$C$229='RESULTADO PRECIO FIJO'!$D$160),'RESULTADO PRECIO FIJO'!K160,IF(AND('RESULTADO PRECIO FIJO'!$C$162="IBERDROLA",$H$42='RESULTADO PRECIO FIJO'!$E$162,$C$229='RESULTADO PRECIO FIJO'!$D$162),'RESULTADO PRECIO FIJO'!K162,IF(AND('RESULTADO PRECIO FIJO'!$C$164="IBERDROLA",$H$42='RESULTADO PRECIO FIJO'!$E$164,$C$229='RESULTADO PRECIO FIJO'!$D$164),'RESULTADO PRECIO FIJO'!K164)))))</f>
        <v>0</v>
      </c>
      <c r="I232" s="14">
        <f>IF(AND('RESULTADO PRECIO FIJO'!$C$156="IBERDROLA",$H$42='RESULTADO PRECIO FIJO'!$E$156,$C$229='RESULTADO PRECIO FIJO'!$D$156),'RESULTADO PRECIO FIJO'!L156,IF(AND('RESULTADO PRECIO FIJO'!$C$158="IBERDROLA",$H$42='RESULTADO PRECIO FIJO'!$E$158,$C$229='RESULTADO PRECIO FIJO'!$D$158),'RESULTADO PRECIO FIJO'!L158,IF(AND('RESULTADO PRECIO FIJO'!$C$160="IBERDROLA",$H$42='RESULTADO PRECIO FIJO'!$E$160,$C$229='RESULTADO PRECIO FIJO'!$D$160),'RESULTADO PRECIO FIJO'!L160,IF(AND('RESULTADO PRECIO FIJO'!$C$162="IBERDROLA",$H$42='RESULTADO PRECIO FIJO'!$E$162,$C$229='RESULTADO PRECIO FIJO'!$D$162),'RESULTADO PRECIO FIJO'!L162,IF(AND('RESULTADO PRECIO FIJO'!$C$164="IBERDROLA",$H$42='RESULTADO PRECIO FIJO'!$E$164,$C$229='RESULTADO PRECIO FIJO'!$D$164),'RESULTADO PRECIO FIJO'!L164)))))</f>
        <v>0</v>
      </c>
      <c r="J232" s="28"/>
      <c r="K232" s="28"/>
    </row>
    <row r="233" spans="1:11" ht="13.5" customHeight="1">
      <c r="B233" s="84"/>
      <c r="C233" s="4" t="s">
        <v>118</v>
      </c>
      <c r="D233" s="14">
        <f>IF(AND('RESULTADO PRECIO FIJO'!$C$156="IBERDROLA",$H$42='RESULTADO PRECIO FIJO'!$E$156,$C$229='RESULTADO PRECIO FIJO'!$D$156),'RESULTADO PRECIO FIJO'!G157,IF(AND('RESULTADO PRECIO FIJO'!$C$158="IBERDROLA",$H$42='RESULTADO PRECIO FIJO'!$E$158,$C$229='RESULTADO PRECIO FIJO'!$D$158),'RESULTADO PRECIO FIJO'!G159,IF(AND('RESULTADO PRECIO FIJO'!$C$160="IBERDROLA",$H$42='RESULTADO PRECIO FIJO'!$E$160,$C$229='RESULTADO PRECIO FIJO'!$D$160),'RESULTADO PRECIO FIJO'!G161,IF(AND('RESULTADO PRECIO FIJO'!$C$162="IBERDROLA",$H$42='RESULTADO PRECIO FIJO'!$E$162,$C$229='RESULTADO PRECIO FIJO'!$D$162),'RESULTADO PRECIO FIJO'!G163,IF(AND('RESULTADO PRECIO FIJO'!$C$164="IBERDROLA",$H$42='RESULTADO PRECIO FIJO'!$E$164,$C$229='RESULTADO PRECIO FIJO'!$D$164),'RESULTADO PRECIO FIJO'!G165)))))</f>
        <v>0.17895559999999999</v>
      </c>
      <c r="E233" s="14">
        <f>IF(AND('RESULTADO PRECIO FIJO'!$C$156="IBERDROLA",$H$42='RESULTADO PRECIO FIJO'!$E$156,$C$229='RESULTADO PRECIO FIJO'!$D$156),'RESULTADO PRECIO FIJO'!H157,IF(AND('RESULTADO PRECIO FIJO'!$C$158="IBERDROLA",$H$42='RESULTADO PRECIO FIJO'!$E$158,$C$229='RESULTADO PRECIO FIJO'!$D$158),'RESULTADO PRECIO FIJO'!H159,IF(AND('RESULTADO PRECIO FIJO'!$C$160="IBERDROLA",$H$42='RESULTADO PRECIO FIJO'!$E$160,$C$229='RESULTADO PRECIO FIJO'!$D$160),'RESULTADO PRECIO FIJO'!H161,IF(AND('RESULTADO PRECIO FIJO'!$C$162="IBERDROLA",$H$42='RESULTADO PRECIO FIJO'!$E$162,$C$229='RESULTADO PRECIO FIJO'!$D$162),'RESULTADO PRECIO FIJO'!H163,IF(AND('RESULTADO PRECIO FIJO'!$C$164="IBERDROLA",$H$42='RESULTADO PRECIO FIJO'!$E$164,$C$229='RESULTADO PRECIO FIJO'!$D$164),'RESULTADO PRECIO FIJO'!H165)))))</f>
        <v>0.17895559999999999</v>
      </c>
      <c r="F233" s="14">
        <f>IF(AND('RESULTADO PRECIO FIJO'!$C$156="IBERDROLA",$H$42='RESULTADO PRECIO FIJO'!$E$156,$C$229='RESULTADO PRECIO FIJO'!$D$156),'RESULTADO PRECIO FIJO'!I157,IF(AND('RESULTADO PRECIO FIJO'!$C$158="IBERDROLA",$H$42='RESULTADO PRECIO FIJO'!$E$158,$C$229='RESULTADO PRECIO FIJO'!$D$158),'RESULTADO PRECIO FIJO'!I159,IF(AND('RESULTADO PRECIO FIJO'!$C$160="IBERDROLA",$H$42='RESULTADO PRECIO FIJO'!$E$160,$C$229='RESULTADO PRECIO FIJO'!$D$160),'RESULTADO PRECIO FIJO'!I161,IF(AND('RESULTADO PRECIO FIJO'!$C$162="IBERDROLA",$H$42='RESULTADO PRECIO FIJO'!$E$162,$C$229='RESULTADO PRECIO FIJO'!$D$162),'RESULTADO PRECIO FIJO'!I163,IF(AND('RESULTADO PRECIO FIJO'!$C$164="IBERDROLA",$H$42='RESULTADO PRECIO FIJO'!$E$164,$C$229='RESULTADO PRECIO FIJO'!$D$164),'RESULTADO PRECIO FIJO'!I165)))))</f>
        <v>0.17895559999999999</v>
      </c>
      <c r="G233" s="14">
        <f>IF(AND('RESULTADO PRECIO FIJO'!$C$156="IBERDROLA",$H$42='RESULTADO PRECIO FIJO'!$E$156,$C$229='RESULTADO PRECIO FIJO'!$D$156),'RESULTADO PRECIO FIJO'!J157,IF(AND('RESULTADO PRECIO FIJO'!$C$158="IBERDROLA",$H$42='RESULTADO PRECIO FIJO'!$E$158,$C$229='RESULTADO PRECIO FIJO'!$D$158),'RESULTADO PRECIO FIJO'!J159,IF(AND('RESULTADO PRECIO FIJO'!$C$160="IBERDROLA",$H$42='RESULTADO PRECIO FIJO'!$E$160,$C$229='RESULTADO PRECIO FIJO'!$D$160),'RESULTADO PRECIO FIJO'!J161,IF(AND('RESULTADO PRECIO FIJO'!$C$162="IBERDROLA",$H$42='RESULTADO PRECIO FIJO'!$E$162,$C$229='RESULTADO PRECIO FIJO'!$D$162),'RESULTADO PRECIO FIJO'!J163,IF(AND('RESULTADO PRECIO FIJO'!$C$164="IBERDROLA",$H$42='RESULTADO PRECIO FIJO'!$E$164,$C$229='RESULTADO PRECIO FIJO'!$D$164),'RESULTADO PRECIO FIJO'!J165)))))</f>
        <v>0</v>
      </c>
      <c r="H233" s="14">
        <f>IF(AND('RESULTADO PRECIO FIJO'!$C$156="IBERDROLA",$H$42='RESULTADO PRECIO FIJO'!$E$156,$C$229='RESULTADO PRECIO FIJO'!$D$156),'RESULTADO PRECIO FIJO'!K157,IF(AND('RESULTADO PRECIO FIJO'!$C$158="IBERDROLA",$H$42='RESULTADO PRECIO FIJO'!$E$158,$C$229='RESULTADO PRECIO FIJO'!$D$158),'RESULTADO PRECIO FIJO'!K159,IF(AND('RESULTADO PRECIO FIJO'!$C$160="IBERDROLA",$H$42='RESULTADO PRECIO FIJO'!$E$160,$C$229='RESULTADO PRECIO FIJO'!$D$160),'RESULTADO PRECIO FIJO'!K161,IF(AND('RESULTADO PRECIO FIJO'!$C$162="IBERDROLA",$H$42='RESULTADO PRECIO FIJO'!$E$162,$C$229='RESULTADO PRECIO FIJO'!$D$162),'RESULTADO PRECIO FIJO'!K163,IF(AND('RESULTADO PRECIO FIJO'!$C$164="IBERDROLA",$H$42='RESULTADO PRECIO FIJO'!$E$164,$C$229='RESULTADO PRECIO FIJO'!$D$164),'RESULTADO PRECIO FIJO'!K165)))))</f>
        <v>0</v>
      </c>
      <c r="I233" s="14">
        <f>IF(AND('RESULTADO PRECIO FIJO'!$C$156="IBERDROLA",$H$42='RESULTADO PRECIO FIJO'!$E$156,$C$229='RESULTADO PRECIO FIJO'!$D$156),'RESULTADO PRECIO FIJO'!L157,IF(AND('RESULTADO PRECIO FIJO'!$C$158="IBERDROLA",$H$42='RESULTADO PRECIO FIJO'!$E$158,$C$229='RESULTADO PRECIO FIJO'!$D$158),'RESULTADO PRECIO FIJO'!L159,IF(AND('RESULTADO PRECIO FIJO'!$C$160="IBERDROLA",$H$42='RESULTADO PRECIO FIJO'!$E$160,$C$229='RESULTADO PRECIO FIJO'!$D$160),'RESULTADO PRECIO FIJO'!L161,IF(AND('RESULTADO PRECIO FIJO'!$C$162="IBERDROLA",$H$42='RESULTADO PRECIO FIJO'!$E$162,$C$229='RESULTADO PRECIO FIJO'!$D$162),'RESULTADO PRECIO FIJO'!L163,IF(AND('RESULTADO PRECIO FIJO'!$C$164="IBERDROLA",$H$42='RESULTADO PRECIO FIJO'!$E$164,$C$229='RESULTADO PRECIO FIJO'!$D$164),'RESULTADO PRECIO FIJO'!L165)))))</f>
        <v>0</v>
      </c>
      <c r="J233" s="28"/>
      <c r="K233" s="28"/>
    </row>
    <row r="234" spans="1:11" ht="13.5" customHeight="1">
      <c r="A234" s="550" t="str">
        <f>'INTRODUCIR DATOS'!G65</f>
        <v>*Incluye 15% de descuento sobre TE durante 12 meses.</v>
      </c>
      <c r="B234" s="550"/>
      <c r="C234" s="550"/>
      <c r="D234" s="550"/>
      <c r="E234" s="550"/>
      <c r="F234" s="550"/>
      <c r="G234" s="550"/>
      <c r="H234" s="550"/>
      <c r="I234" s="550"/>
      <c r="J234" s="550"/>
      <c r="K234" s="550"/>
    </row>
    <row r="235" spans="1:11" ht="13.5" customHeight="1">
      <c r="A235" s="550"/>
      <c r="B235" s="550"/>
      <c r="C235" s="550"/>
      <c r="D235" s="550"/>
      <c r="E235" s="550"/>
      <c r="F235" s="550"/>
      <c r="G235" s="550"/>
      <c r="H235" s="550"/>
      <c r="I235" s="550"/>
      <c r="J235" s="550"/>
      <c r="K235" s="550"/>
    </row>
    <row r="236" spans="1:11" ht="13.5" customHeight="1">
      <c r="B236" s="551" t="s">
        <v>119</v>
      </c>
      <c r="C236" s="551"/>
      <c r="D236" s="551"/>
      <c r="E236" s="551"/>
      <c r="F236" s="551"/>
      <c r="G236" s="551"/>
      <c r="H236" s="551"/>
      <c r="I236" s="551"/>
      <c r="J236" s="551"/>
      <c r="K236" s="551"/>
    </row>
    <row r="237" spans="1:11" ht="13.5" customHeight="1">
      <c r="B237" s="390" t="s">
        <v>120</v>
      </c>
      <c r="C237" s="390"/>
      <c r="D237" s="391"/>
      <c r="E237" s="391"/>
      <c r="F237" s="391"/>
      <c r="G237" s="390"/>
      <c r="H237" s="390"/>
      <c r="I237" s="391"/>
      <c r="J237" s="392"/>
      <c r="K237" s="393">
        <f>F238+F239+F240+I238+I239+I240</f>
        <v>19.869005850240001</v>
      </c>
    </row>
    <row r="238" spans="1:11" ht="13.5" customHeight="1">
      <c r="B238" s="28"/>
      <c r="C238" s="89"/>
      <c r="D238" s="17" t="s">
        <v>115</v>
      </c>
      <c r="E238" s="89">
        <f>'INTRODUCIR DATOS'!$E$25</f>
        <v>6</v>
      </c>
      <c r="F238" s="8">
        <f>E238*D232*H227</f>
        <v>17.084694969600001</v>
      </c>
      <c r="G238" s="17" t="s">
        <v>62</v>
      </c>
      <c r="H238" s="89">
        <f>'INTRODUCIR DATOS'!$E$28</f>
        <v>0</v>
      </c>
      <c r="I238" s="8">
        <f>IF(G232="",0,H238*G232*H227)</f>
        <v>0</v>
      </c>
      <c r="J238" s="90"/>
      <c r="K238" s="90"/>
    </row>
    <row r="239" spans="1:11" ht="13.5" customHeight="1">
      <c r="B239" s="28"/>
      <c r="C239" s="89"/>
      <c r="D239" s="17" t="s">
        <v>116</v>
      </c>
      <c r="E239" s="89">
        <f>'INTRODUCIR DATOS'!$E$26</f>
        <v>6</v>
      </c>
      <c r="F239" s="8">
        <f>E239*E232*H227</f>
        <v>2.7843108806400001</v>
      </c>
      <c r="G239" s="17" t="s">
        <v>63</v>
      </c>
      <c r="H239" s="89">
        <f>'INTRODUCIR DATOS'!$E$29</f>
        <v>0</v>
      </c>
      <c r="I239" s="8">
        <f>IF(H232="",0,H239*H232*H227)</f>
        <v>0</v>
      </c>
      <c r="J239" s="90"/>
      <c r="K239" s="90"/>
    </row>
    <row r="240" spans="1:11" ht="13.5" customHeight="1">
      <c r="B240" s="28"/>
      <c r="C240" s="9"/>
      <c r="D240" s="17" t="s">
        <v>60</v>
      </c>
      <c r="E240" s="89">
        <f>'INTRODUCIR DATOS'!$E$27</f>
        <v>0</v>
      </c>
      <c r="F240" s="8">
        <f>IF(F232="",0,E240*F232*H227)</f>
        <v>0</v>
      </c>
      <c r="G240" s="18" t="s">
        <v>65</v>
      </c>
      <c r="H240" s="89">
        <f>'INTRODUCIR DATOS'!$E$30</f>
        <v>0</v>
      </c>
      <c r="I240" s="8">
        <f>IF(I232="",0,H240*I232*H227)</f>
        <v>0</v>
      </c>
      <c r="J240" s="9"/>
      <c r="K240" s="9"/>
    </row>
    <row r="241" spans="1:11" ht="13.5" customHeight="1">
      <c r="B241" s="9" t="s">
        <v>121</v>
      </c>
      <c r="C241" s="9"/>
      <c r="D241" s="9"/>
      <c r="E241" s="9"/>
      <c r="F241" s="9"/>
      <c r="G241" s="9"/>
      <c r="H241" s="9"/>
      <c r="I241" s="9"/>
      <c r="J241" s="9"/>
      <c r="K241" s="9"/>
    </row>
    <row r="242" spans="1:11" ht="13.5" customHeight="1">
      <c r="B242" s="390" t="s">
        <v>122</v>
      </c>
      <c r="C242" s="390"/>
      <c r="D242" s="391"/>
      <c r="E242" s="391"/>
      <c r="F242" s="391"/>
      <c r="G242" s="390"/>
      <c r="H242" s="390"/>
      <c r="I242" s="391"/>
      <c r="J242" s="392"/>
      <c r="K242" s="393">
        <f>F243+F244+F245+I243+I244+I245</f>
        <v>58.518481199999997</v>
      </c>
    </row>
    <row r="243" spans="1:11" ht="13.5" customHeight="1">
      <c r="B243" s="89"/>
      <c r="C243" s="89"/>
      <c r="D243" s="17" t="s">
        <v>115</v>
      </c>
      <c r="E243" s="89">
        <f>'INTRODUCIR DATOS'!$E$32</f>
        <v>327</v>
      </c>
      <c r="F243" s="338">
        <f>E243*D233</f>
        <v>58.518481199999997</v>
      </c>
      <c r="G243" s="17" t="s">
        <v>62</v>
      </c>
      <c r="H243" s="89">
        <f>'INTRODUCIR DATOS'!$E$35</f>
        <v>0</v>
      </c>
      <c r="I243" s="7">
        <f>IF(G233="",0,H243*G233)</f>
        <v>0</v>
      </c>
      <c r="J243" s="90"/>
      <c r="K243" s="90"/>
    </row>
    <row r="244" spans="1:11" ht="13.5" customHeight="1">
      <c r="B244" s="89"/>
      <c r="C244" s="89"/>
      <c r="D244" s="17" t="s">
        <v>116</v>
      </c>
      <c r="E244" s="89">
        <f>'INTRODUCIR DATOS'!$E$33</f>
        <v>0</v>
      </c>
      <c r="F244" s="338">
        <f>E244*E233</f>
        <v>0</v>
      </c>
      <c r="G244" s="17" t="s">
        <v>63</v>
      </c>
      <c r="H244" s="89">
        <f>'INTRODUCIR DATOS'!$E$36</f>
        <v>0</v>
      </c>
      <c r="I244" s="7">
        <f>IF(H233="",0,H244*H233)</f>
        <v>0</v>
      </c>
      <c r="J244" s="90"/>
      <c r="K244" s="90"/>
    </row>
    <row r="245" spans="1:11" ht="13.5" customHeight="1">
      <c r="B245" s="89"/>
      <c r="C245" s="89"/>
      <c r="D245" s="17" t="s">
        <v>60</v>
      </c>
      <c r="E245" s="89">
        <f>'INTRODUCIR DATOS'!$E$34</f>
        <v>0</v>
      </c>
      <c r="F245" s="338">
        <f>E245*F233</f>
        <v>0</v>
      </c>
      <c r="G245" s="17" t="s">
        <v>65</v>
      </c>
      <c r="H245" s="89">
        <f>'INTRODUCIR DATOS'!$E$37</f>
        <v>0</v>
      </c>
      <c r="I245" s="7">
        <f>IF(I233="",0,H245*I233)</f>
        <v>0</v>
      </c>
      <c r="J245" s="90"/>
      <c r="K245" s="90"/>
    </row>
    <row r="246" spans="1:11" ht="13.5" customHeight="1">
      <c r="B246" s="89" t="s">
        <v>123</v>
      </c>
      <c r="C246" s="92"/>
      <c r="D246" s="337"/>
      <c r="E246" s="337"/>
      <c r="F246" s="337"/>
      <c r="G246" s="89"/>
      <c r="H246" s="92"/>
      <c r="I246" s="337"/>
      <c r="J246" s="337"/>
      <c r="K246" s="11">
        <v>0</v>
      </c>
    </row>
    <row r="247" spans="1:11" ht="13.5" customHeight="1">
      <c r="B247" s="89" t="s">
        <v>124</v>
      </c>
      <c r="C247" s="92"/>
      <c r="D247" s="92"/>
      <c r="E247" s="92"/>
      <c r="F247" s="92"/>
      <c r="G247" s="92"/>
      <c r="H247" s="92"/>
      <c r="I247" s="92"/>
      <c r="J247" s="92"/>
      <c r="K247" s="12">
        <v>0</v>
      </c>
    </row>
    <row r="248" spans="1:11" ht="13.5" customHeight="1">
      <c r="B248" s="89" t="s">
        <v>125</v>
      </c>
      <c r="C248" s="89"/>
      <c r="D248" s="89"/>
      <c r="E248" s="552"/>
      <c r="F248" s="552"/>
      <c r="G248" s="552"/>
      <c r="H248" s="9">
        <f>K242+K237+K246</f>
        <v>78.387487050239997</v>
      </c>
      <c r="I248" s="553" t="s">
        <v>121</v>
      </c>
      <c r="J248" s="553"/>
      <c r="K248" s="338">
        <f>H248*'INTRODUCIR DATOS'!$D$17</f>
        <v>0.39193743525120001</v>
      </c>
    </row>
    <row r="249" spans="1:11" ht="13.5" customHeight="1">
      <c r="B249" s="475" t="s">
        <v>26</v>
      </c>
      <c r="C249" s="89"/>
      <c r="D249" s="89"/>
      <c r="E249" s="90"/>
      <c r="F249" s="90"/>
      <c r="G249" s="89"/>
      <c r="H249" s="9"/>
      <c r="I249" s="338"/>
      <c r="J249" s="338"/>
      <c r="K249" s="338">
        <f>'INTRODUCIR DATOS'!$D$15</f>
        <v>0</v>
      </c>
    </row>
    <row r="250" spans="1:11" ht="13.5" customHeight="1">
      <c r="B250" s="89" t="s">
        <v>28</v>
      </c>
      <c r="C250" s="89"/>
      <c r="D250" s="89"/>
      <c r="E250" s="89"/>
      <c r="F250" s="89"/>
      <c r="G250" s="338"/>
      <c r="H250" s="13"/>
      <c r="I250" s="13"/>
      <c r="J250" s="90"/>
      <c r="K250" s="338">
        <f>'INTRODUCIR DATOS'!$D$16</f>
        <v>0.85</v>
      </c>
    </row>
    <row r="251" spans="1:11" ht="13.5" customHeight="1">
      <c r="B251" s="89" t="s">
        <v>126</v>
      </c>
      <c r="C251" s="89"/>
      <c r="D251" s="89"/>
      <c r="E251" s="554">
        <f>'INTRODUCIR DATOS'!$D$21</f>
        <v>0.21</v>
      </c>
      <c r="F251" s="555"/>
      <c r="G251" s="555"/>
      <c r="H251" s="9">
        <f>K237+K242+K248+K249+K250</f>
        <v>79.629424485491185</v>
      </c>
      <c r="I251" s="13"/>
      <c r="J251" s="90"/>
      <c r="K251" s="338">
        <f>E251*H251</f>
        <v>16.722179141953148</v>
      </c>
    </row>
    <row r="252" spans="1:11" ht="13.5" customHeight="1">
      <c r="B252" s="390" t="s">
        <v>127</v>
      </c>
      <c r="C252" s="390"/>
      <c r="D252" s="391"/>
      <c r="E252" s="391"/>
      <c r="F252" s="391"/>
      <c r="G252" s="390"/>
      <c r="H252" s="390"/>
      <c r="I252" s="391"/>
      <c r="J252" s="392"/>
      <c r="K252" s="393">
        <f>SUM(K237:K251)</f>
        <v>96.351603627444334</v>
      </c>
    </row>
    <row r="253" spans="1:11" ht="13.5" customHeight="1">
      <c r="B253" s="89" t="s">
        <v>128</v>
      </c>
      <c r="C253" s="89"/>
      <c r="D253" s="89"/>
      <c r="E253" s="89"/>
      <c r="F253" s="89"/>
      <c r="G253" s="338"/>
      <c r="H253" s="338"/>
      <c r="I253" s="89"/>
      <c r="J253" s="90"/>
      <c r="K253" s="338">
        <f>'INTRODUCIR DATOS'!$D$14</f>
        <v>114.15</v>
      </c>
    </row>
    <row r="254" spans="1:11" ht="13.5" customHeight="1">
      <c r="B254" s="34" t="s">
        <v>129</v>
      </c>
      <c r="C254" s="33"/>
      <c r="D254" s="32"/>
      <c r="E254" s="32"/>
      <c r="F254" s="32"/>
      <c r="G254" s="32"/>
      <c r="H254" s="32"/>
      <c r="I254" s="32"/>
      <c r="J254" s="31">
        <f>IF(K252=0,"",(K253-K252)/K253)</f>
        <v>0.15592112459531907</v>
      </c>
      <c r="K254" s="30">
        <f>IF(K237=0,"",IF((K242=0),"",K253-K252))</f>
        <v>17.798396372555672</v>
      </c>
    </row>
    <row r="255" spans="1:11" ht="13.5" customHeight="1">
      <c r="B255" s="143"/>
      <c r="C255" s="143"/>
      <c r="D255" s="143"/>
      <c r="E255" s="143"/>
      <c r="F255" s="143"/>
      <c r="G255" s="143"/>
      <c r="H255" s="143"/>
      <c r="I255" s="143"/>
      <c r="J255" s="143"/>
      <c r="K255" s="143"/>
    </row>
    <row r="256" spans="1:11" ht="13.5" customHeight="1">
      <c r="A256" s="556" t="s">
        <v>107</v>
      </c>
      <c r="B256" s="556"/>
      <c r="C256" s="556"/>
      <c r="D256" s="556"/>
      <c r="E256" s="556"/>
      <c r="F256" s="556"/>
      <c r="G256" s="556"/>
      <c r="H256" s="556"/>
      <c r="I256" s="556"/>
      <c r="J256" s="556"/>
      <c r="K256" s="556"/>
    </row>
    <row r="257" spans="1:11" ht="13.5" customHeight="1">
      <c r="A257" s="557" t="s">
        <v>108</v>
      </c>
      <c r="B257" s="558"/>
      <c r="C257" s="558"/>
      <c r="D257" s="558"/>
      <c r="E257" s="558"/>
      <c r="F257" s="558"/>
      <c r="G257" s="558"/>
      <c r="H257" s="558"/>
      <c r="I257" s="558"/>
      <c r="J257" s="558"/>
      <c r="K257" s="558"/>
    </row>
    <row r="258" spans="1:11" ht="13.5" customHeight="1">
      <c r="B258" s="143"/>
      <c r="C258" s="143"/>
      <c r="D258" s="143"/>
      <c r="E258" s="143"/>
      <c r="F258" s="143"/>
      <c r="G258" s="143"/>
      <c r="H258" s="143"/>
      <c r="I258" s="143"/>
      <c r="J258" s="143"/>
      <c r="K258" s="143"/>
    </row>
    <row r="259" spans="1:11" ht="13.5" customHeight="1">
      <c r="B259" s="143"/>
      <c r="C259" s="143"/>
      <c r="D259" s="143"/>
      <c r="E259" s="143"/>
      <c r="F259" s="143"/>
      <c r="G259" s="143"/>
      <c r="H259" s="143"/>
      <c r="I259" s="143"/>
      <c r="J259" s="143"/>
      <c r="K259" s="143"/>
    </row>
    <row r="260" spans="1:11" ht="13.5" customHeight="1">
      <c r="B260" s="15"/>
      <c r="C260" s="15"/>
      <c r="D260" s="15"/>
      <c r="E260" s="15"/>
      <c r="F260" s="559" t="s">
        <v>109</v>
      </c>
      <c r="G260" s="559"/>
      <c r="H260" s="560" t="str">
        <f>'INTRODUCIR DATOS'!$D$9</f>
        <v>GEMA GARCIA ESCUDERO</v>
      </c>
      <c r="I260" s="560"/>
      <c r="J260" s="560"/>
      <c r="K260" s="560"/>
    </row>
    <row r="261" spans="1:11" ht="13.5" customHeight="1">
      <c r="B261" s="143"/>
      <c r="C261" s="15"/>
      <c r="D261" s="15"/>
      <c r="E261" s="15"/>
      <c r="F261" s="559" t="s">
        <v>110</v>
      </c>
      <c r="G261" s="559"/>
      <c r="H261" s="560" t="str">
        <f>'INTRODUCIR DATOS'!$D$10</f>
        <v>C/LOS HUERTOS</v>
      </c>
      <c r="I261" s="560"/>
      <c r="J261" s="560"/>
      <c r="K261" s="560"/>
    </row>
    <row r="262" spans="1:11" ht="13.5" customHeight="1">
      <c r="B262" s="143"/>
      <c r="C262" s="15"/>
      <c r="D262" s="15"/>
      <c r="E262" s="15"/>
      <c r="F262" s="559" t="s">
        <v>111</v>
      </c>
      <c r="G262" s="559"/>
      <c r="H262" s="560" t="str">
        <f>'INTRODUCIR DATOS'!$D$11</f>
        <v>ENCINILLAS</v>
      </c>
      <c r="I262" s="560"/>
      <c r="J262" s="560"/>
      <c r="K262" s="560"/>
    </row>
    <row r="263" spans="1:11" ht="13.5" customHeight="1">
      <c r="B263" s="15"/>
      <c r="C263" s="15"/>
      <c r="D263" s="15"/>
      <c r="E263" s="15"/>
      <c r="F263" s="559" t="s">
        <v>112</v>
      </c>
      <c r="G263" s="559"/>
      <c r="H263" s="558" t="str">
        <f>'INTRODUCIR DATOS'!$D$18</f>
        <v>2.0TD</v>
      </c>
      <c r="I263" s="558"/>
      <c r="J263" s="558"/>
      <c r="K263" s="558"/>
    </row>
    <row r="264" spans="1:11" ht="13.5" customHeight="1">
      <c r="B264" s="15"/>
      <c r="C264" s="15"/>
      <c r="D264" s="15"/>
      <c r="E264" s="15"/>
      <c r="F264" s="559" t="s">
        <v>113</v>
      </c>
      <c r="G264" s="559"/>
      <c r="H264" s="561">
        <f>'INTRODUCIR DATOS'!$D$13</f>
        <v>32</v>
      </c>
      <c r="I264" s="561"/>
      <c r="J264" s="561"/>
      <c r="K264" s="561"/>
    </row>
    <row r="265" spans="1:11" ht="13.5" customHeight="1">
      <c r="B265" s="15"/>
      <c r="C265" s="15"/>
      <c r="D265" s="15"/>
      <c r="E265" s="15"/>
      <c r="F265" s="15"/>
      <c r="G265" s="15"/>
      <c r="H265" s="15"/>
      <c r="I265" s="15"/>
      <c r="J265" s="15"/>
      <c r="K265" s="15"/>
    </row>
    <row r="266" spans="1:11" ht="13.5" customHeight="1">
      <c r="B266" s="384" t="s">
        <v>114</v>
      </c>
      <c r="C266" s="549" t="str">
        <f>'INTRODUCIR DATOS'!O22</f>
        <v>UN PRECIO CLÁSICO</v>
      </c>
      <c r="D266" s="549"/>
      <c r="E266" s="549"/>
      <c r="F266" s="15"/>
      <c r="G266" s="15"/>
      <c r="H266" s="15"/>
      <c r="I266" s="15"/>
      <c r="J266" s="15"/>
      <c r="K266" s="15"/>
    </row>
    <row r="267" spans="1:11" ht="13.5" customHeight="1">
      <c r="C267" s="83"/>
      <c r="D267" s="2"/>
      <c r="E267" s="2"/>
      <c r="F267" s="2"/>
      <c r="G267" s="2"/>
      <c r="H267" s="2"/>
      <c r="I267" s="2"/>
      <c r="J267" s="2"/>
      <c r="K267" s="16"/>
    </row>
    <row r="268" spans="1:11" ht="13.5" customHeight="1">
      <c r="B268" s="84"/>
      <c r="C268" s="84"/>
      <c r="D268" s="3" t="s">
        <v>115</v>
      </c>
      <c r="E268" s="3" t="s">
        <v>116</v>
      </c>
      <c r="F268" s="3" t="s">
        <v>60</v>
      </c>
      <c r="G268" s="3" t="s">
        <v>62</v>
      </c>
      <c r="H268" s="3" t="s">
        <v>63</v>
      </c>
      <c r="I268" s="3" t="s">
        <v>65</v>
      </c>
      <c r="J268" s="28"/>
      <c r="K268" s="28"/>
    </row>
    <row r="269" spans="1:11" ht="13.5" customHeight="1">
      <c r="B269" s="84"/>
      <c r="C269" s="4" t="s">
        <v>117</v>
      </c>
      <c r="D269" s="14">
        <f>IF(AND('RESULTADO PRECIO FIJO'!$C$166="HOLALUZ",$H$42='RESULTADO PRECIO FIJO'!$E$166,$C$266='RESULTADO PRECIO FIJO'!$D$166),'RESULTADO PRECIO FIJO'!G166,IF(AND('RESULTADO PRECIO FIJO'!$C$168="HOLALUZ",$H$42='RESULTADO PRECIO FIJO'!$E$168,$C$266='RESULTADO PRECIO FIJO'!$D$168),'RESULTADO PRECIO FIJO'!G168,IF(AND('RESULTADO PRECIO FIJO'!$C$170="HOLALUZ",$H$42='RESULTADO PRECIO FIJO'!$E$170,$C$266='RESULTADO PRECIO FIJO'!$D$170),'RESULTADO PRECIO FIJO'!G170,IF(AND('RESULTADO PRECIO FIJO'!$C$172="HOLALUZ",$H$42='RESULTADO PRECIO FIJO'!$E$172,$C$266='RESULTADO PRECIO FIJO'!$D$172),'RESULTADO PRECIO FIJO'!G172,IF(AND('RESULTADO PRECIO FIJO'!$C$174="HOLALUZ",$H$42='RESULTADO PRECIO FIJO'!$E$174,$C$266='RESULTADO PRECIO FIJO'!$D$174),'RESULTADO PRECIO FIJO'!G174,IF(AND('RESULTADO PRECIO FIJO'!$C$176="HOLALUZ",$H$42='RESULTADO PRECIO FIJO'!$E$176,$C$266='RESULTADO PRECIO FIJO'!$D$176),'RESULTADO PRECIO FIJO'!G176,IF(AND('RESULTADO PRECIO FIJO'!$C$178="HOLALUZ",$H$42='RESULTADO PRECIO FIJO'!$E$178,$C$266='RESULTADO PRECIO FIJO'!$D$178),'RESULTADO PRECIO FIJO'!G178)))))))</f>
        <v>6.9542999999999994E-2</v>
      </c>
      <c r="E269" s="14">
        <f>IF(AND('RESULTADO PRECIO FIJO'!$C$166="HOLALUZ",$H$42='RESULTADO PRECIO FIJO'!$E$166,$C$266='RESULTADO PRECIO FIJO'!$D$166),'RESULTADO PRECIO FIJO'!H166,IF(AND('RESULTADO PRECIO FIJO'!$C$168="HOLALUZ",$H$42='RESULTADO PRECIO FIJO'!$E$168,$C$266='RESULTADO PRECIO FIJO'!$D$168),'RESULTADO PRECIO FIJO'!H168,IF(AND('RESULTADO PRECIO FIJO'!$C$170="HOLALUZ",$H$42='RESULTADO PRECIO FIJO'!$E$170,$C$266='RESULTADO PRECIO FIJO'!$D$170),'RESULTADO PRECIO FIJO'!H170,IF(AND('RESULTADO PRECIO FIJO'!$C$172="HOLALUZ",$H$42='RESULTADO PRECIO FIJO'!$E$172,$C$266='RESULTADO PRECIO FIJO'!$D$172),'RESULTADO PRECIO FIJO'!H172,IF(AND('RESULTADO PRECIO FIJO'!$C$174="HOLALUZ",$H$42='RESULTADO PRECIO FIJO'!$E$174,$C$266='RESULTADO PRECIO FIJO'!$D$174),'RESULTADO PRECIO FIJO'!H174,IF(AND('RESULTADO PRECIO FIJO'!$C$176="HOLALUZ",$H$42='RESULTADO PRECIO FIJO'!$E$176,$C$266='RESULTADO PRECIO FIJO'!$D$176),'RESULTADO PRECIO FIJO'!H176,IF(AND('RESULTADO PRECIO FIJO'!$C$178="HOLALUZ",$H$42='RESULTADO PRECIO FIJO'!$E$178,$C$266='RESULTADO PRECIO FIJO'!$D$178),'RESULTADO PRECIO FIJO'!H178)))))))</f>
        <v>3.679E-3</v>
      </c>
      <c r="F269" s="14">
        <f>IF(AND('RESULTADO PRECIO FIJO'!$C$166="HOLALUZ",$H$42='RESULTADO PRECIO FIJO'!$E$166,$C$266='RESULTADO PRECIO FIJO'!$D$166),'RESULTADO PRECIO FIJO'!I166,IF(AND('RESULTADO PRECIO FIJO'!$C$168="HOLALUZ",$H$42='RESULTADO PRECIO FIJO'!$E$168,$C$266='RESULTADO PRECIO FIJO'!$D$168),'RESULTADO PRECIO FIJO'!I168,IF(AND('RESULTADO PRECIO FIJO'!$C$170="HOLALUZ",$H$42='RESULTADO PRECIO FIJO'!$E$170,$C$266='RESULTADO PRECIO FIJO'!$D$170),'RESULTADO PRECIO FIJO'!I170,IF(AND('RESULTADO PRECIO FIJO'!$C$172="HOLALUZ",$H$42='RESULTADO PRECIO FIJO'!$E$172,$C$266='RESULTADO PRECIO FIJO'!$D$172),'RESULTADO PRECIO FIJO'!I172,IF(AND('RESULTADO PRECIO FIJO'!$C$174="HOLALUZ",$H$42='RESULTADO PRECIO FIJO'!$E$174,$C$266='RESULTADO PRECIO FIJO'!$D$174),'RESULTADO PRECIO FIJO'!I174,IF(AND('RESULTADO PRECIO FIJO'!$C$176="HOLALUZ",$H$42='RESULTADO PRECIO FIJO'!$E$176,$C$266='RESULTADO PRECIO FIJO'!$D$176),'RESULTADO PRECIO FIJO'!I176,IF(AND('RESULTADO PRECIO FIJO'!$C$178="HOLALUZ",$H$42='RESULTADO PRECIO FIJO'!$E$178,$C$266='RESULTADO PRECIO FIJO'!$D$178),'RESULTADO PRECIO FIJO'!I178)))))))</f>
        <v>0</v>
      </c>
      <c r="G269" s="14">
        <f>IF(AND('RESULTADO PRECIO FIJO'!$C$166="HOLALUZ",$H$42='RESULTADO PRECIO FIJO'!$E$166,$C$266='RESULTADO PRECIO FIJO'!$D$166),'RESULTADO PRECIO FIJO'!J166,IF(AND('RESULTADO PRECIO FIJO'!$C$168="HOLALUZ",$H$42='RESULTADO PRECIO FIJO'!$E$168,$C$266='RESULTADO PRECIO FIJO'!$D$168),'RESULTADO PRECIO FIJO'!J168,IF(AND('RESULTADO PRECIO FIJO'!$C$170="HOLALUZ",$H$42='RESULTADO PRECIO FIJO'!$E$170,$C$266='RESULTADO PRECIO FIJO'!$D$170),'RESULTADO PRECIO FIJO'!J170,IF(AND('RESULTADO PRECIO FIJO'!$C$172="HOLALUZ",$H$42='RESULTADO PRECIO FIJO'!$E$172,$C$266='RESULTADO PRECIO FIJO'!$D$172),'RESULTADO PRECIO FIJO'!J172,IF(AND('RESULTADO PRECIO FIJO'!$C$174="HOLALUZ",$H$42='RESULTADO PRECIO FIJO'!$E$174,$C$266='RESULTADO PRECIO FIJO'!$D$174),'RESULTADO PRECIO FIJO'!J174,IF(AND('RESULTADO PRECIO FIJO'!$C$176="HOLALUZ",$H$42='RESULTADO PRECIO FIJO'!$E$176,$C$266='RESULTADO PRECIO FIJO'!$D$176),'RESULTADO PRECIO FIJO'!J176,IF(AND('RESULTADO PRECIO FIJO'!$C$178="HOLALUZ",$H$42='RESULTADO PRECIO FIJO'!$E$178,$C$266='RESULTADO PRECIO FIJO'!$D$178),'RESULTADO PRECIO FIJO'!J178)))))))</f>
        <v>0</v>
      </c>
      <c r="H269" s="14">
        <f>IF(AND('RESULTADO PRECIO FIJO'!$C$166="HOLALUZ",$H$42='RESULTADO PRECIO FIJO'!$E$166,$C$266='RESULTADO PRECIO FIJO'!$D$166),'RESULTADO PRECIO FIJO'!K166,IF(AND('RESULTADO PRECIO FIJO'!$C$168="HOLALUZ",$H$42='RESULTADO PRECIO FIJO'!$E$168,$C$266='RESULTADO PRECIO FIJO'!$D$168),'RESULTADO PRECIO FIJO'!K168,IF(AND('RESULTADO PRECIO FIJO'!$C$170="HOLALUZ",$H$42='RESULTADO PRECIO FIJO'!$E$170,$C$266='RESULTADO PRECIO FIJO'!$D$170),'RESULTADO PRECIO FIJO'!K170,IF(AND('RESULTADO PRECIO FIJO'!$C$172="HOLALUZ",$H$42='RESULTADO PRECIO FIJO'!$E$172,$C$266='RESULTADO PRECIO FIJO'!$D$172),'RESULTADO PRECIO FIJO'!K172,IF(AND('RESULTADO PRECIO FIJO'!$C$174="HOLALUZ",$H$42='RESULTADO PRECIO FIJO'!$E$174,$C$266='RESULTADO PRECIO FIJO'!$D$174),'RESULTADO PRECIO FIJO'!K174,IF(AND('RESULTADO PRECIO FIJO'!$C$176="HOLALUZ",$H$42='RESULTADO PRECIO FIJO'!$E$176,$C$266='RESULTADO PRECIO FIJO'!$D$176),'RESULTADO PRECIO FIJO'!K176,IF(AND('RESULTADO PRECIO FIJO'!$C$178="HOLALUZ",$H$42='RESULTADO PRECIO FIJO'!$E$178,$C$266='RESULTADO PRECIO FIJO'!$D$178),'RESULTADO PRECIO FIJO'!K178)))))))</f>
        <v>0</v>
      </c>
      <c r="I269" s="14">
        <f>IF(AND('RESULTADO PRECIO FIJO'!$C$166="HOLALUZ",$H$42='RESULTADO PRECIO FIJO'!$E$166,$C$266='RESULTADO PRECIO FIJO'!$D$166),'RESULTADO PRECIO FIJO'!L166,IF(AND('RESULTADO PRECIO FIJO'!$C$168="HOLALUZ",$H$42='RESULTADO PRECIO FIJO'!$E$168,$C$266='RESULTADO PRECIO FIJO'!$D$168),'RESULTADO PRECIO FIJO'!L168,IF(AND('RESULTADO PRECIO FIJO'!$C$170="HOLALUZ",$H$42='RESULTADO PRECIO FIJO'!$E$170,$C$266='RESULTADO PRECIO FIJO'!$D$170),'RESULTADO PRECIO FIJO'!L170,IF(AND('RESULTADO PRECIO FIJO'!$C$172="HOLALUZ",$H$42='RESULTADO PRECIO FIJO'!$E$172,$C$266='RESULTADO PRECIO FIJO'!$D$172),'RESULTADO PRECIO FIJO'!L172,IF(AND('RESULTADO PRECIO FIJO'!$C$174="HOLALUZ",$H$42='RESULTADO PRECIO FIJO'!$E$174,$C$266='RESULTADO PRECIO FIJO'!$D$174),'RESULTADO PRECIO FIJO'!L174,IF(AND('RESULTADO PRECIO FIJO'!$C$176="HOLALUZ",$H$42='RESULTADO PRECIO FIJO'!$E$176,$C$266='RESULTADO PRECIO FIJO'!$D$176),'RESULTADO PRECIO FIJO'!L176,IF(AND('RESULTADO PRECIO FIJO'!$C$178="HOLALUZ",$H$42='RESULTADO PRECIO FIJO'!$E$178,$C$266='RESULTADO PRECIO FIJO'!$D$178),'RESULTADO PRECIO FIJO'!L178)))))))</f>
        <v>0</v>
      </c>
      <c r="J269" s="28"/>
      <c r="K269" s="28"/>
    </row>
    <row r="270" spans="1:11" ht="13.5" customHeight="1">
      <c r="B270" s="84"/>
      <c r="C270" s="4" t="s">
        <v>118</v>
      </c>
      <c r="D270" s="14">
        <f>IF(AND('RESULTADO PRECIO FIJO'!$C$166="HOLALUZ",$H$42='RESULTADO PRECIO FIJO'!$E$166,$C$266='RESULTADO PRECIO FIJO'!$D$166),'RESULTADO PRECIO FIJO'!G167,IF(AND('RESULTADO PRECIO FIJO'!$C$168="HOLALUZ",$H$42='RESULTADO PRECIO FIJO'!$E$168,$C$266='RESULTADO PRECIO FIJO'!$D$168),'RESULTADO PRECIO FIJO'!G169,IF(AND('RESULTADO PRECIO FIJO'!$C$170="HOLALUZ",$H$42='RESULTADO PRECIO FIJO'!$E$170,$C$266='RESULTADO PRECIO FIJO'!$D$170),'RESULTADO PRECIO FIJO'!G171,IF(AND('RESULTADO PRECIO FIJO'!$C$172="HOLALUZ",$H$42='RESULTADO PRECIO FIJO'!$E$172,$C$266='RESULTADO PRECIO FIJO'!$D$172),'RESULTADO PRECIO FIJO'!G173,IF(AND('RESULTADO PRECIO FIJO'!$C$174="HOLALUZ",$H$42='RESULTADO PRECIO FIJO'!$E$174,$C$266='RESULTADO PRECIO FIJO'!$D$174),'RESULTADO PRECIO FIJO'!G175,IF(AND('RESULTADO PRECIO FIJO'!$C$176="HOLALUZ",$H$42='RESULTADO PRECIO FIJO'!$E$176,$C$266='RESULTADO PRECIO FIJO'!$D$176),'RESULTADO PRECIO FIJO'!G177,IF(AND('RESULTADO PRECIO FIJO'!$C$178="HOLALUZ",$H$42='RESULTADO PRECIO FIJO'!$E$178,$C$266='RESULTADO PRECIO FIJO'!$D$178),'RESULTADO PRECIO FIJO'!G179)))))))</f>
        <v>0.33500000000000002</v>
      </c>
      <c r="E270" s="14">
        <f>IF(AND('RESULTADO PRECIO FIJO'!$C$166="HOLALUZ",$H$42='RESULTADO PRECIO FIJO'!$E$166,$C$266='RESULTADO PRECIO FIJO'!$D$166),'RESULTADO PRECIO FIJO'!H167,IF(AND('RESULTADO PRECIO FIJO'!$C$168="HOLALUZ",$H$42='RESULTADO PRECIO FIJO'!$E$168,$C$266='RESULTADO PRECIO FIJO'!$D$168),'RESULTADO PRECIO FIJO'!H169,IF(AND('RESULTADO PRECIO FIJO'!$C$170="HOLALUZ",$H$42='RESULTADO PRECIO FIJO'!$E$170,$C$266='RESULTADO PRECIO FIJO'!$D$170),'RESULTADO PRECIO FIJO'!H171,IF(AND('RESULTADO PRECIO FIJO'!$C$172="HOLALUZ",$H$42='RESULTADO PRECIO FIJO'!$E$172,$C$266='RESULTADO PRECIO FIJO'!$D$172),'RESULTADO PRECIO FIJO'!H173,IF(AND('RESULTADO PRECIO FIJO'!$C$174="HOLALUZ",$H$42='RESULTADO PRECIO FIJO'!$E$174,$C$266='RESULTADO PRECIO FIJO'!$D$174),'RESULTADO PRECIO FIJO'!H175,IF(AND('RESULTADO PRECIO FIJO'!$C$176="HOLALUZ",$H$42='RESULTADO PRECIO FIJO'!$E$176,$C$266='RESULTADO PRECIO FIJO'!$D$176),'RESULTADO PRECIO FIJO'!H177,IF(AND('RESULTADO PRECIO FIJO'!$C$178="HOLALUZ",$H$42='RESULTADO PRECIO FIJO'!$E$178,$C$266='RESULTADO PRECIO FIJO'!$D$178),'RESULTADO PRECIO FIJO'!H179)))))))</f>
        <v>0.33500000000000002</v>
      </c>
      <c r="F270" s="14">
        <f>IF(AND('RESULTADO PRECIO FIJO'!$C$166="HOLALUZ",$H$42='RESULTADO PRECIO FIJO'!$E$166,$C$266='RESULTADO PRECIO FIJO'!$D$166),'RESULTADO PRECIO FIJO'!I167,IF(AND('RESULTADO PRECIO FIJO'!$C$168="HOLALUZ",$H$42='RESULTADO PRECIO FIJO'!$E$168,$C$266='RESULTADO PRECIO FIJO'!$D$168),'RESULTADO PRECIO FIJO'!I169,IF(AND('RESULTADO PRECIO FIJO'!$C$170="HOLALUZ",$H$42='RESULTADO PRECIO FIJO'!$E$170,$C$266='RESULTADO PRECIO FIJO'!$D$170),'RESULTADO PRECIO FIJO'!I171,IF(AND('RESULTADO PRECIO FIJO'!$C$172="HOLALUZ",$H$42='RESULTADO PRECIO FIJO'!$E$172,$C$266='RESULTADO PRECIO FIJO'!$D$172),'RESULTADO PRECIO FIJO'!I173,IF(AND('RESULTADO PRECIO FIJO'!$C$174="HOLALUZ",$H$42='RESULTADO PRECIO FIJO'!$E$174,$C$266='RESULTADO PRECIO FIJO'!$D$174),'RESULTADO PRECIO FIJO'!I175,IF(AND('RESULTADO PRECIO FIJO'!$C$176="HOLALUZ",$H$42='RESULTADO PRECIO FIJO'!$E$176,$C$266='RESULTADO PRECIO FIJO'!$D$176),'RESULTADO PRECIO FIJO'!I177,IF(AND('RESULTADO PRECIO FIJO'!$C$178="HOLALUZ",$H$42='RESULTADO PRECIO FIJO'!$E$178,$C$266='RESULTADO PRECIO FIJO'!$D$178),'RESULTADO PRECIO FIJO'!I179)))))))</f>
        <v>0.33500000000000002</v>
      </c>
      <c r="G270" s="14">
        <f>IF(AND('RESULTADO PRECIO FIJO'!$C$166="HOLALUZ",$H$42='RESULTADO PRECIO FIJO'!$E$166,$C$266='RESULTADO PRECIO FIJO'!$D$166),'RESULTADO PRECIO FIJO'!J167,IF(AND('RESULTADO PRECIO FIJO'!$C$168="HOLALUZ",$H$42='RESULTADO PRECIO FIJO'!$E$168,$C$266='RESULTADO PRECIO FIJO'!$D$168),'RESULTADO PRECIO FIJO'!J169,IF(AND('RESULTADO PRECIO FIJO'!$C$170="HOLALUZ",$H$42='RESULTADO PRECIO FIJO'!$E$170,$C$266='RESULTADO PRECIO FIJO'!$D$170),'RESULTADO PRECIO FIJO'!J171,IF(AND('RESULTADO PRECIO FIJO'!$C$172="HOLALUZ",$H$42='RESULTADO PRECIO FIJO'!$E$172,$C$266='RESULTADO PRECIO FIJO'!$D$172),'RESULTADO PRECIO FIJO'!J173,IF(AND('RESULTADO PRECIO FIJO'!$C$174="HOLALUZ",$H$42='RESULTADO PRECIO FIJO'!$E$174,$C$266='RESULTADO PRECIO FIJO'!$D$174),'RESULTADO PRECIO FIJO'!J175,IF(AND('RESULTADO PRECIO FIJO'!$C$176="HOLALUZ",$H$42='RESULTADO PRECIO FIJO'!$E$176,$C$266='RESULTADO PRECIO FIJO'!$D$176),'RESULTADO PRECIO FIJO'!J177,IF(AND('RESULTADO PRECIO FIJO'!$C$178="HOLALUZ",$H$42='RESULTADO PRECIO FIJO'!$E$178,$C$266='RESULTADO PRECIO FIJO'!$D$178),'RESULTADO PRECIO FIJO'!J179)))))))</f>
        <v>0</v>
      </c>
      <c r="H270" s="14">
        <f>IF(AND('RESULTADO PRECIO FIJO'!$C$166="HOLALUZ",$H$42='RESULTADO PRECIO FIJO'!$E$166,$C$266='RESULTADO PRECIO FIJO'!$D$166),'RESULTADO PRECIO FIJO'!K167,IF(AND('RESULTADO PRECIO FIJO'!$C$168="HOLALUZ",$H$42='RESULTADO PRECIO FIJO'!$E$168,$C$266='RESULTADO PRECIO FIJO'!$D$168),'RESULTADO PRECIO FIJO'!K169,IF(AND('RESULTADO PRECIO FIJO'!$C$170="HOLALUZ",$H$42='RESULTADO PRECIO FIJO'!$E$170,$C$266='RESULTADO PRECIO FIJO'!$D$170),'RESULTADO PRECIO FIJO'!K171,IF(AND('RESULTADO PRECIO FIJO'!$C$172="HOLALUZ",$H$42='RESULTADO PRECIO FIJO'!$E$172,$C$266='RESULTADO PRECIO FIJO'!$D$172),'RESULTADO PRECIO FIJO'!K173,IF(AND('RESULTADO PRECIO FIJO'!$C$174="HOLALUZ",$H$42='RESULTADO PRECIO FIJO'!$E$174,$C$266='RESULTADO PRECIO FIJO'!$D$174),'RESULTADO PRECIO FIJO'!K175,IF(AND('RESULTADO PRECIO FIJO'!$C$176="HOLALUZ",$H$42='RESULTADO PRECIO FIJO'!$E$176,$C$266='RESULTADO PRECIO FIJO'!$D$176),'RESULTADO PRECIO FIJO'!K177,IF(AND('RESULTADO PRECIO FIJO'!$C$178="HOLALUZ",$H$42='RESULTADO PRECIO FIJO'!$E$178,$C$266='RESULTADO PRECIO FIJO'!$D$178),'RESULTADO PRECIO FIJO'!K179)))))))</f>
        <v>0</v>
      </c>
      <c r="I270" s="14">
        <f>IF(AND('RESULTADO PRECIO FIJO'!$C$166="HOLALUZ",$H$42='RESULTADO PRECIO FIJO'!$E$166,$C$266='RESULTADO PRECIO FIJO'!$D$166),'RESULTADO PRECIO FIJO'!L167,IF(AND('RESULTADO PRECIO FIJO'!$C$168="HOLALUZ",$H$42='RESULTADO PRECIO FIJO'!$E$168,$C$266='RESULTADO PRECIO FIJO'!$D$168),'RESULTADO PRECIO FIJO'!L169,IF(AND('RESULTADO PRECIO FIJO'!$C$170="HOLALUZ",$H$42='RESULTADO PRECIO FIJO'!$E$170,$C$266='RESULTADO PRECIO FIJO'!$D$170),'RESULTADO PRECIO FIJO'!L171,IF(AND('RESULTADO PRECIO FIJO'!$C$172="HOLALUZ",$H$42='RESULTADO PRECIO FIJO'!$E$172,$C$266='RESULTADO PRECIO FIJO'!$D$172),'RESULTADO PRECIO FIJO'!L173,IF(AND('RESULTADO PRECIO FIJO'!$C$174="HOLALUZ",$H$42='RESULTADO PRECIO FIJO'!$E$174,$C$266='RESULTADO PRECIO FIJO'!$D$174),'RESULTADO PRECIO FIJO'!L175,IF(AND('RESULTADO PRECIO FIJO'!$C$176="HOLALUZ",$H$42='RESULTADO PRECIO FIJO'!$E$176,$C$266='RESULTADO PRECIO FIJO'!$D$176),'RESULTADO PRECIO FIJO'!L177,IF(AND('RESULTADO PRECIO FIJO'!$C$178="HOLALUZ",$H$42='RESULTADO PRECIO FIJO'!$E$178,$C$266='RESULTADO PRECIO FIJO'!$D$178),'RESULTADO PRECIO FIJO'!L179)))))))</f>
        <v>0</v>
      </c>
      <c r="J270" s="28"/>
      <c r="K270" s="28"/>
    </row>
    <row r="271" spans="1:11" ht="13.5" customHeight="1">
      <c r="A271" s="550">
        <f>'INTRODUCIR DATOS'!G79</f>
        <v>0</v>
      </c>
      <c r="B271" s="550"/>
      <c r="C271" s="550"/>
      <c r="D271" s="550"/>
      <c r="E271" s="550"/>
      <c r="F271" s="550"/>
      <c r="G271" s="550"/>
      <c r="H271" s="550"/>
      <c r="I271" s="550"/>
      <c r="J271" s="550"/>
      <c r="K271" s="550"/>
    </row>
    <row r="272" spans="1:11" ht="13.5" customHeight="1">
      <c r="A272" s="550"/>
      <c r="B272" s="550"/>
      <c r="C272" s="550"/>
      <c r="D272" s="550"/>
      <c r="E272" s="550"/>
      <c r="F272" s="550"/>
      <c r="G272" s="550"/>
      <c r="H272" s="550"/>
      <c r="I272" s="550"/>
      <c r="J272" s="550"/>
      <c r="K272" s="550"/>
    </row>
    <row r="273" spans="2:11" ht="13.5" customHeight="1">
      <c r="B273" s="551" t="s">
        <v>119</v>
      </c>
      <c r="C273" s="551"/>
      <c r="D273" s="551"/>
      <c r="E273" s="551"/>
      <c r="F273" s="551"/>
      <c r="G273" s="551"/>
      <c r="H273" s="551"/>
      <c r="I273" s="551"/>
      <c r="J273" s="551"/>
      <c r="K273" s="551"/>
    </row>
    <row r="274" spans="2:11" ht="13.5" customHeight="1">
      <c r="B274" s="380" t="s">
        <v>120</v>
      </c>
      <c r="C274" s="380"/>
      <c r="D274" s="381"/>
      <c r="E274" s="381"/>
      <c r="F274" s="381"/>
      <c r="G274" s="380"/>
      <c r="H274" s="380"/>
      <c r="I274" s="381"/>
      <c r="J274" s="382"/>
      <c r="K274" s="383">
        <f>F275+F276+F277+I275+I276+I277</f>
        <v>14.058623999999998</v>
      </c>
    </row>
    <row r="275" spans="2:11" ht="13.5" customHeight="1">
      <c r="B275" s="28"/>
      <c r="C275" s="89"/>
      <c r="D275" s="17" t="s">
        <v>115</v>
      </c>
      <c r="E275" s="89">
        <f>'INTRODUCIR DATOS'!$E$25</f>
        <v>6</v>
      </c>
      <c r="F275" s="8">
        <f>E275*D269*H264</f>
        <v>13.352255999999999</v>
      </c>
      <c r="G275" s="17" t="s">
        <v>62</v>
      </c>
      <c r="H275" s="89">
        <f>'INTRODUCIR DATOS'!$E$28</f>
        <v>0</v>
      </c>
      <c r="I275" s="8">
        <f>IF(G269="",0,H275*G269*H264)</f>
        <v>0</v>
      </c>
      <c r="J275" s="90"/>
      <c r="K275" s="90"/>
    </row>
    <row r="276" spans="2:11" ht="13.5" customHeight="1">
      <c r="B276" s="28"/>
      <c r="C276" s="89"/>
      <c r="D276" s="17" t="s">
        <v>116</v>
      </c>
      <c r="E276" s="89">
        <f>'INTRODUCIR DATOS'!$E$26</f>
        <v>6</v>
      </c>
      <c r="F276" s="8">
        <f>E276*E269*H264</f>
        <v>0.706368</v>
      </c>
      <c r="G276" s="17" t="s">
        <v>63</v>
      </c>
      <c r="H276" s="89">
        <f>'INTRODUCIR DATOS'!$E$29</f>
        <v>0</v>
      </c>
      <c r="I276" s="8">
        <f>IF(H269="",0,H276*H269*H264)</f>
        <v>0</v>
      </c>
      <c r="J276" s="90"/>
      <c r="K276" s="90"/>
    </row>
    <row r="277" spans="2:11" ht="13.5" customHeight="1">
      <c r="B277" s="28"/>
      <c r="C277" s="9"/>
      <c r="D277" s="17" t="s">
        <v>60</v>
      </c>
      <c r="E277" s="89">
        <f>'INTRODUCIR DATOS'!$E$27</f>
        <v>0</v>
      </c>
      <c r="F277" s="8">
        <f>IF(F269="",0,E277*F269*H264)</f>
        <v>0</v>
      </c>
      <c r="G277" s="18" t="s">
        <v>65</v>
      </c>
      <c r="H277" s="89">
        <f>'INTRODUCIR DATOS'!$E$30</f>
        <v>0</v>
      </c>
      <c r="I277" s="8">
        <f>IF(I269="",0,H277*I269*H264)</f>
        <v>0</v>
      </c>
      <c r="J277" s="9"/>
      <c r="K277" s="9"/>
    </row>
    <row r="278" spans="2:11" ht="13.5" customHeight="1">
      <c r="B278" s="9" t="s">
        <v>121</v>
      </c>
      <c r="C278" s="9"/>
      <c r="D278" s="9"/>
      <c r="E278" s="9"/>
      <c r="F278" s="9"/>
      <c r="G278" s="9"/>
      <c r="H278" s="9"/>
      <c r="I278" s="9"/>
      <c r="J278" s="9"/>
      <c r="K278" s="9"/>
    </row>
    <row r="279" spans="2:11" ht="13.5" customHeight="1">
      <c r="B279" s="380" t="s">
        <v>122</v>
      </c>
      <c r="C279" s="380"/>
      <c r="D279" s="381"/>
      <c r="E279" s="381"/>
      <c r="F279" s="381"/>
      <c r="G279" s="380"/>
      <c r="H279" s="380"/>
      <c r="I279" s="381"/>
      <c r="J279" s="382"/>
      <c r="K279" s="383">
        <f>F280+F281+F282+I280+I281+I282</f>
        <v>109.545</v>
      </c>
    </row>
    <row r="280" spans="2:11" ht="13.5" customHeight="1">
      <c r="B280" s="89"/>
      <c r="C280" s="89"/>
      <c r="D280" s="17" t="s">
        <v>115</v>
      </c>
      <c r="E280" s="89">
        <f>'INTRODUCIR DATOS'!$E$32</f>
        <v>327</v>
      </c>
      <c r="F280" s="338">
        <f>E280*D270</f>
        <v>109.545</v>
      </c>
      <c r="G280" s="17" t="s">
        <v>62</v>
      </c>
      <c r="H280" s="89">
        <f>'INTRODUCIR DATOS'!$E$35</f>
        <v>0</v>
      </c>
      <c r="I280" s="7">
        <f>IF(G270="",0,H280*G270)</f>
        <v>0</v>
      </c>
      <c r="J280" s="90"/>
      <c r="K280" s="90"/>
    </row>
    <row r="281" spans="2:11" ht="13.5" customHeight="1">
      <c r="B281" s="89"/>
      <c r="C281" s="89"/>
      <c r="D281" s="17" t="s">
        <v>116</v>
      </c>
      <c r="E281" s="89">
        <f>'INTRODUCIR DATOS'!$E$33</f>
        <v>0</v>
      </c>
      <c r="F281" s="338">
        <f>E281*E270</f>
        <v>0</v>
      </c>
      <c r="G281" s="17" t="s">
        <v>63</v>
      </c>
      <c r="H281" s="89">
        <f>'INTRODUCIR DATOS'!$E$36</f>
        <v>0</v>
      </c>
      <c r="I281" s="7">
        <f>IF(H270="",0,H281*H270)</f>
        <v>0</v>
      </c>
      <c r="J281" s="90"/>
      <c r="K281" s="90"/>
    </row>
    <row r="282" spans="2:11" ht="13.5" customHeight="1">
      <c r="B282" s="89"/>
      <c r="C282" s="89"/>
      <c r="D282" s="17" t="s">
        <v>60</v>
      </c>
      <c r="E282" s="89">
        <f>'INTRODUCIR DATOS'!$E$34</f>
        <v>0</v>
      </c>
      <c r="F282" s="338">
        <f>E282*F270</f>
        <v>0</v>
      </c>
      <c r="G282" s="17" t="s">
        <v>65</v>
      </c>
      <c r="H282" s="89">
        <f>'INTRODUCIR DATOS'!$E$37</f>
        <v>0</v>
      </c>
      <c r="I282" s="7">
        <f>IF(I270="",0,H282*I270)</f>
        <v>0</v>
      </c>
      <c r="J282" s="90"/>
      <c r="K282" s="90"/>
    </row>
    <row r="283" spans="2:11" ht="13.5" customHeight="1">
      <c r="B283" s="89" t="s">
        <v>123</v>
      </c>
      <c r="C283" s="92"/>
      <c r="D283" s="337"/>
      <c r="E283" s="337"/>
      <c r="F283" s="337"/>
      <c r="G283" s="89"/>
      <c r="H283" s="92"/>
      <c r="I283" s="337"/>
      <c r="J283" s="337"/>
      <c r="K283" s="11">
        <v>0</v>
      </c>
    </row>
    <row r="284" spans="2:11" ht="13.5" customHeight="1">
      <c r="B284" s="89" t="s">
        <v>124</v>
      </c>
      <c r="C284" s="92"/>
      <c r="D284" s="92"/>
      <c r="E284" s="92"/>
      <c r="F284" s="92"/>
      <c r="G284" s="92"/>
      <c r="H284" s="92"/>
      <c r="I284" s="92"/>
      <c r="J284" s="92"/>
      <c r="K284" s="12">
        <v>0</v>
      </c>
    </row>
    <row r="285" spans="2:11" ht="13.5" customHeight="1">
      <c r="B285" s="89" t="s">
        <v>125</v>
      </c>
      <c r="C285" s="89"/>
      <c r="D285" s="89"/>
      <c r="E285" s="552"/>
      <c r="F285" s="552"/>
      <c r="G285" s="552"/>
      <c r="H285" s="9">
        <f>K279+K274+K283</f>
        <v>123.603624</v>
      </c>
      <c r="I285" s="553" t="s">
        <v>121</v>
      </c>
      <c r="J285" s="553"/>
      <c r="K285" s="338">
        <f>H285*'INTRODUCIR DATOS'!$D$17</f>
        <v>0.61801812</v>
      </c>
    </row>
    <row r="286" spans="2:11" ht="13.5" customHeight="1">
      <c r="B286" s="475" t="s">
        <v>26</v>
      </c>
      <c r="C286" s="89"/>
      <c r="D286" s="89"/>
      <c r="E286" s="90"/>
      <c r="F286" s="90"/>
      <c r="G286" s="89"/>
      <c r="H286" s="9"/>
      <c r="I286" s="338"/>
      <c r="J286" s="338"/>
      <c r="K286" s="338">
        <f>'INTRODUCIR DATOS'!$D$15</f>
        <v>0</v>
      </c>
    </row>
    <row r="287" spans="2:11" ht="13.5" customHeight="1">
      <c r="B287" s="89" t="s">
        <v>28</v>
      </c>
      <c r="C287" s="89"/>
      <c r="D287" s="89"/>
      <c r="E287" s="89"/>
      <c r="F287" s="89"/>
      <c r="G287" s="338"/>
      <c r="H287" s="13"/>
      <c r="I287" s="13"/>
      <c r="J287" s="90"/>
      <c r="K287" s="338">
        <f>'INTRODUCIR DATOS'!$D$16</f>
        <v>0.85</v>
      </c>
    </row>
    <row r="288" spans="2:11" ht="13.5" customHeight="1">
      <c r="B288" s="89" t="s">
        <v>126</v>
      </c>
      <c r="C288" s="89"/>
      <c r="D288" s="89"/>
      <c r="E288" s="554">
        <f>'INTRODUCIR DATOS'!$D$21</f>
        <v>0.21</v>
      </c>
      <c r="F288" s="555"/>
      <c r="G288" s="555"/>
      <c r="H288" s="9">
        <f>K274+K279+K285+K286+K287</f>
        <v>125.07164211999999</v>
      </c>
      <c r="I288" s="13"/>
      <c r="J288" s="90"/>
      <c r="K288" s="338">
        <f>E288*H288</f>
        <v>26.265044845199998</v>
      </c>
    </row>
    <row r="289" spans="1:11" ht="13.5" customHeight="1">
      <c r="B289" s="380" t="s">
        <v>127</v>
      </c>
      <c r="C289" s="380"/>
      <c r="D289" s="381"/>
      <c r="E289" s="381"/>
      <c r="F289" s="381"/>
      <c r="G289" s="380"/>
      <c r="H289" s="380"/>
      <c r="I289" s="381"/>
      <c r="J289" s="382"/>
      <c r="K289" s="383">
        <f>SUM(K274:K288)</f>
        <v>151.33668696519999</v>
      </c>
    </row>
    <row r="290" spans="1:11" ht="13.5" customHeight="1">
      <c r="B290" s="89" t="s">
        <v>128</v>
      </c>
      <c r="C290" s="89"/>
      <c r="D290" s="89"/>
      <c r="E290" s="89"/>
      <c r="F290" s="89"/>
      <c r="G290" s="338"/>
      <c r="H290" s="338"/>
      <c r="I290" s="89"/>
      <c r="J290" s="90"/>
      <c r="K290" s="338">
        <f>'INTRODUCIR DATOS'!$D$14</f>
        <v>114.15</v>
      </c>
    </row>
    <row r="291" spans="1:11" ht="13.5" customHeight="1">
      <c r="B291" s="389" t="s">
        <v>129</v>
      </c>
      <c r="C291" s="385"/>
      <c r="D291" s="386"/>
      <c r="E291" s="386"/>
      <c r="F291" s="386"/>
      <c r="G291" s="386"/>
      <c r="H291" s="386"/>
      <c r="I291" s="386"/>
      <c r="J291" s="387">
        <f>IF(K289=0,"",(K290-K289)/K290)</f>
        <v>-0.32577036325186143</v>
      </c>
      <c r="K291" s="388">
        <f>IF(K274=0,"",IF((K279=0),"",K290-K289))</f>
        <v>-37.186686965199982</v>
      </c>
    </row>
    <row r="292" spans="1:11" ht="13.5" customHeight="1">
      <c r="B292" s="143"/>
      <c r="C292" s="143"/>
      <c r="D292" s="143"/>
      <c r="E292" s="143"/>
      <c r="F292" s="143"/>
      <c r="G292" s="143"/>
      <c r="H292" s="143"/>
      <c r="I292" s="143"/>
      <c r="J292" s="143"/>
      <c r="K292" s="143"/>
    </row>
    <row r="293" spans="1:11" ht="13.5" customHeight="1">
      <c r="A293" s="556" t="s">
        <v>107</v>
      </c>
      <c r="B293" s="556"/>
      <c r="C293" s="556"/>
      <c r="D293" s="556"/>
      <c r="E293" s="556"/>
      <c r="F293" s="556"/>
      <c r="G293" s="556"/>
      <c r="H293" s="556"/>
      <c r="I293" s="556"/>
      <c r="J293" s="556"/>
      <c r="K293" s="556"/>
    </row>
    <row r="294" spans="1:11" ht="13.5" customHeight="1">
      <c r="A294" s="557" t="s">
        <v>108</v>
      </c>
      <c r="B294" s="558"/>
      <c r="C294" s="558"/>
      <c r="D294" s="558"/>
      <c r="E294" s="558"/>
      <c r="F294" s="558"/>
      <c r="G294" s="558"/>
      <c r="H294" s="558"/>
      <c r="I294" s="558"/>
      <c r="J294" s="558"/>
      <c r="K294" s="558"/>
    </row>
    <row r="295" spans="1:11" ht="13.5" customHeight="1"/>
    <row r="296" spans="1:11" ht="13.5" customHeight="1">
      <c r="B296" s="143"/>
      <c r="C296" s="143"/>
      <c r="D296" s="143"/>
      <c r="E296" s="143"/>
      <c r="F296" s="143"/>
      <c r="G296" s="143"/>
      <c r="H296" s="143"/>
      <c r="I296" s="143"/>
      <c r="J296" s="143"/>
      <c r="K296" s="143"/>
    </row>
    <row r="297" spans="1:11" ht="13.5" customHeight="1">
      <c r="B297" s="15"/>
      <c r="C297" s="15"/>
      <c r="D297" s="15"/>
      <c r="E297" s="15"/>
      <c r="F297" s="559" t="s">
        <v>109</v>
      </c>
      <c r="G297" s="559"/>
      <c r="H297" s="560" t="str">
        <f>'INTRODUCIR DATOS'!$D$9</f>
        <v>GEMA GARCIA ESCUDERO</v>
      </c>
      <c r="I297" s="560"/>
      <c r="J297" s="560"/>
      <c r="K297" s="560"/>
    </row>
    <row r="298" spans="1:11" ht="13.5" customHeight="1">
      <c r="B298" s="143"/>
      <c r="C298" s="15"/>
      <c r="D298" s="15"/>
      <c r="E298" s="15"/>
      <c r="F298" s="559" t="s">
        <v>110</v>
      </c>
      <c r="G298" s="559"/>
      <c r="H298" s="560" t="str">
        <f>'INTRODUCIR DATOS'!$D$10</f>
        <v>C/LOS HUERTOS</v>
      </c>
      <c r="I298" s="560"/>
      <c r="J298" s="560"/>
      <c r="K298" s="560"/>
    </row>
    <row r="299" spans="1:11" ht="13.5" customHeight="1">
      <c r="B299" s="143"/>
      <c r="C299" s="15"/>
      <c r="D299" s="15"/>
      <c r="E299" s="15"/>
      <c r="F299" s="559" t="s">
        <v>111</v>
      </c>
      <c r="G299" s="559"/>
      <c r="H299" s="560" t="str">
        <f>'INTRODUCIR DATOS'!$D$11</f>
        <v>ENCINILLAS</v>
      </c>
      <c r="I299" s="560"/>
      <c r="J299" s="560"/>
      <c r="K299" s="560"/>
    </row>
    <row r="300" spans="1:11" ht="13.5" customHeight="1">
      <c r="B300" s="15"/>
      <c r="C300" s="15"/>
      <c r="D300" s="15"/>
      <c r="E300" s="15"/>
      <c r="F300" s="559" t="s">
        <v>112</v>
      </c>
      <c r="G300" s="559"/>
      <c r="H300" s="558" t="str">
        <f>'INTRODUCIR DATOS'!$D$18</f>
        <v>2.0TD</v>
      </c>
      <c r="I300" s="558"/>
      <c r="J300" s="558"/>
      <c r="K300" s="558"/>
    </row>
    <row r="301" spans="1:11" ht="13.5" customHeight="1">
      <c r="B301" s="15"/>
      <c r="C301" s="15"/>
      <c r="D301" s="15"/>
      <c r="E301" s="15"/>
      <c r="F301" s="559" t="s">
        <v>113</v>
      </c>
      <c r="G301" s="559"/>
      <c r="H301" s="561">
        <f>'INTRODUCIR DATOS'!$D$13</f>
        <v>32</v>
      </c>
      <c r="I301" s="561"/>
      <c r="J301" s="561"/>
      <c r="K301" s="561"/>
    </row>
    <row r="302" spans="1:11" ht="13.5" customHeight="1">
      <c r="B302" s="15"/>
      <c r="C302" s="15"/>
      <c r="D302" s="15"/>
      <c r="E302" s="15"/>
      <c r="F302" s="15"/>
      <c r="G302" s="15"/>
      <c r="H302" s="15"/>
      <c r="I302" s="15"/>
      <c r="J302" s="15"/>
      <c r="K302" s="15"/>
    </row>
    <row r="303" spans="1:11" ht="13.5" customHeight="1">
      <c r="B303" s="384" t="s">
        <v>114</v>
      </c>
      <c r="C303" s="549" t="str">
        <f>'INTRODUCIR DATOS'!O23</f>
        <v>USO LUZ</v>
      </c>
      <c r="D303" s="549"/>
      <c r="E303" s="549"/>
      <c r="F303" s="15"/>
      <c r="G303" s="15"/>
      <c r="H303" s="15"/>
      <c r="I303" s="15"/>
      <c r="J303" s="15"/>
      <c r="K303" s="15"/>
    </row>
    <row r="304" spans="1:11" ht="13.5" customHeight="1">
      <c r="C304" s="83"/>
      <c r="D304" s="2"/>
      <c r="E304" s="2"/>
      <c r="F304" s="2"/>
      <c r="G304" s="2"/>
      <c r="H304" s="2"/>
      <c r="I304" s="2"/>
      <c r="J304" s="2"/>
      <c r="K304" s="16"/>
    </row>
    <row r="305" spans="1:11" ht="13.5" customHeight="1">
      <c r="B305" s="84"/>
      <c r="C305" s="84"/>
      <c r="D305" s="3" t="s">
        <v>115</v>
      </c>
      <c r="E305" s="3" t="s">
        <v>116</v>
      </c>
      <c r="F305" s="3" t="s">
        <v>60</v>
      </c>
      <c r="G305" s="3" t="s">
        <v>62</v>
      </c>
      <c r="H305" s="3" t="s">
        <v>63</v>
      </c>
      <c r="I305" s="3" t="s">
        <v>65</v>
      </c>
      <c r="J305" s="28"/>
      <c r="K305" s="28"/>
    </row>
    <row r="306" spans="1:11" ht="13.5" customHeight="1">
      <c r="B306" s="84"/>
      <c r="C306" s="4" t="s">
        <v>117</v>
      </c>
      <c r="D306" s="14">
        <f>IF(AND('RESULTADO PRECIO FIJO'!$C$176="NATURGY",$H$42='RESULTADO PRECIO FIJO'!$E$176,$C$303='RESULTADO PRECIO FIJO'!$D$176),'RESULTADO PRECIO FIJO'!G176,IF(AND('RESULTADO PRECIO FIJO'!$C$178="NATURGY",$H$42='RESULTADO PRECIO FIJO'!$E$178,$C$303='RESULTADO PRECIO FIJO'!$D$178),'RESULTADO PRECIO FIJO'!G178,""))</f>
        <v>8.7278999999999995E-2</v>
      </c>
      <c r="E306" s="14">
        <f>IF(AND('RESULTADO PRECIO FIJO'!$C$176="NATURGY",$H$42='RESULTADO PRECIO FIJO'!$E$176,$C$303='RESULTADO PRECIO FIJO'!$D$176),'RESULTADO PRECIO FIJO'!H176,IF(AND('RESULTADO PRECIO FIJO'!$C$178="NATURGY",$H$42='RESULTADO PRECIO FIJO'!$E$178,$C$303='RESULTADO PRECIO FIJO'!$D$178),'RESULTADO PRECIO FIJO'!H178,""))</f>
        <v>1.4942E-2</v>
      </c>
      <c r="F306" s="14">
        <f>IF(AND('RESULTADO PRECIO FIJO'!$C$176="NATURGY",$H$42='RESULTADO PRECIO FIJO'!$E$176,$C$303='RESULTADO PRECIO FIJO'!$D$176),'RESULTADO PRECIO FIJO'!I176,IF(AND('RESULTADO PRECIO FIJO'!$C$178="NATURGY",$H$42='RESULTADO PRECIO FIJO'!$E$178,$C$303='RESULTADO PRECIO FIJO'!$D$178),'RESULTADO PRECIO FIJO'!I178,""))</f>
        <v>0</v>
      </c>
      <c r="G306" s="14">
        <f>IF(AND('RESULTADO PRECIO FIJO'!$C$176="NATURGY",$H$42='RESULTADO PRECIO FIJO'!$E$176,$C$303='RESULTADO PRECIO FIJO'!$D$176),'RESULTADO PRECIO FIJO'!J176,IF(AND('RESULTADO PRECIO FIJO'!$C$178="NATURGY",$H$42='RESULTADO PRECIO FIJO'!$E$178,$C$303='RESULTADO PRECIO FIJO'!$D$178),'RESULTADO PRECIO FIJO'!J178,""))</f>
        <v>0</v>
      </c>
      <c r="H306" s="14">
        <f>IF(AND('RESULTADO PRECIO FIJO'!$C$176="NATURGY",$H$42='RESULTADO PRECIO FIJO'!$E$176,$C$303='RESULTADO PRECIO FIJO'!$D$176),'RESULTADO PRECIO FIJO'!K176,IF(AND('RESULTADO PRECIO FIJO'!$C$178="NATURGY",$H$42='RESULTADO PRECIO FIJO'!$E$178,$C$303='RESULTADO PRECIO FIJO'!$D$178),'RESULTADO PRECIO FIJO'!K178,""))</f>
        <v>0</v>
      </c>
      <c r="I306" s="14">
        <f>IF(AND('RESULTADO PRECIO FIJO'!$C$176="NATURGY",$H$42='RESULTADO PRECIO FIJO'!$E$176,$C$303='RESULTADO PRECIO FIJO'!$D$176),'RESULTADO PRECIO FIJO'!L176,IF(AND('RESULTADO PRECIO FIJO'!$C$178="NATURGY",$H$42='RESULTADO PRECIO FIJO'!$E$178,$C$303='RESULTADO PRECIO FIJO'!$D$178),'RESULTADO PRECIO FIJO'!L178,""))</f>
        <v>0</v>
      </c>
      <c r="J306" s="28"/>
      <c r="K306" s="28"/>
    </row>
    <row r="307" spans="1:11" ht="13.5" customHeight="1">
      <c r="B307" s="84"/>
      <c r="C307" s="4" t="s">
        <v>118</v>
      </c>
      <c r="D307" s="14">
        <f>IF(AND('RESULTADO PRECIO FIJO'!$C$176="NATURGY",$H$42='RESULTADO PRECIO FIJO'!$E$176,$C$303='RESULTADO PRECIO FIJO'!$D$176),'RESULTADO PRECIO FIJO'!G177,IF(AND('RESULTADO PRECIO FIJO'!$C$178="NATURGY",$H$42='RESULTADO PRECIO FIJO'!$E$178,$C$303='RESULTADO PRECIO FIJO'!$D$178),'RESULTADO PRECIO FIJO'!G179,""))</f>
        <v>0.17253299999999999</v>
      </c>
      <c r="E307" s="14">
        <f>IF(AND('RESULTADO PRECIO FIJO'!$C$176="NATURGY",$H$42='RESULTADO PRECIO FIJO'!$E$176,$C$303='RESULTADO PRECIO FIJO'!$D$176),'RESULTADO PRECIO FIJO'!H177,IF(AND('RESULTADO PRECIO FIJO'!$C$178="NATURGY",$H$42='RESULTADO PRECIO FIJO'!$E$178,$C$303='RESULTADO PRECIO FIJO'!$D$178),'RESULTADO PRECIO FIJO'!H179,""))</f>
        <v>0.17253299999999999</v>
      </c>
      <c r="F307" s="14">
        <f>IF(AND('RESULTADO PRECIO FIJO'!$C$176="NATURGY",$H$42='RESULTADO PRECIO FIJO'!$E$176,$C$303='RESULTADO PRECIO FIJO'!$D$176),'RESULTADO PRECIO FIJO'!I177,IF(AND('RESULTADO PRECIO FIJO'!$C$178="NATURGY",$H$42='RESULTADO PRECIO FIJO'!$E$178,$C$303='RESULTADO PRECIO FIJO'!$D$178),'RESULTADO PRECIO FIJO'!I179,""))</f>
        <v>0.17253299999999999</v>
      </c>
      <c r="G307" s="14">
        <f>IF(AND('RESULTADO PRECIO FIJO'!$C$176="NATURGY",$H$42='RESULTADO PRECIO FIJO'!$E$176,$C$303='RESULTADO PRECIO FIJO'!$D$176),'RESULTADO PRECIO FIJO'!J177,IF(AND('RESULTADO PRECIO FIJO'!$C$178="NATURGY",$H$42='RESULTADO PRECIO FIJO'!$E$178,$C$303='RESULTADO PRECIO FIJO'!$D$178),'RESULTADO PRECIO FIJO'!J179,""))</f>
        <v>0</v>
      </c>
      <c r="H307" s="14">
        <f>IF(AND('RESULTADO PRECIO FIJO'!$C$176="NATURGY",$H$42='RESULTADO PRECIO FIJO'!$E$176,$C$303='RESULTADO PRECIO FIJO'!$D$176),'RESULTADO PRECIO FIJO'!K177,IF(AND('RESULTADO PRECIO FIJO'!$C$178="NATURGY",$H$42='RESULTADO PRECIO FIJO'!$E$178,$C$303='RESULTADO PRECIO FIJO'!$D$178),'RESULTADO PRECIO FIJO'!K179,""))</f>
        <v>0</v>
      </c>
      <c r="I307" s="14">
        <f>IF(AND('RESULTADO PRECIO FIJO'!$C$176="NATURGY",$H$42='RESULTADO PRECIO FIJO'!$E$176,$C$303='RESULTADO PRECIO FIJO'!$D$176),'RESULTADO PRECIO FIJO'!L177,IF(AND('RESULTADO PRECIO FIJO'!$C$178="NATURGY",$H$42='RESULTADO PRECIO FIJO'!$E$178,$C$303='RESULTADO PRECIO FIJO'!$D$178),'RESULTADO PRECIO FIJO'!L179,""))</f>
        <v>0</v>
      </c>
      <c r="J307" s="28"/>
      <c r="K307" s="28"/>
    </row>
    <row r="308" spans="1:11" ht="13.5" customHeight="1">
      <c r="A308" s="550">
        <f>'INTRODUCIR DATOS'!G116</f>
        <v>0</v>
      </c>
      <c r="B308" s="550"/>
      <c r="C308" s="550"/>
      <c r="D308" s="550"/>
      <c r="E308" s="550"/>
      <c r="F308" s="550"/>
      <c r="G308" s="550"/>
      <c r="H308" s="550"/>
      <c r="I308" s="550"/>
      <c r="J308" s="550"/>
      <c r="K308" s="550"/>
    </row>
    <row r="309" spans="1:11" ht="13.5" customHeight="1">
      <c r="A309" s="550"/>
      <c r="B309" s="550"/>
      <c r="C309" s="550"/>
      <c r="D309" s="550"/>
      <c r="E309" s="550"/>
      <c r="F309" s="550"/>
      <c r="G309" s="550"/>
      <c r="H309" s="550"/>
      <c r="I309" s="550"/>
      <c r="J309" s="550"/>
      <c r="K309" s="550"/>
    </row>
    <row r="310" spans="1:11" ht="13.5" customHeight="1">
      <c r="B310" s="551" t="s">
        <v>119</v>
      </c>
      <c r="C310" s="551"/>
      <c r="D310" s="551"/>
      <c r="E310" s="551"/>
      <c r="F310" s="551"/>
      <c r="G310" s="551"/>
      <c r="H310" s="551"/>
      <c r="I310" s="551"/>
      <c r="J310" s="551"/>
      <c r="K310" s="551"/>
    </row>
    <row r="311" spans="1:11" ht="13.5" customHeight="1">
      <c r="B311" s="440" t="s">
        <v>120</v>
      </c>
      <c r="C311" s="440"/>
      <c r="D311" s="441"/>
      <c r="E311" s="441"/>
      <c r="F311" s="441"/>
      <c r="G311" s="440"/>
      <c r="H311" s="440"/>
      <c r="I311" s="441"/>
      <c r="J311" s="442"/>
      <c r="K311" s="443">
        <f>F312+F313+F314+I312+I313+I314</f>
        <v>19.626432000000001</v>
      </c>
    </row>
    <row r="312" spans="1:11" ht="13.5" customHeight="1">
      <c r="B312" s="28"/>
      <c r="C312" s="89"/>
      <c r="D312" s="17" t="s">
        <v>115</v>
      </c>
      <c r="E312" s="89">
        <f>'INTRODUCIR DATOS'!$E$25</f>
        <v>6</v>
      </c>
      <c r="F312" s="8">
        <f>E312*D306*H301</f>
        <v>16.757567999999999</v>
      </c>
      <c r="G312" s="17" t="s">
        <v>62</v>
      </c>
      <c r="H312" s="89">
        <f>'INTRODUCIR DATOS'!$E$28</f>
        <v>0</v>
      </c>
      <c r="I312" s="8">
        <f>IF(G306="",0,H312*G306*H301)</f>
        <v>0</v>
      </c>
      <c r="J312" s="90"/>
      <c r="K312" s="90"/>
    </row>
    <row r="313" spans="1:11" ht="13.5" customHeight="1">
      <c r="B313" s="28"/>
      <c r="C313" s="89"/>
      <c r="D313" s="17" t="s">
        <v>116</v>
      </c>
      <c r="E313" s="89">
        <f>'INTRODUCIR DATOS'!$E$26</f>
        <v>6</v>
      </c>
      <c r="F313" s="8">
        <f>E313*E306*H301</f>
        <v>2.8688640000000003</v>
      </c>
      <c r="G313" s="17" t="s">
        <v>63</v>
      </c>
      <c r="H313" s="89">
        <f>'INTRODUCIR DATOS'!$E$29</f>
        <v>0</v>
      </c>
      <c r="I313" s="8">
        <f>IF(H306="",0,H313*H306*H301)</f>
        <v>0</v>
      </c>
      <c r="J313" s="90"/>
      <c r="K313" s="90"/>
    </row>
    <row r="314" spans="1:11" ht="13.5" customHeight="1">
      <c r="B314" s="28"/>
      <c r="C314" s="9"/>
      <c r="D314" s="17" t="s">
        <v>60</v>
      </c>
      <c r="E314" s="89">
        <f>'INTRODUCIR DATOS'!$E$27</f>
        <v>0</v>
      </c>
      <c r="F314" s="8">
        <f>IF(F306="",0,E314*F306*H301)</f>
        <v>0</v>
      </c>
      <c r="G314" s="18" t="s">
        <v>65</v>
      </c>
      <c r="H314" s="89">
        <f>'INTRODUCIR DATOS'!$E$30</f>
        <v>0</v>
      </c>
      <c r="I314" s="8">
        <f>IF(I306="",0,H314*I306*H301)</f>
        <v>0</v>
      </c>
      <c r="J314" s="9"/>
      <c r="K314" s="9"/>
    </row>
    <row r="315" spans="1:11" ht="13.5" customHeight="1">
      <c r="B315" s="9" t="s">
        <v>121</v>
      </c>
      <c r="C315" s="9"/>
      <c r="D315" s="9"/>
      <c r="E315" s="9"/>
      <c r="F315" s="9"/>
      <c r="G315" s="9"/>
      <c r="H315" s="9"/>
      <c r="I315" s="9"/>
      <c r="J315" s="9"/>
      <c r="K315" s="9"/>
    </row>
    <row r="316" spans="1:11" ht="13.5" customHeight="1">
      <c r="B316" s="440" t="s">
        <v>122</v>
      </c>
      <c r="C316" s="440"/>
      <c r="D316" s="441"/>
      <c r="E316" s="441"/>
      <c r="F316" s="441"/>
      <c r="G316" s="440"/>
      <c r="H316" s="440"/>
      <c r="I316" s="441"/>
      <c r="J316" s="442"/>
      <c r="K316" s="443">
        <f>F317+F318+F319+I317+I318+I319</f>
        <v>56.418290999999996</v>
      </c>
    </row>
    <row r="317" spans="1:11" ht="13.5" customHeight="1">
      <c r="B317" s="89"/>
      <c r="C317" s="89"/>
      <c r="D317" s="17" t="s">
        <v>115</v>
      </c>
      <c r="E317" s="89">
        <f>'INTRODUCIR DATOS'!$E$32</f>
        <v>327</v>
      </c>
      <c r="F317" s="338">
        <f>E317*D307</f>
        <v>56.418290999999996</v>
      </c>
      <c r="G317" s="17" t="s">
        <v>62</v>
      </c>
      <c r="H317" s="89">
        <f>'INTRODUCIR DATOS'!$E$35</f>
        <v>0</v>
      </c>
      <c r="I317" s="7">
        <f>IF(G307="",0,H317*G307)</f>
        <v>0</v>
      </c>
      <c r="J317" s="90"/>
      <c r="K317" s="90"/>
    </row>
    <row r="318" spans="1:11" ht="13.5" customHeight="1">
      <c r="B318" s="89"/>
      <c r="C318" s="89"/>
      <c r="D318" s="17" t="s">
        <v>116</v>
      </c>
      <c r="E318" s="89">
        <f>'INTRODUCIR DATOS'!$E$33</f>
        <v>0</v>
      </c>
      <c r="F318" s="338">
        <f>E318*E307</f>
        <v>0</v>
      </c>
      <c r="G318" s="17" t="s">
        <v>63</v>
      </c>
      <c r="H318" s="89">
        <f>'INTRODUCIR DATOS'!$E$36</f>
        <v>0</v>
      </c>
      <c r="I318" s="7">
        <f>IF(H307="",0,H318*H307)</f>
        <v>0</v>
      </c>
      <c r="J318" s="90"/>
      <c r="K318" s="90"/>
    </row>
    <row r="319" spans="1:11" ht="13.5" customHeight="1">
      <c r="B319" s="89"/>
      <c r="C319" s="89"/>
      <c r="D319" s="17" t="s">
        <v>60</v>
      </c>
      <c r="E319" s="89">
        <f>'INTRODUCIR DATOS'!$E$34</f>
        <v>0</v>
      </c>
      <c r="F319" s="338">
        <f>E319*F307</f>
        <v>0</v>
      </c>
      <c r="G319" s="17" t="s">
        <v>65</v>
      </c>
      <c r="H319" s="89">
        <f>'INTRODUCIR DATOS'!$E$37</f>
        <v>0</v>
      </c>
      <c r="I319" s="7">
        <f>IF(I307="",0,H319*I307)</f>
        <v>0</v>
      </c>
      <c r="J319" s="90"/>
      <c r="K319" s="90"/>
    </row>
    <row r="320" spans="1:11" ht="13.5" customHeight="1">
      <c r="B320" s="89" t="s">
        <v>123</v>
      </c>
      <c r="C320" s="92"/>
      <c r="D320" s="337"/>
      <c r="E320" s="337"/>
      <c r="F320" s="337"/>
      <c r="G320" s="89"/>
      <c r="H320" s="92"/>
      <c r="I320" s="337"/>
      <c r="J320" s="337"/>
      <c r="K320" s="11">
        <v>0</v>
      </c>
    </row>
    <row r="321" spans="1:11" ht="13.5" customHeight="1">
      <c r="B321" s="89" t="s">
        <v>124</v>
      </c>
      <c r="C321" s="92"/>
      <c r="D321" s="92"/>
      <c r="E321" s="92"/>
      <c r="F321" s="92"/>
      <c r="G321" s="92"/>
      <c r="H321" s="92"/>
      <c r="I321" s="92"/>
      <c r="J321" s="92"/>
      <c r="K321" s="12">
        <v>0</v>
      </c>
    </row>
    <row r="322" spans="1:11" ht="13.5" customHeight="1">
      <c r="B322" s="89" t="s">
        <v>125</v>
      </c>
      <c r="C322" s="89"/>
      <c r="D322" s="89"/>
      <c r="E322" s="552"/>
      <c r="F322" s="552"/>
      <c r="G322" s="552"/>
      <c r="H322" s="9">
        <f>K316+K311+K320</f>
        <v>76.044723000000005</v>
      </c>
      <c r="I322" s="553" t="s">
        <v>121</v>
      </c>
      <c r="J322" s="553"/>
      <c r="K322" s="338">
        <f>H322*'INTRODUCIR DATOS'!$D$17</f>
        <v>0.38022361500000001</v>
      </c>
    </row>
    <row r="323" spans="1:11" ht="13.5" customHeight="1">
      <c r="B323" s="475" t="s">
        <v>26</v>
      </c>
      <c r="C323" s="89"/>
      <c r="D323" s="89"/>
      <c r="E323" s="90"/>
      <c r="F323" s="90"/>
      <c r="G323" s="89"/>
      <c r="H323" s="9"/>
      <c r="I323" s="338"/>
      <c r="J323" s="338"/>
      <c r="K323" s="338">
        <f>'INTRODUCIR DATOS'!$D$15</f>
        <v>0</v>
      </c>
    </row>
    <row r="324" spans="1:11" ht="13.5" customHeight="1">
      <c r="B324" s="89" t="s">
        <v>28</v>
      </c>
      <c r="C324" s="89"/>
      <c r="D324" s="89"/>
      <c r="E324" s="89"/>
      <c r="F324" s="89"/>
      <c r="G324" s="338"/>
      <c r="H324" s="13"/>
      <c r="I324" s="13"/>
      <c r="J324" s="90"/>
      <c r="K324" s="338">
        <f>'INTRODUCIR DATOS'!$D$16</f>
        <v>0.85</v>
      </c>
    </row>
    <row r="325" spans="1:11" ht="13.5" customHeight="1">
      <c r="B325" s="89" t="s">
        <v>126</v>
      </c>
      <c r="C325" s="89"/>
      <c r="D325" s="89"/>
      <c r="E325" s="554">
        <f>'INTRODUCIR DATOS'!$D$21</f>
        <v>0.21</v>
      </c>
      <c r="F325" s="555"/>
      <c r="G325" s="555"/>
      <c r="H325" s="9">
        <f>K311+K316+K322+K323+K324</f>
        <v>77.274946615000005</v>
      </c>
      <c r="I325" s="13"/>
      <c r="J325" s="90"/>
      <c r="K325" s="338">
        <f>E325*H325</f>
        <v>16.227738789149999</v>
      </c>
    </row>
    <row r="326" spans="1:11" ht="13.5" customHeight="1">
      <c r="B326" s="440" t="s">
        <v>127</v>
      </c>
      <c r="C326" s="440"/>
      <c r="D326" s="441"/>
      <c r="E326" s="441"/>
      <c r="F326" s="441"/>
      <c r="G326" s="440"/>
      <c r="H326" s="440"/>
      <c r="I326" s="441"/>
      <c r="J326" s="442"/>
      <c r="K326" s="443">
        <f>SUM(K311:K325)</f>
        <v>93.50268540415</v>
      </c>
    </row>
    <row r="327" spans="1:11" ht="13.5" customHeight="1">
      <c r="B327" s="89" t="s">
        <v>128</v>
      </c>
      <c r="C327" s="89"/>
      <c r="D327" s="89"/>
      <c r="E327" s="89"/>
      <c r="F327" s="89"/>
      <c r="G327" s="338"/>
      <c r="H327" s="338"/>
      <c r="I327" s="89"/>
      <c r="J327" s="90"/>
      <c r="K327" s="338">
        <f>'INTRODUCIR DATOS'!$D$14</f>
        <v>114.15</v>
      </c>
    </row>
    <row r="328" spans="1:11" ht="13.5" customHeight="1">
      <c r="B328" s="444" t="s">
        <v>129</v>
      </c>
      <c r="C328" s="445"/>
      <c r="D328" s="446"/>
      <c r="E328" s="446"/>
      <c r="F328" s="446"/>
      <c r="G328" s="446"/>
      <c r="H328" s="446"/>
      <c r="I328" s="446"/>
      <c r="J328" s="447">
        <f>IF(K326=0,"",(K327-K326)/K327)</f>
        <v>0.18087879628427511</v>
      </c>
      <c r="K328" s="448">
        <f>IF(K311=0,"",IF((K316=0),"",K327-K326))</f>
        <v>20.647314595850006</v>
      </c>
    </row>
    <row r="329" spans="1:11" ht="13.5" customHeight="1">
      <c r="B329" s="143"/>
      <c r="C329" s="143"/>
      <c r="D329" s="143"/>
      <c r="E329" s="143"/>
      <c r="F329" s="143"/>
      <c r="G329" s="143"/>
      <c r="H329" s="143"/>
      <c r="I329" s="143"/>
      <c r="J329" s="143"/>
      <c r="K329" s="143"/>
    </row>
    <row r="330" spans="1:11" ht="13.5" customHeight="1">
      <c r="A330" s="556" t="s">
        <v>107</v>
      </c>
      <c r="B330" s="556"/>
      <c r="C330" s="556"/>
      <c r="D330" s="556"/>
      <c r="E330" s="556"/>
      <c r="F330" s="556"/>
      <c r="G330" s="556"/>
      <c r="H330" s="556"/>
      <c r="I330" s="556"/>
      <c r="J330" s="556"/>
      <c r="K330" s="556"/>
    </row>
    <row r="331" spans="1:11" ht="13.5" customHeight="1">
      <c r="A331" s="557" t="s">
        <v>108</v>
      </c>
      <c r="B331" s="558"/>
      <c r="C331" s="558"/>
      <c r="D331" s="558"/>
      <c r="E331" s="558"/>
      <c r="F331" s="558"/>
      <c r="G331" s="558"/>
      <c r="H331" s="558"/>
      <c r="I331" s="558"/>
      <c r="J331" s="558"/>
      <c r="K331" s="558"/>
    </row>
    <row r="332" spans="1:11" ht="13.5" customHeight="1"/>
    <row r="333" spans="1:11" ht="13.5" customHeight="1"/>
    <row r="334" spans="1:11" ht="13.5" customHeight="1"/>
    <row r="335" spans="1:11" ht="13.5" customHeight="1"/>
    <row r="336" spans="1:11"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sheetData>
  <mergeCells count="141">
    <mergeCell ref="A271:K272"/>
    <mergeCell ref="B273:K273"/>
    <mergeCell ref="E285:G285"/>
    <mergeCell ref="I285:J285"/>
    <mergeCell ref="E288:G288"/>
    <mergeCell ref="A293:K293"/>
    <mergeCell ref="A294:K294"/>
    <mergeCell ref="C266:E266"/>
    <mergeCell ref="F260:G260"/>
    <mergeCell ref="H260:K260"/>
    <mergeCell ref="F261:G261"/>
    <mergeCell ref="H261:K261"/>
    <mergeCell ref="F262:G262"/>
    <mergeCell ref="H262:K262"/>
    <mergeCell ref="F263:G263"/>
    <mergeCell ref="H263:K263"/>
    <mergeCell ref="F264:G264"/>
    <mergeCell ref="H264:K264"/>
    <mergeCell ref="F190:G190"/>
    <mergeCell ref="H190:K190"/>
    <mergeCell ref="A197:K198"/>
    <mergeCell ref="A220:K220"/>
    <mergeCell ref="B162:K162"/>
    <mergeCell ref="E175:G175"/>
    <mergeCell ref="I175:J175"/>
    <mergeCell ref="E178:G178"/>
    <mergeCell ref="B199:K199"/>
    <mergeCell ref="E211:G211"/>
    <mergeCell ref="I211:J211"/>
    <mergeCell ref="E214:G214"/>
    <mergeCell ref="A183:K183"/>
    <mergeCell ref="A184:K184"/>
    <mergeCell ref="H78:K78"/>
    <mergeCell ref="A21:F21"/>
    <mergeCell ref="B52:K52"/>
    <mergeCell ref="E64:G64"/>
    <mergeCell ref="I64:J64"/>
    <mergeCell ref="G21:K21"/>
    <mergeCell ref="F39:G39"/>
    <mergeCell ref="H39:K39"/>
    <mergeCell ref="F40:G40"/>
    <mergeCell ref="A28:C28"/>
    <mergeCell ref="A73:K73"/>
    <mergeCell ref="F75:G75"/>
    <mergeCell ref="H75:K75"/>
    <mergeCell ref="A16:K17"/>
    <mergeCell ref="F41:G41"/>
    <mergeCell ref="F42:G42"/>
    <mergeCell ref="B125:K125"/>
    <mergeCell ref="E137:G137"/>
    <mergeCell ref="I137:J137"/>
    <mergeCell ref="E140:G140"/>
    <mergeCell ref="H40:K40"/>
    <mergeCell ref="H41:K41"/>
    <mergeCell ref="H42:K42"/>
    <mergeCell ref="H43:K43"/>
    <mergeCell ref="E100:G100"/>
    <mergeCell ref="I100:J100"/>
    <mergeCell ref="F77:G77"/>
    <mergeCell ref="F76:G76"/>
    <mergeCell ref="H76:K76"/>
    <mergeCell ref="F79:G79"/>
    <mergeCell ref="A35:K35"/>
    <mergeCell ref="A36:K36"/>
    <mergeCell ref="F43:G43"/>
    <mergeCell ref="E67:G67"/>
    <mergeCell ref="A72:K72"/>
    <mergeCell ref="H77:K77"/>
    <mergeCell ref="F78:G78"/>
    <mergeCell ref="H79:K79"/>
    <mergeCell ref="A109:K109"/>
    <mergeCell ref="H150:K150"/>
    <mergeCell ref="H114:K114"/>
    <mergeCell ref="H115:K115"/>
    <mergeCell ref="H116:K116"/>
    <mergeCell ref="F112:G112"/>
    <mergeCell ref="F113:G113"/>
    <mergeCell ref="F114:G114"/>
    <mergeCell ref="F115:G115"/>
    <mergeCell ref="F116:G116"/>
    <mergeCell ref="H112:K112"/>
    <mergeCell ref="H113:K113"/>
    <mergeCell ref="F149:G149"/>
    <mergeCell ref="H149:K149"/>
    <mergeCell ref="F150:G150"/>
    <mergeCell ref="A146:K146"/>
    <mergeCell ref="A86:K87"/>
    <mergeCell ref="A110:K110"/>
    <mergeCell ref="A147:K147"/>
    <mergeCell ref="A257:K257"/>
    <mergeCell ref="F223:G223"/>
    <mergeCell ref="H223:K223"/>
    <mergeCell ref="F224:G224"/>
    <mergeCell ref="H224:K224"/>
    <mergeCell ref="F225:G225"/>
    <mergeCell ref="H225:K225"/>
    <mergeCell ref="B88:K88"/>
    <mergeCell ref="E103:G103"/>
    <mergeCell ref="F151:G151"/>
    <mergeCell ref="H151:K151"/>
    <mergeCell ref="F152:G152"/>
    <mergeCell ref="H152:K152"/>
    <mergeCell ref="F153:G153"/>
    <mergeCell ref="H153:K153"/>
    <mergeCell ref="A219:K219"/>
    <mergeCell ref="F186:G186"/>
    <mergeCell ref="H186:K186"/>
    <mergeCell ref="F187:G187"/>
    <mergeCell ref="H187:K187"/>
    <mergeCell ref="F188:G188"/>
    <mergeCell ref="H188:K188"/>
    <mergeCell ref="F189:G189"/>
    <mergeCell ref="H189:K189"/>
    <mergeCell ref="E248:G248"/>
    <mergeCell ref="I248:J248"/>
    <mergeCell ref="E251:G251"/>
    <mergeCell ref="A256:K256"/>
    <mergeCell ref="F226:G226"/>
    <mergeCell ref="H226:K226"/>
    <mergeCell ref="F227:G227"/>
    <mergeCell ref="H227:K227"/>
    <mergeCell ref="B236:K236"/>
    <mergeCell ref="A234:K235"/>
    <mergeCell ref="C303:E303"/>
    <mergeCell ref="A308:K309"/>
    <mergeCell ref="B310:K310"/>
    <mergeCell ref="E322:G322"/>
    <mergeCell ref="I322:J322"/>
    <mergeCell ref="E325:G325"/>
    <mergeCell ref="A330:K330"/>
    <mergeCell ref="A331:K331"/>
    <mergeCell ref="F297:G297"/>
    <mergeCell ref="H297:K297"/>
    <mergeCell ref="F298:G298"/>
    <mergeCell ref="H298:K298"/>
    <mergeCell ref="F299:G299"/>
    <mergeCell ref="H299:K299"/>
    <mergeCell ref="F300:G300"/>
    <mergeCell ref="H300:K300"/>
    <mergeCell ref="F301:G301"/>
    <mergeCell ref="H301:K301"/>
  </mergeCells>
  <conditionalFormatting sqref="K13 J11:J12">
    <cfRule type="expression" dxfId="1439" priority="1478">
      <formula>#REF!&lt;&gt;""</formula>
    </cfRule>
  </conditionalFormatting>
  <conditionalFormatting sqref="K13 J11:J12">
    <cfRule type="expression" dxfId="1438" priority="1477">
      <formula>#REF!&lt;&gt;""</formula>
    </cfRule>
  </conditionalFormatting>
  <conditionalFormatting sqref="E13:K13 J11:J12 D12:I12 A22">
    <cfRule type="expression" dxfId="1437" priority="1476">
      <formula>LEFT(#REF!,3)="Fee"</formula>
    </cfRule>
  </conditionalFormatting>
  <conditionalFormatting sqref="B14:K14">
    <cfRule type="expression" dxfId="1436" priority="1481">
      <formula>LEFT(#REF!,3)&lt;&gt;"Fee"</formula>
    </cfRule>
  </conditionalFormatting>
  <conditionalFormatting sqref="K50">
    <cfRule type="expression" dxfId="1435" priority="1423">
      <formula>#REF!&lt;&gt;""</formula>
    </cfRule>
  </conditionalFormatting>
  <conditionalFormatting sqref="K50">
    <cfRule type="expression" dxfId="1434" priority="1422">
      <formula>#REF!&lt;&gt;""</formula>
    </cfRule>
  </conditionalFormatting>
  <conditionalFormatting sqref="K50 D49:I50">
    <cfRule type="expression" dxfId="1433" priority="1421">
      <formula>LEFT(#REF!,3)="Fee"</formula>
    </cfRule>
  </conditionalFormatting>
  <conditionalFormatting sqref="B51:K51">
    <cfRule type="expression" dxfId="1432" priority="1426">
      <formula>LEFT(#REF!,3)&lt;&gt;"Fee"</formula>
    </cfRule>
  </conditionalFormatting>
  <conditionalFormatting sqref="A18:D18 A16 F18:J18">
    <cfRule type="expression" dxfId="1431" priority="1369">
      <formula>LEFT(#REF!,3)="Fee"</formula>
    </cfRule>
  </conditionalFormatting>
  <conditionalFormatting sqref="K123">
    <cfRule type="expression" dxfId="1430" priority="1202">
      <formula>#REF!&lt;&gt;""</formula>
    </cfRule>
  </conditionalFormatting>
  <conditionalFormatting sqref="K123">
    <cfRule type="expression" dxfId="1429" priority="1201">
      <formula>#REF!&lt;&gt;""</formula>
    </cfRule>
  </conditionalFormatting>
  <conditionalFormatting sqref="E123:K123">
    <cfRule type="expression" dxfId="1428" priority="1200">
      <formula>LEFT(#REF!,3)="Fee"</formula>
    </cfRule>
  </conditionalFormatting>
  <conditionalFormatting sqref="B124:K124">
    <cfRule type="expression" dxfId="1427" priority="1205">
      <formula>LEFT(#REF!,3)&lt;&gt;"Fee"</formula>
    </cfRule>
  </conditionalFormatting>
  <conditionalFormatting sqref="D123">
    <cfRule type="expression" dxfId="1426" priority="1020">
      <formula>LEFT(#REF!,3)="Fee"</formula>
    </cfRule>
  </conditionalFormatting>
  <conditionalFormatting sqref="K160">
    <cfRule type="expression" dxfId="1425" priority="841">
      <formula>#REF!&lt;&gt;""</formula>
    </cfRule>
  </conditionalFormatting>
  <conditionalFormatting sqref="K160">
    <cfRule type="expression" dxfId="1424" priority="840">
      <formula>#REF!&lt;&gt;""</formula>
    </cfRule>
  </conditionalFormatting>
  <conditionalFormatting sqref="E160:K160">
    <cfRule type="expression" dxfId="1423" priority="839">
      <formula>LEFT(#REF!,3)="Fee"</formula>
    </cfRule>
  </conditionalFormatting>
  <conditionalFormatting sqref="B161:K161">
    <cfRule type="expression" dxfId="1422" priority="844">
      <formula>LEFT(#REF!,3)&lt;&gt;"Fee"</formula>
    </cfRule>
  </conditionalFormatting>
  <conditionalFormatting sqref="D160">
    <cfRule type="expression" dxfId="1421" priority="766">
      <formula>LEFT(#REF!,3)="Fee"</formula>
    </cfRule>
  </conditionalFormatting>
  <hyperlinks>
    <hyperlink ref="A36" r:id="rId1" xr:uid="{00000000-0004-0000-0100-000000000000}"/>
    <hyperlink ref="A73" r:id="rId2" xr:uid="{00000000-0004-0000-0100-000001000000}"/>
    <hyperlink ref="A110" r:id="rId3" xr:uid="{00000000-0004-0000-0100-000002000000}"/>
    <hyperlink ref="A147" r:id="rId4" xr:uid="{00000000-0004-0000-0100-000003000000}"/>
    <hyperlink ref="A184" r:id="rId5" xr:uid="{00000000-0004-0000-0100-000004000000}"/>
    <hyperlink ref="A220" r:id="rId6" xr:uid="{00000000-0004-0000-0100-000005000000}"/>
    <hyperlink ref="A257" r:id="rId7" xr:uid="{00000000-0004-0000-0100-000006000000}"/>
    <hyperlink ref="A294" r:id="rId8" xr:uid="{00000000-0004-0000-0100-000007000000}"/>
    <hyperlink ref="A331" r:id="rId9" xr:uid="{00000000-0004-0000-0100-000008000000}"/>
  </hyperlinks>
  <pageMargins left="0.7" right="0.7" top="0.75" bottom="0.75" header="0.3" footer="0.3"/>
  <pageSetup paperSize="9" orientation="landscape" r:id="rId10"/>
  <drawing r:id="rId11"/>
  <extLst>
    <ext xmlns:x14="http://schemas.microsoft.com/office/spreadsheetml/2009/9/main" uri="{78C0D931-6437-407d-A8EE-F0AAD7539E65}">
      <x14:conditionalFormattings>
        <x14:conditionalFormatting xmlns:xm="http://schemas.microsoft.com/office/excel/2006/main">
          <x14:cfRule type="expression" priority="1480" id="{9CE21296-F8D8-4A10-8791-543B8858C977}">
            <xm:f>'G:\Users\GEC\Documents\LUZ\[Copia de 20200615.xlsx]DATOS'!#REF!="NO"</xm:f>
            <x14:dxf>
              <border>
                <left/>
                <right/>
                <top/>
                <bottom/>
                <vertical/>
                <horizontal/>
              </border>
            </x14:dxf>
          </x14:cfRule>
          <xm:sqref>E13:K13 D11:J12 A22</xm:sqref>
        </x14:conditionalFormatting>
        <x14:conditionalFormatting xmlns:xm="http://schemas.microsoft.com/office/excel/2006/main">
          <x14:cfRule type="expression" priority="1479" id="{0EFB6BDA-1FE5-4A98-84DA-1E4C2958A8C3}">
            <xm:f>OR('G:\Users\GEC\Documents\LUZ\[Copia de 20200615.xlsx]AUX'!#REF!=TRUE,'G:\Users\GEC\Documents\LUZ\[Copia de 20200615.xlsx]AUX'!#REF!=TRUE)</xm:f>
            <x14:dxf>
              <font>
                <color theme="0"/>
              </font>
              <fill>
                <patternFill>
                  <bgColor theme="0"/>
                </patternFill>
              </fill>
              <border>
                <left/>
                <right/>
                <top/>
                <bottom/>
                <vertical/>
                <horizontal/>
              </border>
            </x14:dxf>
          </x14:cfRule>
          <xm:sqref>B13:K14 B9:B12 J10 C10:H10 K9 C11:J12 A22</xm:sqref>
        </x14:conditionalFormatting>
        <x14:conditionalFormatting xmlns:xm="http://schemas.microsoft.com/office/excel/2006/main">
          <x14:cfRule type="expression" priority="1475" id="{73C53217-B173-452B-83A1-12FDB9D0399F}">
            <xm:f>'G:\Users\GEC\Documents\LUZ\[Copia de 20200615.xlsx]DATOS'!#REF!="NO"</xm:f>
            <x14:dxf>
              <font>
                <color theme="0"/>
              </font>
              <fill>
                <patternFill>
                  <bgColor theme="0"/>
                </patternFill>
              </fill>
            </x14:dxf>
          </x14:cfRule>
          <xm:sqref>C29:K29</xm:sqref>
        </x14:conditionalFormatting>
        <x14:conditionalFormatting xmlns:xm="http://schemas.microsoft.com/office/excel/2006/main">
          <x14:cfRule type="expression" priority="1474" id="{0E135E6E-96CF-4E5A-9ECE-5EDE935ECD5A}">
            <xm:f>AND('G:\Users\GEC\Documents\LUZ\[Copia de 20200615.xlsx]DATOS'!#REF!="NO",'G:\Users\GEC\Documents\LUZ\[Copia de 20200615.xlsx]DATOS'!#REF!="NO")</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1473" id="{4E262C98-70FB-4374-9162-79D459036BF3}">
            <xm:f>OR('G:\Users\GEC\Documents\LUZ\[Copia de 20200615.xlsx]AUX'!#REF!=TRUE,'G:\Users\GEC\Documents\LUZ\[Copia de 20200615.xlsx]AUX'!#REF!=TRUE)</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1472" id="{BCACDE71-60E0-44DA-9647-B581CE61ACEC}">
            <xm:f>'G:\Users\GEC\Documents\LUZ\[Copia de 20200615.xlsx]AUX'!#REF!=TRUE</xm:f>
            <x14:dxf>
              <font>
                <color theme="0"/>
              </font>
              <fill>
                <patternFill>
                  <bgColor theme="0"/>
                </patternFill>
              </fill>
              <border>
                <left/>
                <right/>
                <top/>
                <bottom/>
                <vertical/>
                <horizontal/>
              </border>
            </x14:dxf>
          </x14:cfRule>
          <xm:sqref>B32:I32 K31:K32 I34:K34 B33:K33 C8:K8 H7:K7 B29:K30 H31:I31 B31:E31 B34:E34 F26:K28 A24:A25 B15:K15 B26:C27 A28</xm:sqref>
        </x14:conditionalFormatting>
        <x14:conditionalFormatting xmlns:xm="http://schemas.microsoft.com/office/excel/2006/main">
          <x14:cfRule type="expression" priority="1470" id="{A0090D0F-5589-4AA4-8D0B-EE45C23AD028}">
            <xm:f>OR('G:\Users\GEC\Documents\LUZ\[Copia de 20200615.xlsx]AUX'!#REF!=TRUE,'G:\Users\GEC\Documents\LUZ\[Copia de 20200615.xlsx]AUX'!#REF!=TRUE)</xm:f>
            <x14:dxf>
              <font>
                <color theme="0"/>
              </font>
              <fill>
                <patternFill>
                  <bgColor theme="0"/>
                </patternFill>
              </fill>
              <border>
                <left/>
                <right/>
                <top/>
                <bottom/>
                <vertical/>
                <horizontal/>
              </border>
            </x14:dxf>
          </x14:cfRule>
          <xm:sqref>B2:G2 B8:K8 H7:K7</xm:sqref>
        </x14:conditionalFormatting>
        <x14:conditionalFormatting xmlns:xm="http://schemas.microsoft.com/office/excel/2006/main">
          <x14:cfRule type="expression" priority="1469" id="{04A991E6-38FF-45B7-9E89-A59A11F060A0}">
            <xm:f>'G:\Users\GEC\Documents\LUZ\[Copia de 20200615.xlsx]AUX'!#REF!=TRUE</xm:f>
            <x14:dxf>
              <font>
                <color theme="0"/>
              </font>
              <fill>
                <patternFill>
                  <bgColor theme="0"/>
                </patternFill>
              </fill>
              <border>
                <left/>
                <right/>
                <top/>
                <bottom/>
                <vertical/>
                <horizontal/>
              </border>
            </x14:dxf>
          </x14:cfRule>
          <xm:sqref>C2:G2</xm:sqref>
        </x14:conditionalFormatting>
        <x14:conditionalFormatting xmlns:xm="http://schemas.microsoft.com/office/excel/2006/main">
          <x14:cfRule type="expression" priority="1471" id="{DAA92E1F-A708-4D00-91E6-70B34D2F86A1}">
            <xm:f>AND('G:\Users\GEC\Documents\LUZ\[Copia de 20200615.xlsx]DATOS'!#REF!="NO",'G:\Users\GEC\Documents\LUZ\[Copia de 20200615.xlsx]DATOS'!#REF!="NO")</xm:f>
            <x14:dxf>
              <font>
                <color theme="0"/>
              </font>
              <fill>
                <patternFill>
                  <bgColor theme="0"/>
                </patternFill>
              </fill>
              <border>
                <left/>
                <right/>
                <top/>
                <bottom/>
                <vertical/>
                <horizontal/>
              </border>
            </x14:dxf>
          </x14:cfRule>
          <xm:sqref>C2:G2 C8:K8 H7:K7 A23:A24</xm:sqref>
        </x14:conditionalFormatting>
        <x14:conditionalFormatting xmlns:xm="http://schemas.microsoft.com/office/excel/2006/main">
          <x14:cfRule type="expression" priority="1468" id="{645F43BD-33D1-4633-8FE8-7DA91541B647}">
            <xm:f>AND('G:\Users\GEC\Documents\LUZ\[Copia de 20200615.xlsx]DATOS'!#REF!="NO",'G:\Users\GEC\Documents\LUZ\[Copia de 20200615.xlsx]DATOS'!#REF!="NO")</xm:f>
            <x14:dxf>
              <font>
                <color theme="0"/>
              </font>
              <fill>
                <patternFill>
                  <bgColor theme="0"/>
                </patternFill>
              </fill>
              <border>
                <left/>
                <right/>
                <top/>
                <bottom/>
                <vertical/>
                <horizontal/>
              </border>
            </x14:dxf>
          </x14:cfRule>
          <xm:sqref>C3:G7</xm:sqref>
        </x14:conditionalFormatting>
        <x14:conditionalFormatting xmlns:xm="http://schemas.microsoft.com/office/excel/2006/main">
          <x14:cfRule type="expression" priority="1467" id="{1025D00E-D66D-4029-AB6E-45110AAD914B}">
            <xm:f>OR('G:\Users\GEC\Documents\LUZ\[Copia de 20200615.xlsx]AUX'!#REF!=TRUE,'G:\Users\GEC\Documents\LUZ\[Copia de 20200615.xlsx]AUX'!#REF!=TRUE)</xm:f>
            <x14:dxf>
              <font>
                <color theme="0"/>
              </font>
              <fill>
                <patternFill>
                  <bgColor theme="0"/>
                </patternFill>
              </fill>
              <border>
                <left/>
                <right/>
                <top/>
                <bottom/>
                <vertical/>
                <horizontal/>
              </border>
            </x14:dxf>
          </x14:cfRule>
          <xm:sqref>B5:G7 C3:G4</xm:sqref>
        </x14:conditionalFormatting>
        <x14:conditionalFormatting xmlns:xm="http://schemas.microsoft.com/office/excel/2006/main">
          <x14:cfRule type="expression" priority="1466" id="{3C0C5CB3-9240-4BAB-9A56-F5606005937E}">
            <xm:f>'G:\Users\GEC\Documents\LUZ\[Copia de 20200615.xlsx]AUX'!#REF!=TRUE</xm:f>
            <x14:dxf>
              <font>
                <color theme="0"/>
              </font>
              <fill>
                <patternFill>
                  <bgColor theme="0"/>
                </patternFill>
              </fill>
              <border>
                <left/>
                <right/>
                <top/>
                <bottom/>
                <vertical/>
                <horizontal/>
              </border>
            </x14:dxf>
          </x14:cfRule>
          <xm:sqref>C3:G7 A23</xm:sqref>
        </x14:conditionalFormatting>
        <x14:conditionalFormatting xmlns:xm="http://schemas.microsoft.com/office/excel/2006/main">
          <x14:cfRule type="expression" priority="1464" id="{8343526A-64C8-4863-BDB2-28ABB5B23574}">
            <xm:f>OR('G:\Users\GEC\Documents\LUZ\[Copia de 20200615.xlsx]AUX'!#REF!=TRUE,'G:\Users\GEC\Documents\LUZ\[Copia de 20200615.xlsx]AUX'!#REF!=TRUE)</xm:f>
            <x14:dxf>
              <font>
                <color theme="0"/>
              </font>
              <fill>
                <patternFill>
                  <bgColor theme="0"/>
                </patternFill>
              </fill>
              <border>
                <left/>
                <right/>
                <top/>
                <bottom/>
                <vertical/>
                <horizontal/>
              </border>
            </x14:dxf>
          </x14:cfRule>
          <xm:sqref>A23:A24</xm:sqref>
        </x14:conditionalFormatting>
        <x14:conditionalFormatting xmlns:xm="http://schemas.microsoft.com/office/excel/2006/main">
          <x14:cfRule type="expression" priority="1459" id="{F3AEF1E1-1499-4E4B-930C-AA5C3F2EF129}">
            <xm:f>OR('G:\Users\GEC\Documents\LUZ\[Copia de 20200615.xlsx]AUX'!#REF!=TRUE,'G:\Users\GEC\Documents\LUZ\[Copia de 20200615.xlsx]AUX'!#REF!=TRUE)</xm:f>
            <x14:dxf>
              <font>
                <color theme="0"/>
              </font>
              <fill>
                <patternFill>
                  <bgColor theme="0"/>
                </patternFill>
              </fill>
              <border>
                <left/>
                <right/>
                <top/>
                <bottom/>
                <vertical/>
                <horizontal/>
              </border>
            </x14:dxf>
          </x14:cfRule>
          <xm:sqref>H2 J4</xm:sqref>
        </x14:conditionalFormatting>
        <x14:conditionalFormatting xmlns:xm="http://schemas.microsoft.com/office/excel/2006/main">
          <x14:cfRule type="expression" priority="1458" id="{26722D08-8E4A-4E00-9417-DA81BB2A1C00}">
            <xm:f>OR('G:\Users\GEC\Documents\LUZ\[Copia de 20200615.xlsx]AUX'!#REF!=TRUE,'G:\Users\GEC\Documents\LUZ\[Copia de 20200615.xlsx]AUX'!#REF!=TRUE)</xm:f>
            <x14:dxf>
              <font>
                <color theme="0"/>
              </font>
              <fill>
                <patternFill>
                  <bgColor theme="0"/>
                </patternFill>
              </fill>
              <border>
                <left/>
                <right/>
                <top/>
                <bottom/>
                <vertical/>
                <horizontal/>
              </border>
            </x14:dxf>
          </x14:cfRule>
          <xm:sqref>H3:H6</xm:sqref>
        </x14:conditionalFormatting>
        <x14:conditionalFormatting xmlns:xm="http://schemas.microsoft.com/office/excel/2006/main">
          <x14:cfRule type="expression" priority="1457" id="{FD8E546B-572B-46FE-AE78-8E17A67ACE01}">
            <xm:f>OR('G:\Users\GEC\Documents\LUZ\[Copia de 20200615.xlsx]AUX'!#REF!=TRUE,'G:\Users\GEC\Documents\LUZ\[Copia de 20200615.xlsx]AUX'!#REF!=TRUE)</xm:f>
            <x14:dxf>
              <font>
                <color theme="0"/>
              </font>
              <fill>
                <patternFill>
                  <bgColor theme="0"/>
                </patternFill>
              </fill>
              <border>
                <left/>
                <right/>
                <top/>
                <bottom/>
                <vertical/>
                <horizontal/>
              </border>
            </x14:dxf>
          </x14:cfRule>
          <xm:sqref>J2:J3</xm:sqref>
        </x14:conditionalFormatting>
        <x14:conditionalFormatting xmlns:xm="http://schemas.microsoft.com/office/excel/2006/main">
          <x14:cfRule type="expression" priority="1456" id="{4D22AA82-AD14-4139-AAFF-983DF6C5E046}">
            <xm:f>OR('G:\Users\GEC\Documents\LUZ\[Copia de 20200615.xlsx]AUX'!#REF!=TRUE,'G:\Users\GEC\Documents\LUZ\[Copia de 20200615.xlsx]AUX'!#REF!=TRUE)</xm:f>
            <x14:dxf>
              <font>
                <color theme="0"/>
              </font>
              <fill>
                <patternFill>
                  <bgColor theme="0"/>
                </patternFill>
              </fill>
              <border>
                <left/>
                <right/>
                <top/>
                <bottom/>
                <vertical/>
                <horizontal/>
              </border>
            </x14:dxf>
          </x14:cfRule>
          <xm:sqref>J6</xm:sqref>
        </x14:conditionalFormatting>
        <x14:conditionalFormatting xmlns:xm="http://schemas.microsoft.com/office/excel/2006/main">
          <x14:cfRule type="expression" priority="1455" id="{A13664B9-8F10-4A5C-B86E-6964232315CB}">
            <xm:f>OR('G:\Users\GEC\Documents\LUZ\[Copia de 20200615.xlsx]AUX'!#REF!=TRUE,'G:\Users\GEC\Documents\LUZ\[Copia de 20200615.xlsx]AUX'!#REF!=TRUE)</xm:f>
            <x14:dxf>
              <font>
                <color theme="0"/>
              </font>
              <fill>
                <patternFill>
                  <bgColor theme="0"/>
                </patternFill>
              </fill>
              <border>
                <left/>
                <right/>
                <top/>
                <bottom/>
                <vertical/>
                <horizontal/>
              </border>
            </x14:dxf>
          </x14:cfRule>
          <xm:sqref>I10</xm:sqref>
        </x14:conditionalFormatting>
        <x14:conditionalFormatting xmlns:xm="http://schemas.microsoft.com/office/excel/2006/main">
          <x14:cfRule type="expression" priority="1447" id="{2B7D1971-C72C-4204-8229-F3560F3CD9C6}">
            <xm:f>AND('G:\Users\GEC\Documents\LUZ\[Copia de 20200615.xlsx]DATOS'!#REF!="NO",'G:\Users\GEC\Documents\LUZ\[Copia de 20200615.xlsx]DATOS'!#REF!="NO")</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1446" id="{CA6613E6-81F1-4678-AF01-EBBAF5BC6EC4}">
            <xm:f>OR('G:\Users\GEC\Documents\LUZ\[Copia de 20200615.xlsx]AUX'!#REF!=TRUE,'G:\Users\GEC\Documents\LUZ\[Copia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1445" id="{2CE90270-AE3D-4B79-BD8C-CE6C3F5BAB81}">
            <xm:f>'G:\Users\GEC\Documents\LUZ\[Copia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1438" id="{EA9C80AE-4E00-44A9-B42F-8302793C07F8}">
            <xm:f>AND('G:\Users\GEC\Documents\LUZ\[Copia de 20200615.xlsx]DATOS'!#REF!="NO",'G:\Users\GEC\Documents\LUZ\[Copia de 20200615.xlsx]DATOS'!#REF!="NO")</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1437" id="{6932EF3B-70A4-4209-8914-E216E1B48736}">
            <xm:f>OR('G:\Users\GEC\Documents\LUZ\[Copia de 20200615.xlsx]AUX'!#REF!=TRUE,'G:\Users\GEC\Documents\LUZ\[Copia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1436" id="{71254534-10AE-4C0B-BA21-0EB4544831C0}">
            <xm:f>'G:\Users\GEC\Documents\LUZ\[Copia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1425" id="{A0DAA7D4-91AC-47B9-AFC4-EE465DD92E53}">
            <xm:f>'G:\Users\GEC\Documents\LUZ\[Copia de 20200615.xlsx]DATOS'!#REF!="NO"</xm:f>
            <x14:dxf>
              <border>
                <left/>
                <right/>
                <top/>
                <bottom/>
                <vertical/>
                <horizontal/>
              </border>
            </x14:dxf>
          </x14:cfRule>
          <xm:sqref>K50 D48:I50</xm:sqref>
        </x14:conditionalFormatting>
        <x14:conditionalFormatting xmlns:xm="http://schemas.microsoft.com/office/excel/2006/main">
          <x14:cfRule type="expression" priority="1424" id="{F294B6AF-19F3-4494-8F4B-4EEBA71FD750}">
            <xm:f>OR('G:\Users\GEC\Documents\LUZ\[Copia de 20200615.xlsx]AUX'!#REF!=TRUE,'G:\Users\GEC\Documents\LUZ\[Copia de 20200615.xlsx]AUX'!#REF!=TRUE)</xm:f>
            <x14:dxf>
              <font>
                <color theme="0"/>
              </font>
              <fill>
                <patternFill>
                  <bgColor theme="0"/>
                </patternFill>
              </fill>
              <border>
                <left/>
                <right/>
                <top/>
                <bottom/>
                <vertical/>
                <horizontal/>
              </border>
            </x14:dxf>
          </x14:cfRule>
          <xm:sqref>B46:B49 J47 C47:H47 K46 B51:K51 B50:I50 K50 C48:I49</xm:sqref>
        </x14:conditionalFormatting>
        <x14:conditionalFormatting xmlns:xm="http://schemas.microsoft.com/office/excel/2006/main">
          <x14:cfRule type="expression" priority="1420" id="{22CBE63D-8451-40C7-9807-55601C22D8DC}">
            <xm:f>'G:\Users\GEC\Documents\LUZ\[Copia de 20200615.xlsx]DATOS'!#REF!="NO"</xm:f>
            <x14:dxf>
              <font>
                <color theme="0"/>
              </font>
              <fill>
                <patternFill>
                  <bgColor theme="0"/>
                </patternFill>
              </fill>
            </x14:dxf>
          </x14:cfRule>
          <xm:sqref>C62:K62</xm:sqref>
        </x14:conditionalFormatting>
        <x14:conditionalFormatting xmlns:xm="http://schemas.microsoft.com/office/excel/2006/main">
          <x14:cfRule type="expression" priority="1419" id="{FC3DC56A-FC45-492A-9339-F8B41EB819C9}">
            <xm:f>AND('G:\Users\GEC\Documents\LUZ\[Copia de 20200615.xlsx]DATOS'!#REF!="NO",'G:\Users\GEC\Documents\LUZ\[Copia de 20200615.xlsx]DATOS'!#REF!="NO")</xm:f>
            <x14:dxf>
              <font>
                <color theme="0"/>
              </font>
              <fill>
                <patternFill>
                  <bgColor theme="0"/>
                </patternFill>
              </fill>
              <border>
                <left/>
                <right/>
                <top/>
                <bottom/>
                <vertical/>
                <horizontal/>
              </border>
            </x14:dxf>
          </x14:cfRule>
          <xm:sqref>B65:I65 K65 B52:K52 B69:J69 B66:K66 B62:K63 H64:I64 B64:E64</xm:sqref>
        </x14:conditionalFormatting>
        <x14:conditionalFormatting xmlns:xm="http://schemas.microsoft.com/office/excel/2006/main">
          <x14:cfRule type="expression" priority="1418" id="{7FEA47EA-0307-46E6-9D7A-CCCB926E6E74}">
            <xm:f>OR('G:\Users\GEC\Documents\LUZ\[Copia de 20200615.xlsx]AUX'!#REF!=TRUE,'G:\Users\GEC\Documents\LUZ\[Copia de 20200615.xlsx]AUX'!#REF!=TRUE)</xm:f>
            <x14:dxf>
              <font>
                <color theme="0"/>
              </font>
              <fill>
                <patternFill>
                  <bgColor theme="0"/>
                </patternFill>
              </fill>
              <border>
                <left/>
                <right/>
                <top/>
                <bottom/>
                <vertical/>
                <horizontal/>
              </border>
            </x14:dxf>
          </x14:cfRule>
          <xm:sqref>B65:I65 K65 B69:J69 B66:K66 B52:K52 B62:K63 H64:I64 B64:E64</xm:sqref>
        </x14:conditionalFormatting>
        <x14:conditionalFormatting xmlns:xm="http://schemas.microsoft.com/office/excel/2006/main">
          <x14:cfRule type="expression" priority="1417" id="{D849833A-CE20-47E8-96D2-9E4EC767F339}">
            <xm:f>'G:\Users\GEC\Documents\LUZ\[Copia de 20200615.xlsx]AUX'!#REF!=TRUE</xm:f>
            <x14:dxf>
              <font>
                <color theme="0"/>
              </font>
              <fill>
                <patternFill>
                  <bgColor theme="0"/>
                </patternFill>
              </fill>
              <border>
                <left/>
                <right/>
                <top/>
                <bottom/>
                <vertical/>
                <horizontal/>
              </border>
            </x14:dxf>
          </x14:cfRule>
          <xm:sqref>B65:I65 K65 B52:K52 B69:J69 B66:K66 C45:K45 H44:K44 B62:K63 H64:I64 B64:E64</xm:sqref>
        </x14:conditionalFormatting>
        <x14:conditionalFormatting xmlns:xm="http://schemas.microsoft.com/office/excel/2006/main">
          <x14:cfRule type="expression" priority="1415" id="{B94D600E-AC69-43FF-BB64-D05287CFA040}">
            <xm:f>OR('G:\Users\GEC\Documents\LUZ\[Copia de 20200615.xlsx]AUX'!#REF!=TRUE,'G:\Users\GEC\Documents\LUZ\[Copia de 20200615.xlsx]AUX'!#REF!=TRUE)</xm:f>
            <x14:dxf>
              <font>
                <color theme="0"/>
              </font>
              <fill>
                <patternFill>
                  <bgColor theme="0"/>
                </patternFill>
              </fill>
              <border>
                <left/>
                <right/>
                <top/>
                <bottom/>
                <vertical/>
                <horizontal/>
              </border>
            </x14:dxf>
          </x14:cfRule>
          <xm:sqref>B39:E39 B45:K45 H44:K44</xm:sqref>
        </x14:conditionalFormatting>
        <x14:conditionalFormatting xmlns:xm="http://schemas.microsoft.com/office/excel/2006/main">
          <x14:cfRule type="expression" priority="1414" id="{88725E70-9CD8-45D6-B388-83FD58DC4B1A}">
            <xm:f>'G:\Users\GEC\Documents\LUZ\[Copia de 20200615.xlsx]AUX'!#REF!=TRUE</xm:f>
            <x14:dxf>
              <font>
                <color theme="0"/>
              </font>
              <fill>
                <patternFill>
                  <bgColor theme="0"/>
                </patternFill>
              </fill>
              <border>
                <left/>
                <right/>
                <top/>
                <bottom/>
                <vertical/>
                <horizontal/>
              </border>
            </x14:dxf>
          </x14:cfRule>
          <xm:sqref>C39:E39</xm:sqref>
        </x14:conditionalFormatting>
        <x14:conditionalFormatting xmlns:xm="http://schemas.microsoft.com/office/excel/2006/main">
          <x14:cfRule type="expression" priority="1416" id="{FFC1E9E3-08F4-471A-9179-321F8E44F1B3}">
            <xm:f>AND('G:\Users\GEC\Documents\LUZ\[Copia de 20200615.xlsx]DATOS'!#REF!="NO",'G:\Users\GEC\Documents\LUZ\[Copia de 20200615.xlsx]DATOS'!#REF!="NO")</xm:f>
            <x14:dxf>
              <font>
                <color theme="0"/>
              </font>
              <fill>
                <patternFill>
                  <bgColor theme="0"/>
                </patternFill>
              </fill>
              <border>
                <left/>
                <right/>
                <top/>
                <bottom/>
                <vertical/>
                <horizontal/>
              </border>
            </x14:dxf>
          </x14:cfRule>
          <xm:sqref>C39:E39 C45:K45 H44:K44</xm:sqref>
        </x14:conditionalFormatting>
        <x14:conditionalFormatting xmlns:xm="http://schemas.microsoft.com/office/excel/2006/main">
          <x14:cfRule type="expression" priority="1413" id="{7EDA347F-E586-4D3D-9841-2B09D6574E30}">
            <xm:f>AND('G:\Users\GEC\Documents\LUZ\[Copia de 20200615.xlsx]DATOS'!#REF!="NO",'G:\Users\GEC\Documents\LUZ\[Copia de 20200615.xlsx]DATOS'!#REF!="NO")</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1412" id="{660BB00F-28CE-441E-9A99-C182275324A8}">
            <xm:f>OR('G:\Users\GEC\Documents\LUZ\[Copia de 20200615.xlsx]AUX'!#REF!=TRUE,'G:\Users\GEC\Documents\LUZ\[Copia de 20200615.xlsx]AUX'!#REF!=TRUE)</xm:f>
            <x14:dxf>
              <font>
                <color theme="0"/>
              </font>
              <fill>
                <patternFill>
                  <bgColor theme="0"/>
                </patternFill>
              </fill>
              <border>
                <left/>
                <right/>
                <top/>
                <bottom/>
                <vertical/>
                <horizontal/>
              </border>
            </x14:dxf>
          </x14:cfRule>
          <xm:sqref>B44:G44 C40:E41 B42:E43</xm:sqref>
        </x14:conditionalFormatting>
        <x14:conditionalFormatting xmlns:xm="http://schemas.microsoft.com/office/excel/2006/main">
          <x14:cfRule type="expression" priority="1411" id="{DE0CE913-5071-4DEA-997A-13841672AD38}">
            <xm:f>'G:\Users\GEC\Documents\LUZ\[Copia de 20200615.xlsx]AUX'!#REF!=TRUE</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1402" id="{6D23CC82-1884-4B76-87A4-48FF387C7E2C}">
            <xm:f>OR('G:\Users\GEC\Documents\LUZ\[Copia de 20200615.xlsx]AUX'!#REF!=TRUE,'G:\Users\GEC\Documents\LUZ\[Copia de 20200615.xlsx]AUX'!#REF!=TRUE)</xm:f>
            <x14:dxf>
              <font>
                <color theme="0"/>
              </font>
              <fill>
                <patternFill>
                  <bgColor theme="0"/>
                </patternFill>
              </fill>
              <border>
                <left/>
                <right/>
                <top/>
                <bottom/>
                <vertical/>
                <horizontal/>
              </border>
            </x14:dxf>
          </x14:cfRule>
          <xm:sqref>H112:H113</xm:sqref>
        </x14:conditionalFormatting>
        <x14:conditionalFormatting xmlns:xm="http://schemas.microsoft.com/office/excel/2006/main">
          <x14:cfRule type="expression" priority="1400" id="{5417A0D6-CA7A-4592-9885-6D5F965F3886}">
            <xm:f>OR('G:\Users\GEC\Documents\LUZ\[Copia de 20200615.xlsx]AUX'!#REF!=TRUE,'G:\Users\GEC\Documents\LUZ\[Copia de 20200615.xlsx]AUX'!#REF!=TRUE)</xm:f>
            <x14:dxf>
              <font>
                <color theme="0"/>
              </font>
              <fill>
                <patternFill>
                  <bgColor theme="0"/>
                </patternFill>
              </fill>
              <border>
                <left/>
                <right/>
                <top/>
                <bottom/>
                <vertical/>
                <horizontal/>
              </border>
            </x14:dxf>
          </x14:cfRule>
          <xm:sqref>I47</xm:sqref>
        </x14:conditionalFormatting>
        <x14:conditionalFormatting xmlns:xm="http://schemas.microsoft.com/office/excel/2006/main">
          <x14:cfRule type="expression" priority="1380" id="{ACF24934-A49C-44E0-86EF-B8AE6CBC7F69}">
            <xm:f>AND('G:\Users\GEC\Documents\LUZ\[Copia de 20200615.xlsx]DATOS'!#REF!="NO",'G:\Users\GEC\Documents\LUZ\[Copia de 20200615.xlsx]DATOS'!#REF!="NO")</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1379" id="{D732DADC-5D0B-4DF4-B430-71EF113C6772}">
            <xm:f>OR('G:\Users\GEC\Documents\LUZ\[Copia de 20200615.xlsx]AUX'!#REF!=TRUE,'G:\Users\GEC\Documents\LUZ\[Copia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1378" id="{BCFDA920-FC81-47B8-BB24-8B0F443FB075}">
            <xm:f>'G:\Users\GEC\Documents\LUZ\[Copia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1377" id="{CFD87B78-B571-4E69-B58A-E59BA0711109}">
            <xm:f>AND('G:\Users\GEC\Documents\LUZ\[Copia de 20200615.xlsx]DATOS'!#REF!="NO",'G:\Users\GEC\Documents\LUZ\[Copia de 20200615.xlsx]DATOS'!#REF!="NO")</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1376" id="{5B13FF12-425C-4BCA-9D6C-788688001A7E}">
            <xm:f>OR('G:\Users\GEC\Documents\LUZ\[Copia de 20200615.xlsx]AUX'!#REF!=TRUE,'G:\Users\GEC\Documents\LUZ\[Copia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1375" id="{D8307B54-FCC8-4E5E-97DD-A8C7B6DF8FDB}">
            <xm:f>'G:\Users\GEC\Documents\LUZ\[Copia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1374" id="{8092EC87-6F78-49FF-9A30-18951F611571}">
            <xm:f>AND('G:\Users\GEC\Documents\LUZ\[Copia de 20200615.xlsx]DATOS'!#REF!="NO",'G:\Users\GEC\Documents\LUZ\[Copia de 20200615.xlsx]DATOS'!#REF!="NO")</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1373" id="{2E33E4C7-53DB-4EEE-A28D-EE116CA9294F}">
            <xm:f>OR('G:\Users\GEC\Documents\LUZ\[Copia de 20200615.xlsx]AUX'!#REF!=TRUE,'G:\Users\GEC\Documents\LUZ\[Copia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1372" id="{C0DC1A65-71D7-4775-9920-160D015817D8}">
            <xm:f>'G:\Users\GEC\Documents\LUZ\[Copia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1371" id="{CD71E696-AD50-4295-8FF2-338B27E51FBC}">
            <xm:f>'G:\Users\GEC\Documents\LUZ\[Copia de 20200615.xlsx]DATOS'!#REF!="NO"</xm:f>
            <x14:dxf>
              <border>
                <left/>
                <right/>
                <top/>
                <bottom/>
                <vertical/>
                <horizontal/>
              </border>
            </x14:dxf>
          </x14:cfRule>
          <xm:sqref>A18:D18 A16 F18:J18</xm:sqref>
        </x14:conditionalFormatting>
        <x14:conditionalFormatting xmlns:xm="http://schemas.microsoft.com/office/excel/2006/main">
          <x14:cfRule type="expression" priority="1370" id="{04E1F003-E0CB-4CA6-BECC-21EFE1512179}">
            <xm:f>OR('G:\Users\GEC\Documents\LUZ\[Copia de 20200615.xlsx]AUX'!#REF!=TRUE,'G:\Users\GEC\Documents\LUZ\[Copia de 20200615.xlsx]AUX'!#REF!=TRUE)</xm:f>
            <x14:dxf>
              <font>
                <color theme="0"/>
              </font>
              <fill>
                <patternFill>
                  <bgColor theme="0"/>
                </patternFill>
              </fill>
              <border>
                <left/>
                <right/>
                <top/>
                <bottom/>
                <vertical/>
                <horizontal/>
              </border>
            </x14:dxf>
          </x14:cfRule>
          <xm:sqref>A18:D18 A16 F18:J18</xm:sqref>
        </x14:conditionalFormatting>
        <x14:conditionalFormatting xmlns:xm="http://schemas.microsoft.com/office/excel/2006/main">
          <x14:cfRule type="expression" priority="1256" id="{D9802B5C-584A-4C19-BF2D-EE30F56D03F5}">
            <xm:f>OR('G:\Users\GEC\Documents\LUZ\[Copia de 20200615.xlsx]AUX'!#REF!=TRUE,'G:\Users\GEC\Documents\LUZ\[Copia de 20200615.xlsx]AUX'!#REF!=TRUE)</xm:f>
            <x14:dxf>
              <font>
                <color theme="0"/>
              </font>
              <fill>
                <patternFill>
                  <bgColor theme="0"/>
                </patternFill>
              </fill>
              <border>
                <left/>
                <right/>
                <top/>
                <bottom/>
                <vertical/>
                <horizontal/>
              </border>
            </x14:dxf>
          </x14:cfRule>
          <xm:sqref>B82:B85 C83:H83 K82 C84:C85 J83</xm:sqref>
        </x14:conditionalFormatting>
        <x14:conditionalFormatting xmlns:xm="http://schemas.microsoft.com/office/excel/2006/main">
          <x14:cfRule type="expression" priority="1252" id="{DA49ACE7-8F0A-43BF-AA33-DA97027D407F}">
            <xm:f>'G:\Users\GEC\Documents\LUZ\[Copia de 20200615.xlsx]DATOS'!#REF!="NO"</xm:f>
            <x14:dxf>
              <font>
                <color theme="0"/>
              </font>
              <fill>
                <patternFill>
                  <bgColor theme="0"/>
                </patternFill>
              </fill>
            </x14:dxf>
          </x14:cfRule>
          <xm:sqref>C98:K98</xm:sqref>
        </x14:conditionalFormatting>
        <x14:conditionalFormatting xmlns:xm="http://schemas.microsoft.com/office/excel/2006/main">
          <x14:cfRule type="expression" priority="1251" id="{3F007B03-20DC-4590-90F6-C841516CF4A9}">
            <xm:f>AND('G:\Users\GEC\Documents\LUZ\[Copia de 20200615.xlsx]DATOS'!#REF!="NO",'G:\Users\GEC\Documents\LUZ\[Copia de 20200615.xlsx]DATOS'!#REF!="NO")</xm:f>
            <x14:dxf>
              <font>
                <color theme="0"/>
              </font>
              <fill>
                <patternFill>
                  <bgColor theme="0"/>
                </patternFill>
              </fill>
              <border>
                <left/>
                <right/>
                <top/>
                <bottom/>
                <vertical/>
                <horizontal/>
              </border>
            </x14:dxf>
          </x14:cfRule>
          <xm:sqref>C101:I101 K101 B88:K88 B105:J105 B102:K102 B98:K99 H100:I100 B100:E100</xm:sqref>
        </x14:conditionalFormatting>
        <x14:conditionalFormatting xmlns:xm="http://schemas.microsoft.com/office/excel/2006/main">
          <x14:cfRule type="expression" priority="1250" id="{A56B96D2-DBCE-4F85-B433-AABC4EB3E858}">
            <xm:f>OR('G:\Users\GEC\Documents\LUZ\[Copia de 20200615.xlsx]AUX'!#REF!=TRUE,'G:\Users\GEC\Documents\LUZ\[Copia de 20200615.xlsx]AUX'!#REF!=TRUE)</xm:f>
            <x14:dxf>
              <font>
                <color theme="0"/>
              </font>
              <fill>
                <patternFill>
                  <bgColor theme="0"/>
                </patternFill>
              </fill>
              <border>
                <left/>
                <right/>
                <top/>
                <bottom/>
                <vertical/>
                <horizontal/>
              </border>
            </x14:dxf>
          </x14:cfRule>
          <xm:sqref>C101:I101 K101 B105:J105 B102:K102 B88:K88 B98:K99 H100:I100 B100:E100</xm:sqref>
        </x14:conditionalFormatting>
        <x14:conditionalFormatting xmlns:xm="http://schemas.microsoft.com/office/excel/2006/main">
          <x14:cfRule type="expression" priority="1249" id="{3E0C3E1B-420B-4F6B-B5E1-F76AD20E0042}">
            <xm:f>'G:\Users\GEC\Documents\LUZ\[Copia de 20200615.xlsx]AUX'!#REF!=TRUE</xm:f>
            <x14:dxf>
              <font>
                <color theme="0"/>
              </font>
              <fill>
                <patternFill>
                  <bgColor theme="0"/>
                </patternFill>
              </fill>
              <border>
                <left/>
                <right/>
                <top/>
                <bottom/>
                <vertical/>
                <horizontal/>
              </border>
            </x14:dxf>
          </x14:cfRule>
          <xm:sqref>C101:I101 K101 B88:K88 B105:J105 B102:K102 C81:K81 H80:K80 B98:K99 H100:I100 B100:E100</xm:sqref>
        </x14:conditionalFormatting>
        <x14:conditionalFormatting xmlns:xm="http://schemas.microsoft.com/office/excel/2006/main">
          <x14:cfRule type="expression" priority="1247" id="{61185FFF-B9B8-48F0-BC9B-660ED23F0991}">
            <xm:f>OR('G:\Users\GEC\Documents\LUZ\[Copia de 20200615.xlsx]AUX'!#REF!=TRUE,'G:\Users\GEC\Documents\LUZ\[Copia de 20200615.xlsx]AUX'!#REF!=TRUE)</xm:f>
            <x14:dxf>
              <font>
                <color theme="0"/>
              </font>
              <fill>
                <patternFill>
                  <bgColor theme="0"/>
                </patternFill>
              </fill>
              <border>
                <left/>
                <right/>
                <top/>
                <bottom/>
                <vertical/>
                <horizontal/>
              </border>
            </x14:dxf>
          </x14:cfRule>
          <xm:sqref>C75:E75 B81:K81 H80:K80</xm:sqref>
        </x14:conditionalFormatting>
        <x14:conditionalFormatting xmlns:xm="http://schemas.microsoft.com/office/excel/2006/main">
          <x14:cfRule type="expression" priority="1246" id="{73B21E9A-BACF-49B1-89C9-4D950D87C97A}">
            <xm:f>'G:\Users\GEC\Documents\LUZ\[Copia de 20200615.xlsx]AUX'!#REF!=TRUE</xm:f>
            <x14:dxf>
              <font>
                <color theme="0"/>
              </font>
              <fill>
                <patternFill>
                  <bgColor theme="0"/>
                </patternFill>
              </fill>
              <border>
                <left/>
                <right/>
                <top/>
                <bottom/>
                <vertical/>
                <horizontal/>
              </border>
            </x14:dxf>
          </x14:cfRule>
          <xm:sqref>C75:E75</xm:sqref>
        </x14:conditionalFormatting>
        <x14:conditionalFormatting xmlns:xm="http://schemas.microsoft.com/office/excel/2006/main">
          <x14:cfRule type="expression" priority="1248" id="{C928A581-72F7-4BA4-9E35-02E7075EE0B6}">
            <xm:f>AND('G:\Users\GEC\Documents\LUZ\[Copia de 20200615.xlsx]DATOS'!#REF!="NO",'G:\Users\GEC\Documents\LUZ\[Copia de 20200615.xlsx]DATOS'!#REF!="NO")</xm:f>
            <x14:dxf>
              <font>
                <color theme="0"/>
              </font>
              <fill>
                <patternFill>
                  <bgColor theme="0"/>
                </patternFill>
              </fill>
              <border>
                <left/>
                <right/>
                <top/>
                <bottom/>
                <vertical/>
                <horizontal/>
              </border>
            </x14:dxf>
          </x14:cfRule>
          <xm:sqref>C75:E75 C81:K81 H80:K80</xm:sqref>
        </x14:conditionalFormatting>
        <x14:conditionalFormatting xmlns:xm="http://schemas.microsoft.com/office/excel/2006/main">
          <x14:cfRule type="expression" priority="1245" id="{54BC0033-85F0-4FA5-BA41-3F08A8A2C051}">
            <xm:f>AND('G:\Users\GEC\Documents\LUZ\[Copia de 20200615.xlsx]DATOS'!#REF!="NO",'G:\Users\GEC\Documents\LUZ\[Copia de 20200615.xlsx]DATOS'!#REF!="NO")</xm:f>
            <x14:dxf>
              <font>
                <color theme="0"/>
              </font>
              <fill>
                <patternFill>
                  <bgColor theme="0"/>
                </patternFill>
              </fill>
              <border>
                <left/>
                <right/>
                <top/>
                <bottom/>
                <vertical/>
                <horizontal/>
              </border>
            </x14:dxf>
          </x14:cfRule>
          <xm:sqref>C80:G80 C76:E79</xm:sqref>
        </x14:conditionalFormatting>
        <x14:conditionalFormatting xmlns:xm="http://schemas.microsoft.com/office/excel/2006/main">
          <x14:cfRule type="expression" priority="1244" id="{33372A62-E94A-4F59-9C4C-A9834949C741}">
            <xm:f>OR('G:\Users\GEC\Documents\LUZ\[Copia de 20200615.xlsx]AUX'!#REF!=TRUE,'G:\Users\GEC\Documents\LUZ\[Copia de 20200615.xlsx]AUX'!#REF!=TRUE)</xm:f>
            <x14:dxf>
              <font>
                <color theme="0"/>
              </font>
              <fill>
                <patternFill>
                  <bgColor theme="0"/>
                </patternFill>
              </fill>
              <border>
                <left/>
                <right/>
                <top/>
                <bottom/>
                <vertical/>
                <horizontal/>
              </border>
            </x14:dxf>
          </x14:cfRule>
          <xm:sqref>B80:G80 C76:E77 B78:E79</xm:sqref>
        </x14:conditionalFormatting>
        <x14:conditionalFormatting xmlns:xm="http://schemas.microsoft.com/office/excel/2006/main">
          <x14:cfRule type="expression" priority="1243" id="{1C82968F-E9DF-4D2C-AB46-E8B48F595D1F}">
            <xm:f>'G:\Users\GEC\Documents\LUZ\[Copia de 20200615.xlsx]AUX'!#REF!=TRUE</xm:f>
            <x14:dxf>
              <font>
                <color theme="0"/>
              </font>
              <fill>
                <patternFill>
                  <bgColor theme="0"/>
                </patternFill>
              </fill>
              <border>
                <left/>
                <right/>
                <top/>
                <bottom/>
                <vertical/>
                <horizontal/>
              </border>
            </x14:dxf>
          </x14:cfRule>
          <xm:sqref>C80:G80 C76:E79</xm:sqref>
        </x14:conditionalFormatting>
        <x14:conditionalFormatting xmlns:xm="http://schemas.microsoft.com/office/excel/2006/main">
          <x14:cfRule type="expression" priority="1232" id="{E6034547-6DB0-4335-AC01-2CF7062B1060}">
            <xm:f>OR('G:\Users\GEC\Documents\LUZ\[Copia de 20200615.xlsx]AUX'!#REF!=TRUE,'G:\Users\GEC\Documents\LUZ\[Copia de 20200615.xlsx]AUX'!#REF!=TRUE)</xm:f>
            <x14:dxf>
              <font>
                <color theme="0"/>
              </font>
              <fill>
                <patternFill>
                  <bgColor theme="0"/>
                </patternFill>
              </fill>
              <border>
                <left/>
                <right/>
                <top/>
                <bottom/>
                <vertical/>
                <horizontal/>
              </border>
            </x14:dxf>
          </x14:cfRule>
          <xm:sqref>I83</xm:sqref>
        </x14:conditionalFormatting>
        <x14:conditionalFormatting xmlns:xm="http://schemas.microsoft.com/office/excel/2006/main">
          <x14:cfRule type="expression" priority="1211" id="{BE550DF2-BEAC-4EAD-A0B1-25E18A1C0931}">
            <xm:f>AND('G:\Users\GEC\Documents\LUZ\[Copia de 20200615.xlsx]DATOS'!#REF!="NO",'G:\Users\GEC\Documents\LUZ\[Copia de 20200615.xlsx]DATOS'!#REF!="NO")</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1210" id="{9C7CE72F-3DBF-473B-9185-EBBC56E7E637}">
            <xm:f>OR('G:\Users\GEC\Documents\LUZ\[Copia de 20200615.xlsx]AUX'!#REF!=TRUE,'G:\Users\GEC\Documents\LUZ\[Copia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1209" id="{C6C27CC2-3BC6-4AE5-9E6D-BF6259AF055D}">
            <xm:f>'G:\Users\GEC\Documents\LUZ\[Copia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1208" id="{83E5585D-E6E0-4C12-A8EC-4AB2AD71B6DA}">
            <xm:f>AND('G:\Users\GEC\Documents\LUZ\[Copia de 20200615.xlsx]DATOS'!#REF!="NO",'G:\Users\GEC\Documents\LUZ\[Copia de 20200615.xlsx]DATOS'!#REF!="NO")</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1207" id="{95DCE47C-EFB3-4CDA-93BB-802FF9802118}">
            <xm:f>OR('G:\Users\GEC\Documents\LUZ\[Copia de 20200615.xlsx]AUX'!#REF!=TRUE,'G:\Users\GEC\Documents\LUZ\[Copia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1206" id="{6069DD1A-1CF7-49F1-8EAA-432890903D8F}">
            <xm:f>'G:\Users\GEC\Documents\LUZ\[Copia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1204" id="{7743028A-4CCD-40EA-9F7A-3F3EDEEF8580}">
            <xm:f>'G:\Users\GEC\Documents\LUZ\[Copia de 20200615.xlsx]DATOS'!#REF!="NO"</xm:f>
            <x14:dxf>
              <border>
                <left/>
                <right/>
                <top/>
                <bottom/>
                <vertical/>
                <horizontal/>
              </border>
            </x14:dxf>
          </x14:cfRule>
          <xm:sqref>D123:K123 D121:I122</xm:sqref>
        </x14:conditionalFormatting>
        <x14:conditionalFormatting xmlns:xm="http://schemas.microsoft.com/office/excel/2006/main">
          <x14:cfRule type="expression" priority="1203" id="{44209578-F6B0-48D0-A6D3-AB1A13F75E35}">
            <xm:f>OR('G:\Users\GEC\Documents\LUZ\[Copia de 20200615.xlsx]AUX'!#REF!=TRUE,'G:\Users\GEC\Documents\LUZ\[Copia de 20200615.xlsx]AUX'!#REF!=TRUE)</xm:f>
            <x14:dxf>
              <font>
                <color theme="0"/>
              </font>
              <fill>
                <patternFill>
                  <bgColor theme="0"/>
                </patternFill>
              </fill>
              <border>
                <left/>
                <right/>
                <top/>
                <bottom/>
                <vertical/>
                <horizontal/>
              </border>
            </x14:dxf>
          </x14:cfRule>
          <xm:sqref>B119:B122 J120 C120:H120 K119 B123:K124 C121:I122</xm:sqref>
        </x14:conditionalFormatting>
        <x14:conditionalFormatting xmlns:xm="http://schemas.microsoft.com/office/excel/2006/main">
          <x14:cfRule type="expression" priority="1199" id="{829FE803-6840-4FEB-BE76-FB859A9EAFC2}">
            <xm:f>'G:\Users\GEC\Documents\LUZ\[Copia de 20200615.xlsx]DATOS'!#REF!="NO"</xm:f>
            <x14:dxf>
              <font>
                <color theme="0"/>
              </font>
              <fill>
                <patternFill>
                  <bgColor theme="0"/>
                </patternFill>
              </fill>
            </x14:dxf>
          </x14:cfRule>
          <xm:sqref>C135:K135</xm:sqref>
        </x14:conditionalFormatting>
        <x14:conditionalFormatting xmlns:xm="http://schemas.microsoft.com/office/excel/2006/main">
          <x14:cfRule type="expression" priority="1198" id="{1D9D588D-9D46-4901-8F48-AEE0B96D5C3A}">
            <xm:f>AND('G:\Users\GEC\Documents\LUZ\[Copia de 20200615.xlsx]DATOS'!#REF!="NO",'G:\Users\GEC\Documents\LUZ\[Copia de 20200615.xlsx]DATOS'!#REF!="NO")</xm:f>
            <x14:dxf>
              <font>
                <color theme="0"/>
              </font>
              <fill>
                <patternFill>
                  <bgColor theme="0"/>
                </patternFill>
              </fill>
              <border>
                <left/>
                <right/>
                <top/>
                <bottom/>
                <vertical/>
                <horizontal/>
              </border>
            </x14:dxf>
          </x14:cfRule>
          <xm:sqref>C138:I138 B143:I143 K138 B125:K125 B141:K142 B139:K139 B135:K136 H137:I137 B137:E137</xm:sqref>
        </x14:conditionalFormatting>
        <x14:conditionalFormatting xmlns:xm="http://schemas.microsoft.com/office/excel/2006/main">
          <x14:cfRule type="expression" priority="1197" id="{4D7B59C6-E39B-4C8D-8242-6D864F217F88}">
            <xm:f>OR('G:\Users\GEC\Documents\LUZ\[Copia de 20200615.xlsx]AUX'!#REF!=TRUE,'G:\Users\GEC\Documents\LUZ\[Copia de 20200615.xlsx]AUX'!#REF!=TRUE)</xm:f>
            <x14:dxf>
              <font>
                <color theme="0"/>
              </font>
              <fill>
                <patternFill>
                  <bgColor theme="0"/>
                </patternFill>
              </fill>
              <border>
                <left/>
                <right/>
                <top/>
                <bottom/>
                <vertical/>
                <horizontal/>
              </border>
            </x14:dxf>
          </x14:cfRule>
          <xm:sqref>C138:I138 B143:I143 K138 B141:K142 B139:K139 B125:K125 B135:K136 H137:I137 B137:E137</xm:sqref>
        </x14:conditionalFormatting>
        <x14:conditionalFormatting xmlns:xm="http://schemas.microsoft.com/office/excel/2006/main">
          <x14:cfRule type="expression" priority="1196" id="{C52C044D-5930-4B2B-873D-D998B2CB5B63}">
            <xm:f>'G:\Users\GEC\Documents\LUZ\[Copia de 20200615.xlsx]AUX'!#REF!=TRUE</xm:f>
            <x14:dxf>
              <font>
                <color theme="0"/>
              </font>
              <fill>
                <patternFill>
                  <bgColor theme="0"/>
                </patternFill>
              </fill>
              <border>
                <left/>
                <right/>
                <top/>
                <bottom/>
                <vertical/>
                <horizontal/>
              </border>
            </x14:dxf>
          </x14:cfRule>
          <xm:sqref>C138:I138 B143:I143 K138 B125:K125 B141:K142 B139:K139 C118:K118 H117:K117 B135:K136 H137:I137 B137:E137</xm:sqref>
        </x14:conditionalFormatting>
        <x14:conditionalFormatting xmlns:xm="http://schemas.microsoft.com/office/excel/2006/main">
          <x14:cfRule type="expression" priority="1194" id="{206FD3CB-1672-401C-9FCE-CD8AAF6BCA6B}">
            <xm:f>OR('G:\Users\GEC\Documents\LUZ\[Copia de 20200615.xlsx]AUX'!#REF!=TRUE,'G:\Users\GEC\Documents\LUZ\[Copia de 20200615.xlsx]AUX'!#REF!=TRUE)</xm:f>
            <x14:dxf>
              <font>
                <color theme="0"/>
              </font>
              <fill>
                <patternFill>
                  <bgColor theme="0"/>
                </patternFill>
              </fill>
              <border>
                <left/>
                <right/>
                <top/>
                <bottom/>
                <vertical/>
                <horizontal/>
              </border>
            </x14:dxf>
          </x14:cfRule>
          <xm:sqref>B112:E112 B118:K118 H117:K117</xm:sqref>
        </x14:conditionalFormatting>
        <x14:conditionalFormatting xmlns:xm="http://schemas.microsoft.com/office/excel/2006/main">
          <x14:cfRule type="expression" priority="1193" id="{9CA56232-FC5D-407D-BD78-7FEC5B50ED01}">
            <xm:f>'G:\Users\GEC\Documents\LUZ\[Copia de 20200615.xlsx]AUX'!#REF!=TRUE</xm:f>
            <x14:dxf>
              <font>
                <color theme="0"/>
              </font>
              <fill>
                <patternFill>
                  <bgColor theme="0"/>
                </patternFill>
              </fill>
              <border>
                <left/>
                <right/>
                <top/>
                <bottom/>
                <vertical/>
                <horizontal/>
              </border>
            </x14:dxf>
          </x14:cfRule>
          <xm:sqref>C112:E112</xm:sqref>
        </x14:conditionalFormatting>
        <x14:conditionalFormatting xmlns:xm="http://schemas.microsoft.com/office/excel/2006/main">
          <x14:cfRule type="expression" priority="1195" id="{55A75022-AF27-4D05-8D00-DB204C03D4EE}">
            <xm:f>AND('G:\Users\GEC\Documents\LUZ\[Copia de 20200615.xlsx]DATOS'!#REF!="NO",'G:\Users\GEC\Documents\LUZ\[Copia de 20200615.xlsx]DATOS'!#REF!="NO")</xm:f>
            <x14:dxf>
              <font>
                <color theme="0"/>
              </font>
              <fill>
                <patternFill>
                  <bgColor theme="0"/>
                </patternFill>
              </fill>
              <border>
                <left/>
                <right/>
                <top/>
                <bottom/>
                <vertical/>
                <horizontal/>
              </border>
            </x14:dxf>
          </x14:cfRule>
          <xm:sqref>C112:E112 C118:K118 H117:K117</xm:sqref>
        </x14:conditionalFormatting>
        <x14:conditionalFormatting xmlns:xm="http://schemas.microsoft.com/office/excel/2006/main">
          <x14:cfRule type="expression" priority="1192" id="{7609477D-DFD4-4F7A-8931-3EA4E1014C28}">
            <xm:f>AND('G:\Users\GEC\Documents\LUZ\[Copia de 20200615.xlsx]DATOS'!#REF!="NO",'G:\Users\GEC\Documents\LUZ\[Copia de 20200615.xlsx]DATOS'!#REF!="NO")</xm:f>
            <x14:dxf>
              <font>
                <color theme="0"/>
              </font>
              <fill>
                <patternFill>
                  <bgColor theme="0"/>
                </patternFill>
              </fill>
              <border>
                <left/>
                <right/>
                <top/>
                <bottom/>
                <vertical/>
                <horizontal/>
              </border>
            </x14:dxf>
          </x14:cfRule>
          <xm:sqref>C117:G117 C113:E116</xm:sqref>
        </x14:conditionalFormatting>
        <x14:conditionalFormatting xmlns:xm="http://schemas.microsoft.com/office/excel/2006/main">
          <x14:cfRule type="expression" priority="1191" id="{D9CED1ED-9FE4-46A1-949D-899317748154}">
            <xm:f>OR('G:\Users\GEC\Documents\LUZ\[Copia de 20200615.xlsx]AUX'!#REF!=TRUE,'G:\Users\GEC\Documents\LUZ\[Copia de 20200615.xlsx]AUX'!#REF!=TRUE)</xm:f>
            <x14:dxf>
              <font>
                <color theme="0"/>
              </font>
              <fill>
                <patternFill>
                  <bgColor theme="0"/>
                </patternFill>
              </fill>
              <border>
                <left/>
                <right/>
                <top/>
                <bottom/>
                <vertical/>
                <horizontal/>
              </border>
            </x14:dxf>
          </x14:cfRule>
          <xm:sqref>B117:G117 C113:E114 B115:E116</xm:sqref>
        </x14:conditionalFormatting>
        <x14:conditionalFormatting xmlns:xm="http://schemas.microsoft.com/office/excel/2006/main">
          <x14:cfRule type="expression" priority="1190" id="{516DB904-2D0C-4731-8DA6-C1DD8FF7D345}">
            <xm:f>'G:\Users\GEC\Documents\LUZ\[Copia de 20200615.xlsx]AUX'!#REF!=TRUE</xm:f>
            <x14:dxf>
              <font>
                <color theme="0"/>
              </font>
              <fill>
                <patternFill>
                  <bgColor theme="0"/>
                </patternFill>
              </fill>
              <border>
                <left/>
                <right/>
                <top/>
                <bottom/>
                <vertical/>
                <horizontal/>
              </border>
            </x14:dxf>
          </x14:cfRule>
          <xm:sqref>C117:G117 C113:E116</xm:sqref>
        </x14:conditionalFormatting>
        <x14:conditionalFormatting xmlns:xm="http://schemas.microsoft.com/office/excel/2006/main">
          <x14:cfRule type="expression" priority="1183" id="{4EB1E9EA-1895-4B3A-A8EA-C0C8BE262558}">
            <xm:f>OR('G:\Users\GEC\Documents\LUZ\[Copia de 20200615.xlsx]AUX'!#REF!=TRUE,'G:\Users\GEC\Documents\LUZ\[Copia de 20200615.xlsx]AUX'!#REF!=TRUE)</xm:f>
            <x14:dxf>
              <font>
                <color theme="0"/>
              </font>
              <fill>
                <patternFill>
                  <bgColor theme="0"/>
                </patternFill>
              </fill>
              <border>
                <left/>
                <right/>
                <top/>
                <bottom/>
                <vertical/>
                <horizontal/>
              </border>
            </x14:dxf>
          </x14:cfRule>
          <xm:sqref>F112</xm:sqref>
        </x14:conditionalFormatting>
        <x14:conditionalFormatting xmlns:xm="http://schemas.microsoft.com/office/excel/2006/main">
          <x14:cfRule type="expression" priority="1182" id="{94CF560E-E85E-442B-AB38-FA71B51CA3A4}">
            <xm:f>OR('G:\Users\GEC\Documents\LUZ\[Copia de 20200615.xlsx]AUX'!#REF!=TRUE,'G:\Users\GEC\Documents\LUZ\[Copia de 20200615.xlsx]AUX'!#REF!=TRUE)</xm:f>
            <x14:dxf>
              <font>
                <color theme="0"/>
              </font>
              <fill>
                <patternFill>
                  <bgColor theme="0"/>
                </patternFill>
              </fill>
              <border>
                <left/>
                <right/>
                <top/>
                <bottom/>
                <vertical/>
                <horizontal/>
              </border>
            </x14:dxf>
          </x14:cfRule>
          <xm:sqref>F113:F116</xm:sqref>
        </x14:conditionalFormatting>
        <x14:conditionalFormatting xmlns:xm="http://schemas.microsoft.com/office/excel/2006/main">
          <x14:cfRule type="expression" priority="1180" id="{186DC228-CAC2-4B89-A85B-4D29D03D10C9}">
            <xm:f>OR('G:\Users\GEC\Documents\LUZ\[Copia de 20200615.xlsx]AUX'!#REF!=TRUE,'G:\Users\GEC\Documents\LUZ\[Copia de 20200615.xlsx]AUX'!#REF!=TRUE)</xm:f>
            <x14:dxf>
              <font>
                <color theme="0"/>
              </font>
              <fill>
                <patternFill>
                  <bgColor theme="0"/>
                </patternFill>
              </fill>
              <border>
                <left/>
                <right/>
                <top/>
                <bottom/>
                <vertical/>
                <horizontal/>
              </border>
            </x14:dxf>
          </x14:cfRule>
          <xm:sqref>H116</xm:sqref>
        </x14:conditionalFormatting>
        <x14:conditionalFormatting xmlns:xm="http://schemas.microsoft.com/office/excel/2006/main">
          <x14:cfRule type="expression" priority="1179" id="{C92CE1FA-25DE-4BD3-96BB-B0C9F407343E}">
            <xm:f>OR('G:\Users\GEC\Documents\LUZ\[Copia de 20200615.xlsx]AUX'!#REF!=TRUE,'G:\Users\GEC\Documents\LUZ\[Copia de 20200615.xlsx]AUX'!#REF!=TRUE)</xm:f>
            <x14:dxf>
              <font>
                <color theme="0"/>
              </font>
              <fill>
                <patternFill>
                  <bgColor theme="0"/>
                </patternFill>
              </fill>
              <border>
                <left/>
                <right/>
                <top/>
                <bottom/>
                <vertical/>
                <horizontal/>
              </border>
            </x14:dxf>
          </x14:cfRule>
          <xm:sqref>I120</xm:sqref>
        </x14:conditionalFormatting>
        <x14:conditionalFormatting xmlns:xm="http://schemas.microsoft.com/office/excel/2006/main">
          <x14:cfRule type="expression" priority="1178" id="{32ABDF77-63EB-45E1-BE7D-8FE4E9A2BC16}">
            <xm:f>AND('G:\Users\GEC\Documents\LUZ\[Copia de 20200615.xlsx]DATOS'!#REF!="NO",'G:\Users\GEC\Documents\LUZ\[Copia de 20200615.xlsx]DATOS'!#REF!="NO")</xm:f>
            <x14:dxf>
              <font>
                <color theme="0"/>
              </font>
              <fill>
                <patternFill>
                  <bgColor theme="0"/>
                </patternFill>
              </fill>
              <border>
                <left/>
                <right/>
                <top/>
                <bottom/>
                <vertical/>
                <horizontal/>
              </border>
            </x14:dxf>
          </x14:cfRule>
          <xm:sqref>J143</xm:sqref>
        </x14:conditionalFormatting>
        <x14:conditionalFormatting xmlns:xm="http://schemas.microsoft.com/office/excel/2006/main">
          <x14:cfRule type="expression" priority="1177" id="{AF00BC26-CF94-4B26-823B-029E8C4A1925}">
            <xm:f>OR('G:\Users\GEC\Documents\LUZ\[Copia de 20200615.xlsx]AUX'!#REF!=TRUE,'G:\Users\GEC\Documents\LUZ\[Copia de 20200615.xlsx]AUX'!#REF!=TRUE)</xm:f>
            <x14:dxf>
              <font>
                <color theme="0"/>
              </font>
              <fill>
                <patternFill>
                  <bgColor theme="0"/>
                </patternFill>
              </fill>
              <border>
                <left/>
                <right/>
                <top/>
                <bottom/>
                <vertical/>
                <horizontal/>
              </border>
            </x14:dxf>
          </x14:cfRule>
          <xm:sqref>J143</xm:sqref>
        </x14:conditionalFormatting>
        <x14:conditionalFormatting xmlns:xm="http://schemas.microsoft.com/office/excel/2006/main">
          <x14:cfRule type="expression" priority="1176" id="{18E08EEC-EC2B-4AC9-BA26-D355B2902733}">
            <xm:f>'G:\Users\GEC\Documents\LUZ\[Copia de 20200615.xlsx]AUX'!#REF!=TRUE</xm:f>
            <x14:dxf>
              <font>
                <color theme="0"/>
              </font>
              <fill>
                <patternFill>
                  <bgColor theme="0"/>
                </patternFill>
              </fill>
              <border>
                <left/>
                <right/>
                <top/>
                <bottom/>
                <vertical/>
                <horizontal/>
              </border>
            </x14:dxf>
          </x14:cfRule>
          <xm:sqref>J143</xm:sqref>
        </x14:conditionalFormatting>
        <x14:conditionalFormatting xmlns:xm="http://schemas.microsoft.com/office/excel/2006/main">
          <x14:cfRule type="expression" priority="1175" id="{67423677-B815-4B4B-93F2-4F5A3FDD9366}">
            <xm:f>AND('G:\Users\GEC\Documents\LUZ\[Copia de 20200615.xlsx]DATOS'!#REF!="NO",'G:\Users\GEC\Documents\LUZ\[Copia de 20200615.xlsx]DATOS'!#REF!="NO")</xm:f>
            <x14:dxf>
              <font>
                <color theme="0"/>
              </font>
              <fill>
                <patternFill>
                  <bgColor theme="0"/>
                </patternFill>
              </fill>
              <border>
                <left/>
                <right/>
                <top/>
                <bottom/>
                <vertical/>
                <horizontal/>
              </border>
            </x14:dxf>
          </x14:cfRule>
          <xm:sqref>K143</xm:sqref>
        </x14:conditionalFormatting>
        <x14:conditionalFormatting xmlns:xm="http://schemas.microsoft.com/office/excel/2006/main">
          <x14:cfRule type="expression" priority="1174" id="{A424F880-D5E7-4316-9894-6BC6B53A2FB0}">
            <xm:f>OR('G:\Users\GEC\Documents\LUZ\[Copia de 20200615.xlsx]AUX'!#REF!=TRUE,'G:\Users\GEC\Documents\LUZ\[Copia de 20200615.xlsx]AUX'!#REF!=TRUE)</xm:f>
            <x14:dxf>
              <font>
                <color theme="0"/>
              </font>
              <fill>
                <patternFill>
                  <bgColor theme="0"/>
                </patternFill>
              </fill>
              <border>
                <left/>
                <right/>
                <top/>
                <bottom/>
                <vertical/>
                <horizontal/>
              </border>
            </x14:dxf>
          </x14:cfRule>
          <xm:sqref>K143</xm:sqref>
        </x14:conditionalFormatting>
        <x14:conditionalFormatting xmlns:xm="http://schemas.microsoft.com/office/excel/2006/main">
          <x14:cfRule type="expression" priority="1173" id="{26D1D8CA-901A-4752-882B-5A5BBC84FE19}">
            <xm:f>'G:\Users\GEC\Documents\LUZ\[Copia de 20200615.xlsx]AUX'!#REF!=TRUE</xm:f>
            <x14:dxf>
              <font>
                <color theme="0"/>
              </font>
              <fill>
                <patternFill>
                  <bgColor theme="0"/>
                </patternFill>
              </fill>
              <border>
                <left/>
                <right/>
                <top/>
                <bottom/>
                <vertical/>
                <horizontal/>
              </border>
            </x14:dxf>
          </x14:cfRule>
          <xm:sqref>K143</xm:sqref>
        </x14:conditionalFormatting>
        <x14:conditionalFormatting xmlns:xm="http://schemas.microsoft.com/office/excel/2006/main">
          <x14:cfRule type="expression" priority="1121" id="{0760C0FA-1256-4FD1-8C9C-ED775D85E3DE}">
            <xm:f>AND('G:\Users\GEC\Documents\LUZ\[Copia de 20200615.xlsx]DATOS'!#REF!="NO",'G:\Users\GEC\Documents\LUZ\[Copia de 20200615.xlsx]DATOS'!#REF!="NO")</xm:f>
            <x14:dxf>
              <font>
                <color theme="0"/>
              </font>
              <fill>
                <patternFill>
                  <bgColor theme="0"/>
                </patternFill>
              </fill>
              <border>
                <left/>
                <right/>
                <top/>
                <bottom/>
                <vertical/>
                <horizontal/>
              </border>
            </x14:dxf>
          </x14:cfRule>
          <xm:sqref>B89:K89 B90:C91 B95:C97 J90:K91 J95:K97</xm:sqref>
        </x14:conditionalFormatting>
        <x14:conditionalFormatting xmlns:xm="http://schemas.microsoft.com/office/excel/2006/main">
          <x14:cfRule type="expression" priority="1120" id="{2DE63829-2A4A-4C5A-BE73-B6C2ED766607}">
            <xm:f>OR('G:\Users\GEC\Documents\LUZ\[Copia de 20200615.xlsx]AUX'!#REF!=TRUE,'G:\Users\GEC\Documents\LUZ\[Copia de 20200615.xlsx]AUX'!#REF!=TRUE)</xm:f>
            <x14:dxf>
              <font>
                <color theme="0"/>
              </font>
              <fill>
                <patternFill>
                  <bgColor theme="0"/>
                </patternFill>
              </fill>
              <border>
                <left/>
                <right/>
                <top/>
                <bottom/>
                <vertical/>
                <horizontal/>
              </border>
            </x14:dxf>
          </x14:cfRule>
          <xm:sqref>B89:K89 B90:C91 B95:C97 J90:K91 J95:K97</xm:sqref>
        </x14:conditionalFormatting>
        <x14:conditionalFormatting xmlns:xm="http://schemas.microsoft.com/office/excel/2006/main">
          <x14:cfRule type="expression" priority="1119" id="{396BAA57-F832-4248-9508-F79D8E432592}">
            <xm:f>'G:\Users\GEC\Documents\LUZ\[Copia de 20200615.xlsx]AUX'!#REF!=TRUE</xm:f>
            <x14:dxf>
              <font>
                <color theme="0"/>
              </font>
              <fill>
                <patternFill>
                  <bgColor theme="0"/>
                </patternFill>
              </fill>
              <border>
                <left/>
                <right/>
                <top/>
                <bottom/>
                <vertical/>
                <horizontal/>
              </border>
            </x14:dxf>
          </x14:cfRule>
          <xm:sqref>B89:K89 B90:C91 B93:C93 E93:K93 J90:K92 J95:K97 B95:C97</xm:sqref>
        </x14:conditionalFormatting>
        <x14:conditionalFormatting xmlns:xm="http://schemas.microsoft.com/office/excel/2006/main">
          <x14:cfRule type="expression" priority="1118" id="{5A0620CE-9768-420B-A979-7F271A245F7E}">
            <xm:f>AND('G:\Users\GEC\Documents\LUZ\[Copia de 20200615.xlsx]DATOS'!#REF!="NO",'G:\Users\GEC\Documents\LUZ\[Copia de 20200615.xlsx]DATOS'!#REF!="NO")</xm:f>
            <x14:dxf>
              <font>
                <color theme="0"/>
              </font>
              <fill>
                <patternFill>
                  <bgColor theme="0"/>
                </patternFill>
              </fill>
              <border>
                <left/>
                <right/>
                <top/>
                <bottom/>
                <vertical/>
                <horizontal/>
              </border>
            </x14:dxf>
          </x14:cfRule>
          <xm:sqref>B92:C93 J92:K92 E93:K93</xm:sqref>
        </x14:conditionalFormatting>
        <x14:conditionalFormatting xmlns:xm="http://schemas.microsoft.com/office/excel/2006/main">
          <x14:cfRule type="expression" priority="1117" id="{88DCF262-445E-482B-974A-D773CDC1819E}">
            <xm:f>OR('G:\Users\GEC\Documents\LUZ\[Copia de 20200615.xlsx]AUX'!#REF!=TRUE,'G:\Users\GEC\Documents\LUZ\[Copia de 20200615.xlsx]AUX'!#REF!=TRUE)</xm:f>
            <x14:dxf>
              <font>
                <color theme="0"/>
              </font>
              <fill>
                <patternFill>
                  <bgColor theme="0"/>
                </patternFill>
              </fill>
              <border>
                <left/>
                <right/>
                <top/>
                <bottom/>
                <vertical/>
                <horizontal/>
              </border>
            </x14:dxf>
          </x14:cfRule>
          <xm:sqref>B92:C93 J92:K92 E93:K93</xm:sqref>
        </x14:conditionalFormatting>
        <x14:conditionalFormatting xmlns:xm="http://schemas.microsoft.com/office/excel/2006/main">
          <x14:cfRule type="expression" priority="1116" id="{557C7D05-E20D-4EED-816E-512EF56FF85E}">
            <xm:f>'G:\Users\GEC\Documents\LUZ\[Copia de 20200615.xlsx]AUX'!#REF!=TRUE</xm:f>
            <x14:dxf>
              <font>
                <color theme="0"/>
              </font>
              <fill>
                <patternFill>
                  <bgColor theme="0"/>
                </patternFill>
              </fill>
              <border>
                <left/>
                <right/>
                <top/>
                <bottom/>
                <vertical/>
                <horizontal/>
              </border>
            </x14:dxf>
          </x14:cfRule>
          <xm:sqref>B92:C92</xm:sqref>
        </x14:conditionalFormatting>
        <x14:conditionalFormatting xmlns:xm="http://schemas.microsoft.com/office/excel/2006/main">
          <x14:cfRule type="expression" priority="1112" id="{588B9BB0-A581-48EE-A6FF-3634CCB91979}">
            <xm:f>'G:\Users\GEC\Documents\LUZ\[Copia de 20200615.xlsx]AUX'!#REF!=TRUE</xm:f>
            <x14:dxf>
              <font>
                <color theme="0"/>
              </font>
              <fill>
                <patternFill>
                  <bgColor theme="0"/>
                </patternFill>
              </fill>
              <border>
                <left/>
                <right/>
                <top/>
                <bottom/>
                <vertical/>
                <horizontal/>
              </border>
            </x14:dxf>
          </x14:cfRule>
          <xm:sqref>D93</xm:sqref>
        </x14:conditionalFormatting>
        <x14:conditionalFormatting xmlns:xm="http://schemas.microsoft.com/office/excel/2006/main">
          <x14:cfRule type="expression" priority="1111" id="{11369D96-58D2-4901-8F70-0EF053429855}">
            <xm:f>AND('G:\Users\GEC\Documents\LUZ\[Copia de 20200615.xlsx]DATOS'!#REF!="NO",'G:\Users\GEC\Documents\LUZ\[Copia de 20200615.xlsx]DATOS'!#REF!="NO")</xm:f>
            <x14:dxf>
              <font>
                <color theme="0"/>
              </font>
              <fill>
                <patternFill>
                  <bgColor theme="0"/>
                </patternFill>
              </fill>
              <border>
                <left/>
                <right/>
                <top/>
                <bottom/>
                <vertical/>
                <horizontal/>
              </border>
            </x14:dxf>
          </x14:cfRule>
          <xm:sqref>D93</xm:sqref>
        </x14:conditionalFormatting>
        <x14:conditionalFormatting xmlns:xm="http://schemas.microsoft.com/office/excel/2006/main">
          <x14:cfRule type="expression" priority="1110" id="{DCB14038-17DB-47E2-9161-1634CA4221D2}">
            <xm:f>OR('G:\Users\GEC\Documents\LUZ\[Copia de 20200615.xlsx]AUX'!#REF!=TRUE,'G:\Users\GEC\Documents\LUZ\[Copia de 20200615.xlsx]AUX'!#REF!=TRUE)</xm:f>
            <x14:dxf>
              <font>
                <color theme="0"/>
              </font>
              <fill>
                <patternFill>
                  <bgColor theme="0"/>
                </patternFill>
              </fill>
              <border>
                <left/>
                <right/>
                <top/>
                <bottom/>
                <vertical/>
                <horizontal/>
              </border>
            </x14:dxf>
          </x14:cfRule>
          <xm:sqref>D93</xm:sqref>
        </x14:conditionalFormatting>
        <x14:conditionalFormatting xmlns:xm="http://schemas.microsoft.com/office/excel/2006/main">
          <x14:cfRule type="expression" priority="1095" id="{7465D9C0-D404-48D0-AF60-8F31C068D2BD}">
            <xm:f>AND('G:\Users\GEC\Documents\LUZ\[Copia de 20200615.xlsx]DATOS'!#REF!="NO",'G:\Users\GEC\Documents\LUZ\[Copia de 20200615.xlsx]DATOS'!#REF!="NO")</xm:f>
            <x14:dxf>
              <font>
                <color theme="0"/>
              </font>
              <fill>
                <patternFill>
                  <bgColor theme="0"/>
                </patternFill>
              </fill>
              <border>
                <left/>
                <right/>
                <top/>
                <bottom/>
                <vertical/>
                <horizontal/>
              </border>
            </x14:dxf>
          </x14:cfRule>
          <xm:sqref>B94:K94</xm:sqref>
        </x14:conditionalFormatting>
        <x14:conditionalFormatting xmlns:xm="http://schemas.microsoft.com/office/excel/2006/main">
          <x14:cfRule type="expression" priority="1094" id="{5E5608CF-6FF2-42FC-9D2D-A6FD667C7F72}">
            <xm:f>OR('G:\Users\GEC\Documents\LUZ\[Copia de 20200615.xlsx]AUX'!#REF!=TRUE,'G:\Users\GEC\Documents\LUZ\[Copia de 20200615.xlsx]AUX'!#REF!=TRUE)</xm:f>
            <x14:dxf>
              <font>
                <color theme="0"/>
              </font>
              <fill>
                <patternFill>
                  <bgColor theme="0"/>
                </patternFill>
              </fill>
              <border>
                <left/>
                <right/>
                <top/>
                <bottom/>
                <vertical/>
                <horizontal/>
              </border>
            </x14:dxf>
          </x14:cfRule>
          <xm:sqref>B94:K94</xm:sqref>
        </x14:conditionalFormatting>
        <x14:conditionalFormatting xmlns:xm="http://schemas.microsoft.com/office/excel/2006/main">
          <x14:cfRule type="expression" priority="1093" id="{287A222C-2F8A-4112-BE79-6D1D2008FBFB}">
            <xm:f>'G:\Users\GEC\Documents\LUZ\[Copia de 20200615.xlsx]AUX'!#REF!=TRUE</xm:f>
            <x14:dxf>
              <font>
                <color theme="0"/>
              </font>
              <fill>
                <patternFill>
                  <bgColor theme="0"/>
                </patternFill>
              </fill>
              <border>
                <left/>
                <right/>
                <top/>
                <bottom/>
                <vertical/>
                <horizontal/>
              </border>
            </x14:dxf>
          </x14:cfRule>
          <xm:sqref>B94:K94</xm:sqref>
        </x14:conditionalFormatting>
        <x14:conditionalFormatting xmlns:xm="http://schemas.microsoft.com/office/excel/2006/main">
          <x14:cfRule type="expression" priority="1092" id="{E3666D89-39A2-462A-B0C5-8AADD50FE772}">
            <xm:f>AND('G:\Users\GEC\Documents\LUZ\[Copia de 20200615.xlsx]DATOS'!#REF!="NO",'G:\Users\GEC\Documents\LUZ\[Copia de 20200615.xlsx]DATOS'!#REF!="NO")</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1091" id="{55D94F0D-EE96-43EB-9429-D1803122154A}">
            <xm:f>OR('G:\Users\GEC\Documents\LUZ\[Copia de 20200615.xlsx]AUX'!#REF!=TRUE,'G:\Users\GEC\Documents\LUZ\[Copia de 20200615.xlsx]AUX'!#REF!=TRUE)</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1090" id="{78AFF890-C118-4BFB-87C0-E7CA58A6CDE4}">
            <xm:f>'G:\Users\GEC\Documents\LUZ\[Copia de 20200615.xlsx]AUX'!#REF!=TRUE</xm:f>
            <x14:dxf>
              <font>
                <color theme="0"/>
              </font>
              <fill>
                <patternFill>
                  <bgColor theme="0"/>
                </patternFill>
              </fill>
              <border>
                <left/>
                <right/>
                <top/>
                <bottom/>
                <vertical/>
                <horizontal/>
              </border>
            </x14:dxf>
          </x14:cfRule>
          <xm:sqref>B53:K53 B54:C55 B57:C61 E58:K58 G56:H56 E54:H55 J54:K56 F59:K61 F57:K57</xm:sqref>
        </x14:conditionalFormatting>
        <x14:conditionalFormatting xmlns:xm="http://schemas.microsoft.com/office/excel/2006/main">
          <x14:cfRule type="expression" priority="1089" id="{C9B53091-14EE-492C-8F4D-B066B1D4049C}">
            <xm:f>AND('G:\Users\GEC\Documents\LUZ\[Copia de 20200615.xlsx]DATOS'!#REF!="NO",'G:\Users\GEC\Documents\LUZ\[Copia de 20200615.xlsx]DATOS'!#REF!="NO")</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1088" id="{3F71452B-2AE2-42CB-8AD3-3F84F02858BC}">
            <xm:f>OR('G:\Users\GEC\Documents\LUZ\[Copia de 20200615.xlsx]AUX'!#REF!=TRUE,'G:\Users\GEC\Documents\LUZ\[Copia de 20200615.xlsx]AUX'!#REF!=TRUE)</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1087" id="{543A7837-047E-442B-8130-CD450DB995FC}">
            <xm:f>'G:\Users\GEC\Documents\LUZ\[Copia de 20200615.xlsx]AUX'!#REF!=TRUE</xm:f>
            <x14:dxf>
              <font>
                <color theme="0"/>
              </font>
              <fill>
                <patternFill>
                  <bgColor theme="0"/>
                </patternFill>
              </fill>
              <border>
                <left/>
                <right/>
                <top/>
                <bottom/>
                <vertical/>
                <horizontal/>
              </border>
            </x14:dxf>
          </x14:cfRule>
          <xm:sqref>B56:C56</xm:sqref>
        </x14:conditionalFormatting>
        <x14:conditionalFormatting xmlns:xm="http://schemas.microsoft.com/office/excel/2006/main">
          <x14:cfRule type="expression" priority="1086" id="{F930C397-98A0-4FAE-8AF9-28EB2847BFCC}">
            <xm:f>AND('G:\Users\GEC\Documents\LUZ\[Copia de 20200615.xlsx]DATOS'!#REF!="NO",'G:\Users\GEC\Documents\LUZ\[Copia de 20200615.xlsx]DATOS'!#REF!="NO")</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1085" id="{425ED95B-94D3-431D-971D-D057FAB1CB3C}">
            <xm:f>OR('G:\Users\GEC\Documents\LUZ\[Copia de 20200615.xlsx]AUX'!#REF!=TRUE,'G:\Users\GEC\Documents\LUZ\[Copia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1084" id="{65018C98-C88C-4FE4-92FB-DEA2C7DBF2EB}">
            <xm:f>'G:\Users\GEC\Documents\LUZ\[Copia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1083" id="{895ECAD3-BA50-4B16-B283-3637D37B8D11}">
            <xm:f>AND('G:\Users\GEC\Documents\LUZ\[Copia de 20200615.xlsx]DATOS'!#REF!="NO",'G:\Users\GEC\Documents\LUZ\[Copia de 20200615.xlsx]DATOS'!#REF!="NO")</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1082" id="{F6C3E63F-5EC4-4129-BFE7-A1EEF1BC83FA}">
            <xm:f>OR('G:\Users\GEC\Documents\LUZ\[Copia de 20200615.xlsx]AUX'!#REF!=TRUE,'G:\Users\GEC\Documents\LUZ\[Copia de 20200615.xlsx]AUX'!#REF!=TRUE)</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1081" id="{2FAD1C6E-B3D4-4ED2-9ED6-3A2D33D521E1}">
            <xm:f>'G:\Users\GEC\Documents\LUZ\[Copia de 20200615.xlsx]AUX'!#REF!=TRUE</xm:f>
            <x14:dxf>
              <font>
                <color theme="0"/>
              </font>
              <fill>
                <patternFill>
                  <bgColor theme="0"/>
                </patternFill>
              </fill>
              <border>
                <left/>
                <right/>
                <top/>
                <bottom/>
                <vertical/>
                <horizontal/>
              </border>
            </x14:dxf>
          </x14:cfRule>
          <xm:sqref>D57:D58</xm:sqref>
        </x14:conditionalFormatting>
        <x14:conditionalFormatting xmlns:xm="http://schemas.microsoft.com/office/excel/2006/main">
          <x14:cfRule type="expression" priority="1080" id="{87DAF657-29B0-43A0-9C6D-3C6F0CD094F4}">
            <xm:f>AND('G:\Users\GEC\Documents\LUZ\[Copia de 20200615.xlsx]DATOS'!#REF!="NO",'G:\Users\GEC\Documents\LUZ\[Copia de 20200615.xlsx]DATOS'!#REF!="NO")</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1079" id="{F22D22D0-F794-4BF0-991B-C497084D89ED}">
            <xm:f>OR('G:\Users\GEC\Documents\LUZ\[Copia de 20200615.xlsx]AUX'!#REF!=TRUE,'G:\Users\GEC\Documents\LUZ\[Copia de 20200615.xlsx]AUX'!#REF!=TRUE)</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1078" id="{1FD72200-410E-445E-91FE-F1FAA843C781}">
            <xm:f>AND('G:\Users\GEC\Documents\LUZ\[Copia de 20200615.xlsx]DATOS'!#REF!="NO",'G:\Users\GEC\Documents\LUZ\[Copia de 20200615.xlsx]DATOS'!#REF!="NO")</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1077" id="{34C7D3DD-E7FD-45EC-822F-8708ABD1369B}">
            <xm:f>OR('G:\Users\GEC\Documents\LUZ\[Copia de 20200615.xlsx]AUX'!#REF!=TRUE,'G:\Users\GEC\Documents\LUZ\[Copia de 20200615.xlsx]AUX'!#REF!=TRUE)</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1076" id="{8177A3A6-BA99-4474-80EB-48D1772B26BF}">
            <xm:f>AND('G:\Users\GEC\Documents\LUZ\[Copia de 20200615.xlsx]DATOS'!#REF!="NO",'G:\Users\GEC\Documents\LUZ\[Copia de 20200615.xlsx]DATOS'!#REF!="NO")</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1075" id="{BD953C76-5962-4FE5-9BC9-32126CCC69B3}">
            <xm:f>OR('G:\Users\GEC\Documents\LUZ\[Copia de 20200615.xlsx]AUX'!#REF!=TRUE,'G:\Users\GEC\Documents\LUZ\[Copia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1074" id="{EFBFD627-2EC5-4122-9439-B6127F0149BA}">
            <xm:f>'G:\Users\GEC\Documents\LUZ\[Copia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1071" id="{B512C964-AEB9-45B3-80BC-090B6FC9D0AF}">
            <xm:f>'G:\Users\GEC\Documents\LUZ\[Copia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1073" id="{706F12E4-E7D3-4481-9234-F8C1EDCEDC23}">
            <xm:f>AND('G:\Users\GEC\Documents\LUZ\[Copia de 20200615.xlsx]DATOS'!#REF!="NO",'G:\Users\GEC\Documents\LUZ\[Copia de 20200615.xlsx]DATOS'!#REF!="NO")</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1072" id="{D17CFB06-D569-4C52-BF6A-3280A4E2870C}">
            <xm:f>OR('G:\Users\GEC\Documents\LUZ\[Copia de 20200615.xlsx]AUX'!#REF!=TRUE,'G:\Users\GEC\Documents\LUZ\[Copia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1070" id="{9C4C6329-8AF3-497F-86CB-6FA5C78FED24}">
            <xm:f>AND('G:\Users\GEC\Documents\LUZ\[Copia de 20200615.xlsx]DATOS'!#REF!="NO",'G:\Users\GEC\Documents\LUZ\[Copia de 20200615.xlsx]DATOS'!#REF!="NO")</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1069" id="{3BD2D5FA-994E-4E30-8624-24BE5FB82757}">
            <xm:f>OR('G:\Users\GEC\Documents\LUZ\[Copia de 20200615.xlsx]AUX'!#REF!=TRUE,'G:\Users\GEC\Documents\LUZ\[Copia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1068" id="{E8B3AD77-68A0-403E-A166-1168F8EA3616}">
            <xm:f>'G:\Users\GEC\Documents\LUZ\[Copia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1067" id="{F6A8539C-359C-42C9-B8C9-CC90676F4C50}">
            <xm:f>AND('G:\Users\GEC\Documents\LUZ\[Copia de 20200615.xlsx]DATOS'!#REF!="NO",'G:\Users\GEC\Documents\LUZ\[Copia de 20200615.xlsx]DATOS'!#REF!="NO")</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1066" id="{0426D423-DC37-46F0-B0F1-7B139CCDEC35}">
            <xm:f>OR('G:\Users\GEC\Documents\LUZ\[Copia de 20200615.xlsx]AUX'!#REF!=TRUE,'G:\Users\GEC\Documents\LUZ\[Copia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1065" id="{67F04EDB-1EA0-4BB6-BD7E-BAB0B789DC3F}">
            <xm:f>'G:\Users\GEC\Documents\LUZ\[Copia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1064" id="{2D376D99-8980-44FD-9067-38952893C3B7}">
            <xm:f>AND('G:\Users\GEC\Documents\LUZ\[Copia de 20200615.xlsx]DATOS'!#REF!="NO",'G:\Users\GEC\Documents\LUZ\[Copia de 20200615.xlsx]DATOS'!#REF!="NO")</xm:f>
            <x14:dxf>
              <font>
                <color theme="0"/>
              </font>
              <fill>
                <patternFill>
                  <bgColor theme="0"/>
                </patternFill>
              </fill>
              <border>
                <left/>
                <right/>
                <top/>
                <bottom/>
                <vertical/>
                <horizontal/>
              </border>
            </x14:dxf>
          </x14:cfRule>
          <xm:sqref>C127:C128</xm:sqref>
        </x14:conditionalFormatting>
        <x14:conditionalFormatting xmlns:xm="http://schemas.microsoft.com/office/excel/2006/main">
          <x14:cfRule type="expression" priority="1063" id="{F1CC980A-BD10-4D32-B0E9-B8C1E6D6C956}">
            <xm:f>OR('G:\Users\GEC\Documents\LUZ\[Copia de 20200615.xlsx]AUX'!#REF!=TRUE,'G:\Users\GEC\Documents\LUZ\[Copia de 20200615.xlsx]AUX'!#REF!=TRUE)</xm:f>
            <x14:dxf>
              <font>
                <color theme="0"/>
              </font>
              <fill>
                <patternFill>
                  <bgColor theme="0"/>
                </patternFill>
              </fill>
              <border>
                <left/>
                <right/>
                <top/>
                <bottom/>
                <vertical/>
                <horizontal/>
              </border>
            </x14:dxf>
          </x14:cfRule>
          <xm:sqref>C127:C128</xm:sqref>
        </x14:conditionalFormatting>
        <x14:conditionalFormatting xmlns:xm="http://schemas.microsoft.com/office/excel/2006/main">
          <x14:cfRule type="expression" priority="1062" id="{844E93C3-5270-4A9B-BB42-B9EF5424E7C8}">
            <xm:f>'G:\Users\GEC\Documents\LUZ\[Copia de 20200615.xlsx]AUX'!#REF!=TRUE</xm:f>
            <x14:dxf>
              <font>
                <color theme="0"/>
              </font>
              <fill>
                <patternFill>
                  <bgColor theme="0"/>
                </patternFill>
              </fill>
              <border>
                <left/>
                <right/>
                <top/>
                <bottom/>
                <vertical/>
                <horizontal/>
              </border>
            </x14:dxf>
          </x14:cfRule>
          <xm:sqref>B130:C130 C127:C129</xm:sqref>
        </x14:conditionalFormatting>
        <x14:conditionalFormatting xmlns:xm="http://schemas.microsoft.com/office/excel/2006/main">
          <x14:cfRule type="expression" priority="1061" id="{AF7F3F1E-3647-4A15-9149-A9F4EFE98773}">
            <xm:f>AND('G:\Users\GEC\Documents\LUZ\[Copia de 20200615.xlsx]DATOS'!#REF!="NO",'G:\Users\GEC\Documents\LUZ\[Copia de 20200615.xlsx]DATOS'!#REF!="NO")</xm:f>
            <x14:dxf>
              <font>
                <color theme="0"/>
              </font>
              <fill>
                <patternFill>
                  <bgColor theme="0"/>
                </patternFill>
              </fill>
              <border>
                <left/>
                <right/>
                <top/>
                <bottom/>
                <vertical/>
                <horizontal/>
              </border>
            </x14:dxf>
          </x14:cfRule>
          <xm:sqref>B130:C130 C129</xm:sqref>
        </x14:conditionalFormatting>
        <x14:conditionalFormatting xmlns:xm="http://schemas.microsoft.com/office/excel/2006/main">
          <x14:cfRule type="expression" priority="1060" id="{F27218EC-1987-4561-A242-1D544F2E95BF}">
            <xm:f>OR('G:\Users\GEC\Documents\LUZ\[Copia de 20200615.xlsx]AUX'!#REF!=TRUE,'G:\Users\GEC\Documents\LUZ\[Copia de 20200615.xlsx]AUX'!#REF!=TRUE)</xm:f>
            <x14:dxf>
              <font>
                <color theme="0"/>
              </font>
              <fill>
                <patternFill>
                  <bgColor theme="0"/>
                </patternFill>
              </fill>
              <border>
                <left/>
                <right/>
                <top/>
                <bottom/>
                <vertical/>
                <horizontal/>
              </border>
            </x14:dxf>
          </x14:cfRule>
          <xm:sqref>B130:C130 C129</xm:sqref>
        </x14:conditionalFormatting>
        <x14:conditionalFormatting xmlns:xm="http://schemas.microsoft.com/office/excel/2006/main">
          <x14:cfRule type="expression" priority="1057" id="{351AF379-F1D4-41C0-9D98-E68654B173B6}">
            <xm:f>AND('G:\Users\GEC\Documents\LUZ\[Copia de 20200615.xlsx]DATOS'!#REF!="NO",'G:\Users\GEC\Documents\LUZ\[Copia de 20200615.xlsx]DATOS'!#REF!="NO")</xm:f>
            <x14:dxf>
              <font>
                <color theme="0"/>
              </font>
              <fill>
                <patternFill>
                  <bgColor theme="0"/>
                </patternFill>
              </fill>
              <border>
                <left/>
                <right/>
                <top/>
                <bottom/>
                <vertical/>
                <horizontal/>
              </border>
            </x14:dxf>
          </x14:cfRule>
          <xm:sqref>B126:K126 K131:K134 J127:K128</xm:sqref>
        </x14:conditionalFormatting>
        <x14:conditionalFormatting xmlns:xm="http://schemas.microsoft.com/office/excel/2006/main">
          <x14:cfRule type="expression" priority="1056" id="{4F6E8CF7-B639-4A53-A320-91E1CAA3B132}">
            <xm:f>OR('G:\Users\GEC\Documents\LUZ\[Copia de 20200615.xlsx]AUX'!#REF!=TRUE,'G:\Users\GEC\Documents\LUZ\[Copia de 20200615.xlsx]AUX'!#REF!=TRUE)</xm:f>
            <x14:dxf>
              <font>
                <color theme="0"/>
              </font>
              <fill>
                <patternFill>
                  <bgColor theme="0"/>
                </patternFill>
              </fill>
              <border>
                <left/>
                <right/>
                <top/>
                <bottom/>
                <vertical/>
                <horizontal/>
              </border>
            </x14:dxf>
          </x14:cfRule>
          <xm:sqref>B126:K126 K131:K134 J127:K128</xm:sqref>
        </x14:conditionalFormatting>
        <x14:conditionalFormatting xmlns:xm="http://schemas.microsoft.com/office/excel/2006/main">
          <x14:cfRule type="expression" priority="1055" id="{FC7F59BE-E4CA-4D00-B155-42223C34696E}">
            <xm:f>'G:\Users\GEC\Documents\LUZ\[Copia de 20200615.xlsx]AUX'!#REF!=TRUE</xm:f>
            <x14:dxf>
              <font>
                <color theme="0"/>
              </font>
              <fill>
                <patternFill>
                  <bgColor theme="0"/>
                </patternFill>
              </fill>
              <border>
                <left/>
                <right/>
                <top/>
                <bottom/>
                <vertical/>
                <horizontal/>
              </border>
            </x14:dxf>
          </x14:cfRule>
          <xm:sqref>B126:K126 E130:K130 K131:K134 J127:K129</xm:sqref>
        </x14:conditionalFormatting>
        <x14:conditionalFormatting xmlns:xm="http://schemas.microsoft.com/office/excel/2006/main">
          <x14:cfRule type="expression" priority="1054" id="{FDC422DB-9656-427C-B3DC-7304020C6B2F}">
            <xm:f>AND('G:\Users\GEC\Documents\LUZ\[Copia de 20200615.xlsx]DATOS'!#REF!="NO",'G:\Users\GEC\Documents\LUZ\[Copia de 20200615.xlsx]DATOS'!#REF!="NO")</xm:f>
            <x14:dxf>
              <font>
                <color theme="0"/>
              </font>
              <fill>
                <patternFill>
                  <bgColor theme="0"/>
                </patternFill>
              </fill>
              <border>
                <left/>
                <right/>
                <top/>
                <bottom/>
                <vertical/>
                <horizontal/>
              </border>
            </x14:dxf>
          </x14:cfRule>
          <xm:sqref>J129:K129 E130:K130</xm:sqref>
        </x14:conditionalFormatting>
        <x14:conditionalFormatting xmlns:xm="http://schemas.microsoft.com/office/excel/2006/main">
          <x14:cfRule type="expression" priority="1053" id="{BBA90048-6302-402F-8B4F-E6F7ADE4D444}">
            <xm:f>OR('G:\Users\GEC\Documents\LUZ\[Copia de 20200615.xlsx]AUX'!#REF!=TRUE,'G:\Users\GEC\Documents\LUZ\[Copia de 20200615.xlsx]AUX'!#REF!=TRUE)</xm:f>
            <x14:dxf>
              <font>
                <color theme="0"/>
              </font>
              <fill>
                <patternFill>
                  <bgColor theme="0"/>
                </patternFill>
              </fill>
              <border>
                <left/>
                <right/>
                <top/>
                <bottom/>
                <vertical/>
                <horizontal/>
              </border>
            </x14:dxf>
          </x14:cfRule>
          <xm:sqref>J129:K129 E130:K130</xm:sqref>
        </x14:conditionalFormatting>
        <x14:conditionalFormatting xmlns:xm="http://schemas.microsoft.com/office/excel/2006/main">
          <x14:cfRule type="expression" priority="1052" id="{AE20E155-56B9-4A63-9C50-1E638383B0B9}">
            <xm:f>'G:\Users\GEC\Documents\LUZ\[Copia de 20200615.xlsx]AUX'!#REF!=TRUE</xm:f>
            <x14:dxf>
              <font>
                <color theme="0"/>
              </font>
              <fill>
                <patternFill>
                  <bgColor theme="0"/>
                </patternFill>
              </fill>
              <border>
                <left/>
                <right/>
                <top/>
                <bottom/>
                <vertical/>
                <horizontal/>
              </border>
            </x14:dxf>
          </x14:cfRule>
          <xm:sqref>D130</xm:sqref>
        </x14:conditionalFormatting>
        <x14:conditionalFormatting xmlns:xm="http://schemas.microsoft.com/office/excel/2006/main">
          <x14:cfRule type="expression" priority="1051" id="{23CC71AF-449B-4239-9021-95550DE133C0}">
            <xm:f>AND('G:\Users\GEC\Documents\LUZ\[Copia de 20200615.xlsx]DATOS'!#REF!="NO",'G:\Users\GEC\Documents\LUZ\[Copia de 20200615.xlsx]DATOS'!#REF!="NO")</xm:f>
            <x14:dxf>
              <font>
                <color theme="0"/>
              </font>
              <fill>
                <patternFill>
                  <bgColor theme="0"/>
                </patternFill>
              </fill>
              <border>
                <left/>
                <right/>
                <top/>
                <bottom/>
                <vertical/>
                <horizontal/>
              </border>
            </x14:dxf>
          </x14:cfRule>
          <xm:sqref>D130</xm:sqref>
        </x14:conditionalFormatting>
        <x14:conditionalFormatting xmlns:xm="http://schemas.microsoft.com/office/excel/2006/main">
          <x14:cfRule type="expression" priority="1050" id="{D46F98E4-F507-47B6-B28C-EDA71D54B128}">
            <xm:f>OR('G:\Users\GEC\Documents\LUZ\[Copia de 20200615.xlsx]AUX'!#REF!=TRUE,'G:\Users\GEC\Documents\LUZ\[Copia de 20200615.xlsx]AUX'!#REF!=TRUE)</xm:f>
            <x14:dxf>
              <font>
                <color theme="0"/>
              </font>
              <fill>
                <patternFill>
                  <bgColor theme="0"/>
                </patternFill>
              </fill>
              <border>
                <left/>
                <right/>
                <top/>
                <bottom/>
                <vertical/>
                <horizontal/>
              </border>
            </x14:dxf>
          </x14:cfRule>
          <xm:sqref>D130</xm:sqref>
        </x14:conditionalFormatting>
        <x14:conditionalFormatting xmlns:xm="http://schemas.microsoft.com/office/excel/2006/main">
          <x14:cfRule type="expression" priority="1049" id="{E4B99AD4-E246-4B08-9D6D-767A9F27178D}">
            <xm:f>AND('G:\Users\GEC\Documents\LUZ\[Copia de 20200615.xlsx]DATOS'!#REF!="NO",'G:\Users\GEC\Documents\LUZ\[Copia de 20200615.xlsx]DATOS'!#REF!="NO")</xm:f>
            <x14:dxf>
              <font>
                <color theme="0"/>
              </font>
              <fill>
                <patternFill>
                  <bgColor theme="0"/>
                </patternFill>
              </fill>
              <border>
                <left/>
                <right/>
                <top/>
                <bottom/>
                <vertical/>
                <horizontal/>
              </border>
            </x14:dxf>
          </x14:cfRule>
          <xm:sqref>B131:C134 E131:J131 J132:J134</xm:sqref>
        </x14:conditionalFormatting>
        <x14:conditionalFormatting xmlns:xm="http://schemas.microsoft.com/office/excel/2006/main">
          <x14:cfRule type="expression" priority="1048" id="{FAD3A3CF-083A-4452-B375-7BCA3CCD1EA0}">
            <xm:f>OR('G:\Users\GEC\Documents\LUZ\[Copia de 20200615.xlsx]AUX'!#REF!=TRUE,'G:\Users\GEC\Documents\LUZ\[Copia de 20200615.xlsx]AUX'!#REF!=TRUE)</xm:f>
            <x14:dxf>
              <font>
                <color theme="0"/>
              </font>
              <fill>
                <patternFill>
                  <bgColor theme="0"/>
                </patternFill>
              </fill>
              <border>
                <left/>
                <right/>
                <top/>
                <bottom/>
                <vertical/>
                <horizontal/>
              </border>
            </x14:dxf>
          </x14:cfRule>
          <xm:sqref>B131:C134 E131:J131 J132:J134</xm:sqref>
        </x14:conditionalFormatting>
        <x14:conditionalFormatting xmlns:xm="http://schemas.microsoft.com/office/excel/2006/main">
          <x14:cfRule type="expression" priority="1047" id="{A56788CA-251B-4EF1-8228-D1557389BA42}">
            <xm:f>'G:\Users\GEC\Documents\LUZ\[Copia de 20200615.xlsx]AUX'!#REF!=TRUE</xm:f>
            <x14:dxf>
              <font>
                <color theme="0"/>
              </font>
              <fill>
                <patternFill>
                  <bgColor theme="0"/>
                </patternFill>
              </fill>
              <border>
                <left/>
                <right/>
                <top/>
                <bottom/>
                <vertical/>
                <horizontal/>
              </border>
            </x14:dxf>
          </x14:cfRule>
          <xm:sqref>B131:C134 E131:J131 J132:J134</xm:sqref>
        </x14:conditionalFormatting>
        <x14:conditionalFormatting xmlns:xm="http://schemas.microsoft.com/office/excel/2006/main">
          <x14:cfRule type="expression" priority="1046" id="{C1B09618-7E5A-4B84-9542-64639C022268}">
            <xm:f>AND('G:\Users\GEC\Documents\LUZ\[Copia de 20200615.xlsx]DATOS'!#REF!="NO",'G:\Users\GEC\Documents\LUZ\[Copia de 20200615.xlsx]DATOS'!#REF!="NO")</xm:f>
            <x14:dxf>
              <font>
                <color theme="0"/>
              </font>
              <fill>
                <patternFill>
                  <bgColor theme="0"/>
                </patternFill>
              </fill>
              <border>
                <left/>
                <right/>
                <top/>
                <bottom/>
                <vertical/>
                <horizontal/>
              </border>
            </x14:dxf>
          </x14:cfRule>
          <xm:sqref>D131</xm:sqref>
        </x14:conditionalFormatting>
        <x14:conditionalFormatting xmlns:xm="http://schemas.microsoft.com/office/excel/2006/main">
          <x14:cfRule type="expression" priority="1045" id="{B2EB4A74-05C6-43B2-B051-70AFFC3A22F7}">
            <xm:f>OR('G:\Users\GEC\Documents\LUZ\[Copia de 20200615.xlsx]AUX'!#REF!=TRUE,'G:\Users\GEC\Documents\LUZ\[Copia de 20200615.xlsx]AUX'!#REF!=TRUE)</xm:f>
            <x14:dxf>
              <font>
                <color theme="0"/>
              </font>
              <fill>
                <patternFill>
                  <bgColor theme="0"/>
                </patternFill>
              </fill>
              <border>
                <left/>
                <right/>
                <top/>
                <bottom/>
                <vertical/>
                <horizontal/>
              </border>
            </x14:dxf>
          </x14:cfRule>
          <xm:sqref>D131</xm:sqref>
        </x14:conditionalFormatting>
        <x14:conditionalFormatting xmlns:xm="http://schemas.microsoft.com/office/excel/2006/main">
          <x14:cfRule type="expression" priority="1044" id="{97C36799-A99B-4791-9A9E-06B5DAAB3C87}">
            <xm:f>'G:\Users\GEC\Documents\LUZ\[Copia de 20200615.xlsx]AUX'!#REF!=TRUE</xm:f>
            <x14:dxf>
              <font>
                <color theme="0"/>
              </font>
              <fill>
                <patternFill>
                  <bgColor theme="0"/>
                </patternFill>
              </fill>
              <border>
                <left/>
                <right/>
                <top/>
                <bottom/>
                <vertical/>
                <horizontal/>
              </border>
            </x14:dxf>
          </x14:cfRule>
          <xm:sqref>D131</xm:sqref>
        </x14:conditionalFormatting>
        <x14:conditionalFormatting xmlns:xm="http://schemas.microsoft.com/office/excel/2006/main">
          <x14:cfRule type="expression" priority="1025" id="{AE9F1D7D-1628-4FEB-9B76-0629CCE69A7A}">
            <xm:f>'G:\Users\GEC\Documents\LUZ\[Copia de 20200615.xlsx]DATOS'!#REF!="NO"</xm:f>
            <x14:dxf>
              <border>
                <left/>
                <right/>
                <top/>
                <bottom/>
                <vertical/>
                <horizontal/>
              </border>
            </x14:dxf>
          </x14:cfRule>
          <xm:sqref>D84:I85</xm:sqref>
        </x14:conditionalFormatting>
        <x14:conditionalFormatting xmlns:xm="http://schemas.microsoft.com/office/excel/2006/main">
          <x14:cfRule type="expression" priority="1024" id="{C73193DF-F535-4E52-A860-F0D9121CF9EE}">
            <xm:f>OR('G:\Users\GEC\Documents\LUZ\[Copia de 20200615.xlsx]AUX'!#REF!=TRUE,'G:\Users\GEC\Documents\LUZ\[Copia de 20200615.xlsx]AUX'!#REF!=TRUE)</xm:f>
            <x14:dxf>
              <font>
                <color theme="0"/>
              </font>
              <fill>
                <patternFill>
                  <bgColor theme="0"/>
                </patternFill>
              </fill>
              <border>
                <left/>
                <right/>
                <top/>
                <bottom/>
                <vertical/>
                <horizontal/>
              </border>
            </x14:dxf>
          </x14:cfRule>
          <xm:sqref>D84:I85</xm:sqref>
        </x14:conditionalFormatting>
        <x14:conditionalFormatting xmlns:xm="http://schemas.microsoft.com/office/excel/2006/main">
          <x14:cfRule type="expression" priority="1019" id="{5A80778E-047C-4064-ACE4-30847C31CD3D}">
            <xm:f>AND('G:\Users\GEC\Documents\LUZ\[Copia de 20200615.xlsx]DATOS'!#REF!="NO",'G:\Users\GEC\Documents\LUZ\[Copia de 20200615.xlsx]DATOS'!#REF!="NO")</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1018" id="{91293C6F-F2B7-4D45-AE8A-BC99014B1947}">
            <xm:f>OR('G:\Users\GEC\Documents\LUZ\[Copia de 20200615.xlsx]AUX'!#REF!=TRUE,'G:\Users\GEC\Documents\LUZ\[Copia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1017" id="{1AB09ED5-7273-46F6-9E4F-3EE8512EEB47}">
            <xm:f>'G:\Users\GEC\Documents\LUZ\[Copia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1013" id="{8B628ECD-93C3-403F-96B4-E32B0CBB28D2}">
            <xm:f>AND('G:\Users\GEC\Documents\LUZ\[Copia de 20200615.xlsx]DATOS'!#REF!="NO",'G:\Users\GEC\Documents\LUZ\[Copia de 20200615.xlsx]DATOS'!#REF!="NO")</xm:f>
            <x14:dxf>
              <font>
                <color theme="0"/>
              </font>
              <fill>
                <patternFill>
                  <bgColor theme="0"/>
                </patternFill>
              </fill>
              <border>
                <left/>
                <right/>
                <top/>
                <bottom/>
                <vertical/>
                <horizontal/>
              </border>
            </x14:dxf>
          </x14:cfRule>
          <xm:sqref>F90:H91</xm:sqref>
        </x14:conditionalFormatting>
        <x14:conditionalFormatting xmlns:xm="http://schemas.microsoft.com/office/excel/2006/main">
          <x14:cfRule type="expression" priority="1012" id="{BBDBF853-1025-41D2-BC60-D1AFA7B195B7}">
            <xm:f>OR('G:\Users\GEC\Documents\LUZ\[Copia de 20200615.xlsx]AUX'!#REF!=TRUE,'G:\Users\GEC\Documents\LUZ\[Copia de 20200615.xlsx]AUX'!#REF!=TRUE)</xm:f>
            <x14:dxf>
              <font>
                <color theme="0"/>
              </font>
              <fill>
                <patternFill>
                  <bgColor theme="0"/>
                </patternFill>
              </fill>
              <border>
                <left/>
                <right/>
                <top/>
                <bottom/>
                <vertical/>
                <horizontal/>
              </border>
            </x14:dxf>
          </x14:cfRule>
          <xm:sqref>F90:H91</xm:sqref>
        </x14:conditionalFormatting>
        <x14:conditionalFormatting xmlns:xm="http://schemas.microsoft.com/office/excel/2006/main">
          <x14:cfRule type="expression" priority="1011" id="{435C9783-AF29-48C6-B2EB-064F41170BF3}">
            <xm:f>'G:\Users\GEC\Documents\LUZ\[Copia de 20200615.xlsx]AUX'!#REF!=TRUE</xm:f>
            <x14:dxf>
              <font>
                <color theme="0"/>
              </font>
              <fill>
                <patternFill>
                  <bgColor theme="0"/>
                </patternFill>
              </fill>
              <border>
                <left/>
                <right/>
                <top/>
                <bottom/>
                <vertical/>
                <horizontal/>
              </border>
            </x14:dxf>
          </x14:cfRule>
          <xm:sqref>G92:H92 E90:H91</xm:sqref>
        </x14:conditionalFormatting>
        <x14:conditionalFormatting xmlns:xm="http://schemas.microsoft.com/office/excel/2006/main">
          <x14:cfRule type="expression" priority="1010" id="{3B62AA8F-270B-451B-B551-93D290C474D9}">
            <xm:f>AND('G:\Users\GEC\Documents\LUZ\[Copia de 20200615.xlsx]DATOS'!#REF!="NO",'G:\Users\GEC\Documents\LUZ\[Copia de 20200615.xlsx]DATOS'!#REF!="NO")</xm:f>
            <x14:dxf>
              <font>
                <color theme="0"/>
              </font>
              <fill>
                <patternFill>
                  <bgColor theme="0"/>
                </patternFill>
              </fill>
              <border>
                <left/>
                <right/>
                <top/>
                <bottom/>
                <vertical/>
                <horizontal/>
              </border>
            </x14:dxf>
          </x14:cfRule>
          <xm:sqref>G92:H92</xm:sqref>
        </x14:conditionalFormatting>
        <x14:conditionalFormatting xmlns:xm="http://schemas.microsoft.com/office/excel/2006/main">
          <x14:cfRule type="expression" priority="1009" id="{BD784DE8-623D-43CE-86AE-1EA8FDB58C52}">
            <xm:f>OR('G:\Users\GEC\Documents\LUZ\[Copia de 20200615.xlsx]AUX'!#REF!=TRUE,'G:\Users\GEC\Documents\LUZ\[Copia de 20200615.xlsx]AUX'!#REF!=TRUE)</xm:f>
            <x14:dxf>
              <font>
                <color theme="0"/>
              </font>
              <fill>
                <patternFill>
                  <bgColor theme="0"/>
                </patternFill>
              </fill>
              <border>
                <left/>
                <right/>
                <top/>
                <bottom/>
                <vertical/>
                <horizontal/>
              </border>
            </x14:dxf>
          </x14:cfRule>
          <xm:sqref>G92:H92</xm:sqref>
        </x14:conditionalFormatting>
        <x14:conditionalFormatting xmlns:xm="http://schemas.microsoft.com/office/excel/2006/main">
          <x14:cfRule type="expression" priority="1008" id="{53C620D9-07FE-4BA1-9947-BCB91739F817}">
            <xm:f>AND('G:\Users\GEC\Documents\LUZ\[Copia de 20200615.xlsx]DATOS'!#REF!="NO",'G:\Users\GEC\Documents\LUZ\[Copia de 20200615.xlsx]DATOS'!#REF!="NO")</xm:f>
            <x14:dxf>
              <font>
                <color theme="0"/>
              </font>
              <fill>
                <patternFill>
                  <bgColor theme="0"/>
                </patternFill>
              </fill>
              <border>
                <left/>
                <right/>
                <top/>
                <bottom/>
                <vertical/>
                <horizontal/>
              </border>
            </x14:dxf>
          </x14:cfRule>
          <xm:sqref>E92:F92</xm:sqref>
        </x14:conditionalFormatting>
        <x14:conditionalFormatting xmlns:xm="http://schemas.microsoft.com/office/excel/2006/main">
          <x14:cfRule type="expression" priority="1007" id="{CDA32EA0-4ED7-4E9F-B2EF-D3E62B77B446}">
            <xm:f>OR('G:\Users\GEC\Documents\LUZ\[Copia de 20200615.xlsx]AUX'!#REF!=TRUE,'G:\Users\GEC\Documents\LUZ\[Copia de 20200615.xlsx]AUX'!#REF!=TRUE)</xm:f>
            <x14:dxf>
              <font>
                <color theme="0"/>
              </font>
              <fill>
                <patternFill>
                  <bgColor theme="0"/>
                </patternFill>
              </fill>
              <border>
                <left/>
                <right/>
                <top/>
                <bottom/>
                <vertical/>
                <horizontal/>
              </border>
            </x14:dxf>
          </x14:cfRule>
          <xm:sqref>E92:F92</xm:sqref>
        </x14:conditionalFormatting>
        <x14:conditionalFormatting xmlns:xm="http://schemas.microsoft.com/office/excel/2006/main">
          <x14:cfRule type="expression" priority="1006" id="{E4BFA823-C6F3-4C6B-9B5E-BB7D43A91B3E}">
            <xm:f>'G:\Users\GEC\Documents\LUZ\[Copia de 20200615.xlsx]AUX'!#REF!=TRUE</xm:f>
            <x14:dxf>
              <font>
                <color theme="0"/>
              </font>
              <fill>
                <patternFill>
                  <bgColor theme="0"/>
                </patternFill>
              </fill>
              <border>
                <left/>
                <right/>
                <top/>
                <bottom/>
                <vertical/>
                <horizontal/>
              </border>
            </x14:dxf>
          </x14:cfRule>
          <xm:sqref>E92:F92</xm:sqref>
        </x14:conditionalFormatting>
        <x14:conditionalFormatting xmlns:xm="http://schemas.microsoft.com/office/excel/2006/main">
          <x14:cfRule type="expression" priority="1005" id="{6EF4D8E0-53C0-4712-8C65-523B1AD946C2}">
            <xm:f>AND('G:\Users\GEC\Documents\LUZ\[Copia de 20200615.xlsx]DATOS'!#REF!="NO",'G:\Users\GEC\Documents\LUZ\[Copia de 20200615.xlsx]DATOS'!#REF!="NO")</xm:f>
            <x14:dxf>
              <font>
                <color theme="0"/>
              </font>
              <fill>
                <patternFill>
                  <bgColor theme="0"/>
                </patternFill>
              </fill>
              <border>
                <left/>
                <right/>
                <top/>
                <bottom/>
                <vertical/>
                <horizontal/>
              </border>
            </x14:dxf>
          </x14:cfRule>
          <xm:sqref>E90:E91</xm:sqref>
        </x14:conditionalFormatting>
        <x14:conditionalFormatting xmlns:xm="http://schemas.microsoft.com/office/excel/2006/main">
          <x14:cfRule type="expression" priority="1004" id="{F71081FA-3FC8-4F1B-ADF7-A41FB17924EA}">
            <xm:f>OR('G:\Users\GEC\Documents\LUZ\[Copia de 20200615.xlsx]AUX'!#REF!=TRUE,'G:\Users\GEC\Documents\LUZ\[Copia de 20200615.xlsx]AUX'!#REF!=TRUE)</xm:f>
            <x14:dxf>
              <font>
                <color theme="0"/>
              </font>
              <fill>
                <patternFill>
                  <bgColor theme="0"/>
                </patternFill>
              </fill>
              <border>
                <left/>
                <right/>
                <top/>
                <bottom/>
                <vertical/>
                <horizontal/>
              </border>
            </x14:dxf>
          </x14:cfRule>
          <xm:sqref>E90:E91</xm:sqref>
        </x14:conditionalFormatting>
        <x14:conditionalFormatting xmlns:xm="http://schemas.microsoft.com/office/excel/2006/main">
          <x14:cfRule type="expression" priority="1001" id="{9BDB3AFE-673E-4869-AAAB-9C6D3A6BF73E}">
            <xm:f>'G:\Users\GEC\Documents\LUZ\[Copia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1003" id="{1769C15F-98E3-4393-8F01-F41F37365BDD}">
            <xm:f>AND('G:\Users\GEC\Documents\LUZ\[Copia de 20200615.xlsx]DATOS'!#REF!="NO",'G:\Users\GEC\Documents\LUZ\[Copia de 20200615.xlsx]DATOS'!#REF!="NO")</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1002" id="{880E01A0-4B63-4833-AC70-12F2CFDE1BF0}">
            <xm:f>OR('G:\Users\GEC\Documents\LUZ\[Copia de 20200615.xlsx]AUX'!#REF!=TRUE,'G:\Users\GEC\Documents\LUZ\[Copia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1000" id="{8CD771BE-D0B9-4153-AEE9-E8D85FDC6FB4}">
            <xm:f>AND('G:\Users\GEC\Documents\LUZ\[Copia de 20200615.xlsx]DATOS'!#REF!="NO",'G:\Users\GEC\Documents\LUZ\[Copia de 20200615.xlsx]DATOS'!#REF!="NO")</xm:f>
            <x14:dxf>
              <font>
                <color theme="0"/>
              </font>
              <fill>
                <patternFill>
                  <bgColor theme="0"/>
                </patternFill>
              </fill>
              <border>
                <left/>
                <right/>
                <top/>
                <bottom/>
                <vertical/>
                <horizontal/>
              </border>
            </x14:dxf>
          </x14:cfRule>
          <xm:sqref>D90:D91</xm:sqref>
        </x14:conditionalFormatting>
        <x14:conditionalFormatting xmlns:xm="http://schemas.microsoft.com/office/excel/2006/main">
          <x14:cfRule type="expression" priority="999" id="{6F3266ED-6145-4AE4-89E9-52FED041228E}">
            <xm:f>OR('G:\Users\GEC\Documents\LUZ\[Copia de 20200615.xlsx]AUX'!#REF!=TRUE,'G:\Users\GEC\Documents\LUZ\[Copia de 20200615.xlsx]AUX'!#REF!=TRUE)</xm:f>
            <x14:dxf>
              <font>
                <color theme="0"/>
              </font>
              <fill>
                <patternFill>
                  <bgColor theme="0"/>
                </patternFill>
              </fill>
              <border>
                <left/>
                <right/>
                <top/>
                <bottom/>
                <vertical/>
                <horizontal/>
              </border>
            </x14:dxf>
          </x14:cfRule>
          <xm:sqref>D90:D91</xm:sqref>
        </x14:conditionalFormatting>
        <x14:conditionalFormatting xmlns:xm="http://schemas.microsoft.com/office/excel/2006/main">
          <x14:cfRule type="expression" priority="998" id="{2744519D-8AC4-4F9A-B046-A24A920D938E}">
            <xm:f>'G:\Users\GEC\Documents\LUZ\[Copia de 20200615.xlsx]AUX'!#REF!=TRUE</xm:f>
            <x14:dxf>
              <font>
                <color theme="0"/>
              </font>
              <fill>
                <patternFill>
                  <bgColor theme="0"/>
                </patternFill>
              </fill>
              <border>
                <left/>
                <right/>
                <top/>
                <bottom/>
                <vertical/>
                <horizontal/>
              </border>
            </x14:dxf>
          </x14:cfRule>
          <xm:sqref>D90:D91</xm:sqref>
        </x14:conditionalFormatting>
        <x14:conditionalFormatting xmlns:xm="http://schemas.microsoft.com/office/excel/2006/main">
          <x14:cfRule type="expression" priority="997" id="{47133C12-6E29-46B6-8DF4-46A2DA45AF9B}">
            <xm:f>AND('G:\Users\GEC\Documents\LUZ\[Copia de 20200615.xlsx]DATOS'!#REF!="NO",'G:\Users\GEC\Documents\LUZ\[Copia de 20200615.xlsx]DATOS'!#REF!="NO")</xm:f>
            <x14:dxf>
              <font>
                <color theme="0"/>
              </font>
              <fill>
                <patternFill>
                  <bgColor theme="0"/>
                </patternFill>
              </fill>
              <border>
                <left/>
                <right/>
                <top/>
                <bottom/>
                <vertical/>
                <horizontal/>
              </border>
            </x14:dxf>
          </x14:cfRule>
          <xm:sqref>I90:I92</xm:sqref>
        </x14:conditionalFormatting>
        <x14:conditionalFormatting xmlns:xm="http://schemas.microsoft.com/office/excel/2006/main">
          <x14:cfRule type="expression" priority="996" id="{EC82CF33-BA70-4A3F-995D-A3314275BDBD}">
            <xm:f>OR('G:\Users\GEC\Documents\LUZ\[Copia de 20200615.xlsx]AUX'!#REF!=TRUE,'G:\Users\GEC\Documents\LUZ\[Copia de 20200615.xlsx]AUX'!#REF!=TRUE)</xm:f>
            <x14:dxf>
              <font>
                <color theme="0"/>
              </font>
              <fill>
                <patternFill>
                  <bgColor theme="0"/>
                </patternFill>
              </fill>
              <border>
                <left/>
                <right/>
                <top/>
                <bottom/>
                <vertical/>
                <horizontal/>
              </border>
            </x14:dxf>
          </x14:cfRule>
          <xm:sqref>I90:I92</xm:sqref>
        </x14:conditionalFormatting>
        <x14:conditionalFormatting xmlns:xm="http://schemas.microsoft.com/office/excel/2006/main">
          <x14:cfRule type="expression" priority="995" id="{392131E2-5346-48E9-B226-2D6884C85514}">
            <xm:f>'G:\Users\GEC\Documents\LUZ\[Copia de 20200615.xlsx]AUX'!#REF!=TRUE</xm:f>
            <x14:dxf>
              <font>
                <color theme="0"/>
              </font>
              <fill>
                <patternFill>
                  <bgColor theme="0"/>
                </patternFill>
              </fill>
              <border>
                <left/>
                <right/>
                <top/>
                <bottom/>
                <vertical/>
                <horizontal/>
              </border>
            </x14:dxf>
          </x14:cfRule>
          <xm:sqref>I90:I92</xm:sqref>
        </x14:conditionalFormatting>
        <x14:conditionalFormatting xmlns:xm="http://schemas.microsoft.com/office/excel/2006/main">
          <x14:cfRule type="expression" priority="994" id="{05A64994-1BB4-4513-AF99-057CAD595F37}">
            <xm:f>AND('G:\Users\GEC\Documents\LUZ\[Copia de 20200615.xlsx]DATOS'!#REF!="NO",'G:\Users\GEC\Documents\LUZ\[Copia de 20200615.xlsx]DATOS'!#REF!="NO")</xm:f>
            <x14:dxf>
              <font>
                <color theme="0"/>
              </font>
              <fill>
                <patternFill>
                  <bgColor theme="0"/>
                </patternFill>
              </fill>
              <border>
                <left/>
                <right/>
                <top/>
                <bottom/>
                <vertical/>
                <horizontal/>
              </border>
            </x14:dxf>
          </x14:cfRule>
          <xm:sqref>F127:H128</xm:sqref>
        </x14:conditionalFormatting>
        <x14:conditionalFormatting xmlns:xm="http://schemas.microsoft.com/office/excel/2006/main">
          <x14:cfRule type="expression" priority="993" id="{D5C7ADD2-A993-4D3D-9855-9C56709BA901}">
            <xm:f>OR('G:\Users\GEC\Documents\LUZ\[Copia de 20200615.xlsx]AUX'!#REF!=TRUE,'G:\Users\GEC\Documents\LUZ\[Copia de 20200615.xlsx]AUX'!#REF!=TRUE)</xm:f>
            <x14:dxf>
              <font>
                <color theme="0"/>
              </font>
              <fill>
                <patternFill>
                  <bgColor theme="0"/>
                </patternFill>
              </fill>
              <border>
                <left/>
                <right/>
                <top/>
                <bottom/>
                <vertical/>
                <horizontal/>
              </border>
            </x14:dxf>
          </x14:cfRule>
          <xm:sqref>F127:H128</xm:sqref>
        </x14:conditionalFormatting>
        <x14:conditionalFormatting xmlns:xm="http://schemas.microsoft.com/office/excel/2006/main">
          <x14:cfRule type="expression" priority="992" id="{B196648A-E193-4A55-8E94-08DE31153D09}">
            <xm:f>'G:\Users\GEC\Documents\LUZ\[Copia de 20200615.xlsx]AUX'!#REF!=TRUE</xm:f>
            <x14:dxf>
              <font>
                <color theme="0"/>
              </font>
              <fill>
                <patternFill>
                  <bgColor theme="0"/>
                </patternFill>
              </fill>
              <border>
                <left/>
                <right/>
                <top/>
                <bottom/>
                <vertical/>
                <horizontal/>
              </border>
            </x14:dxf>
          </x14:cfRule>
          <xm:sqref>G129:H129 E127:H128</xm:sqref>
        </x14:conditionalFormatting>
        <x14:conditionalFormatting xmlns:xm="http://schemas.microsoft.com/office/excel/2006/main">
          <x14:cfRule type="expression" priority="991" id="{A81D6E29-11D4-4668-95EC-926EA5CD744D}">
            <xm:f>AND('G:\Users\GEC\Documents\LUZ\[Copia de 20200615.xlsx]DATOS'!#REF!="NO",'G:\Users\GEC\Documents\LUZ\[Copia de 20200615.xlsx]DATOS'!#REF!="NO")</xm:f>
            <x14:dxf>
              <font>
                <color theme="0"/>
              </font>
              <fill>
                <patternFill>
                  <bgColor theme="0"/>
                </patternFill>
              </fill>
              <border>
                <left/>
                <right/>
                <top/>
                <bottom/>
                <vertical/>
                <horizontal/>
              </border>
            </x14:dxf>
          </x14:cfRule>
          <xm:sqref>G129:H129</xm:sqref>
        </x14:conditionalFormatting>
        <x14:conditionalFormatting xmlns:xm="http://schemas.microsoft.com/office/excel/2006/main">
          <x14:cfRule type="expression" priority="990" id="{CDCF13BC-D755-4133-8169-F0CAE131DE37}">
            <xm:f>OR('G:\Users\GEC\Documents\LUZ\[Copia de 20200615.xlsx]AUX'!#REF!=TRUE,'G:\Users\GEC\Documents\LUZ\[Copia de 20200615.xlsx]AUX'!#REF!=TRUE)</xm:f>
            <x14:dxf>
              <font>
                <color theme="0"/>
              </font>
              <fill>
                <patternFill>
                  <bgColor theme="0"/>
                </patternFill>
              </fill>
              <border>
                <left/>
                <right/>
                <top/>
                <bottom/>
                <vertical/>
                <horizontal/>
              </border>
            </x14:dxf>
          </x14:cfRule>
          <xm:sqref>G129:H129</xm:sqref>
        </x14:conditionalFormatting>
        <x14:conditionalFormatting xmlns:xm="http://schemas.microsoft.com/office/excel/2006/main">
          <x14:cfRule type="expression" priority="989" id="{1ED66CCE-6F25-4E29-81BE-B515516D138C}">
            <xm:f>AND('G:\Users\GEC\Documents\LUZ\[Copia de 20200615.xlsx]DATOS'!#REF!="NO",'G:\Users\GEC\Documents\LUZ\[Copia de 20200615.xlsx]DATOS'!#REF!="NO")</xm:f>
            <x14:dxf>
              <font>
                <color theme="0"/>
              </font>
              <fill>
                <patternFill>
                  <bgColor theme="0"/>
                </patternFill>
              </fill>
              <border>
                <left/>
                <right/>
                <top/>
                <bottom/>
                <vertical/>
                <horizontal/>
              </border>
            </x14:dxf>
          </x14:cfRule>
          <xm:sqref>E129:F129</xm:sqref>
        </x14:conditionalFormatting>
        <x14:conditionalFormatting xmlns:xm="http://schemas.microsoft.com/office/excel/2006/main">
          <x14:cfRule type="expression" priority="988" id="{B60B7012-B65C-41AD-AC17-9F6B2967DEC0}">
            <xm:f>OR('G:\Users\GEC\Documents\LUZ\[Copia de 20200615.xlsx]AUX'!#REF!=TRUE,'G:\Users\GEC\Documents\LUZ\[Copia de 20200615.xlsx]AUX'!#REF!=TRUE)</xm:f>
            <x14:dxf>
              <font>
                <color theme="0"/>
              </font>
              <fill>
                <patternFill>
                  <bgColor theme="0"/>
                </patternFill>
              </fill>
              <border>
                <left/>
                <right/>
                <top/>
                <bottom/>
                <vertical/>
                <horizontal/>
              </border>
            </x14:dxf>
          </x14:cfRule>
          <xm:sqref>E129:F129</xm:sqref>
        </x14:conditionalFormatting>
        <x14:conditionalFormatting xmlns:xm="http://schemas.microsoft.com/office/excel/2006/main">
          <x14:cfRule type="expression" priority="987" id="{70EC9773-5CD2-4BCE-92CC-D622FA08081A}">
            <xm:f>'G:\Users\GEC\Documents\LUZ\[Copia de 20200615.xlsx]AUX'!#REF!=TRUE</xm:f>
            <x14:dxf>
              <font>
                <color theme="0"/>
              </font>
              <fill>
                <patternFill>
                  <bgColor theme="0"/>
                </patternFill>
              </fill>
              <border>
                <left/>
                <right/>
                <top/>
                <bottom/>
                <vertical/>
                <horizontal/>
              </border>
            </x14:dxf>
          </x14:cfRule>
          <xm:sqref>E129:F129</xm:sqref>
        </x14:conditionalFormatting>
        <x14:conditionalFormatting xmlns:xm="http://schemas.microsoft.com/office/excel/2006/main">
          <x14:cfRule type="expression" priority="986" id="{28B23C5C-B402-464A-9C04-37267F3CBD73}">
            <xm:f>AND('G:\Users\GEC\Documents\LUZ\[Copia de 20200615.xlsx]DATOS'!#REF!="NO",'G:\Users\GEC\Documents\LUZ\[Copia de 20200615.xlsx]DATOS'!#REF!="NO")</xm:f>
            <x14:dxf>
              <font>
                <color theme="0"/>
              </font>
              <fill>
                <patternFill>
                  <bgColor theme="0"/>
                </patternFill>
              </fill>
              <border>
                <left/>
                <right/>
                <top/>
                <bottom/>
                <vertical/>
                <horizontal/>
              </border>
            </x14:dxf>
          </x14:cfRule>
          <xm:sqref>E127:E128</xm:sqref>
        </x14:conditionalFormatting>
        <x14:conditionalFormatting xmlns:xm="http://schemas.microsoft.com/office/excel/2006/main">
          <x14:cfRule type="expression" priority="985" id="{DF94B2EF-F09E-4F49-BDFE-922FB3E6173F}">
            <xm:f>OR('G:\Users\GEC\Documents\LUZ\[Copia de 20200615.xlsx]AUX'!#REF!=TRUE,'G:\Users\GEC\Documents\LUZ\[Copia de 20200615.xlsx]AUX'!#REF!=TRUE)</xm:f>
            <x14:dxf>
              <font>
                <color theme="0"/>
              </font>
              <fill>
                <patternFill>
                  <bgColor theme="0"/>
                </patternFill>
              </fill>
              <border>
                <left/>
                <right/>
                <top/>
                <bottom/>
                <vertical/>
                <horizontal/>
              </border>
            </x14:dxf>
          </x14:cfRule>
          <xm:sqref>E127:E128</xm:sqref>
        </x14:conditionalFormatting>
        <x14:conditionalFormatting xmlns:xm="http://schemas.microsoft.com/office/excel/2006/main">
          <x14:cfRule type="expression" priority="982" id="{F3FE9178-DEE4-40BF-B831-0A05B74DE2CF}">
            <xm:f>'G:\Users\GEC\Documents\LUZ\[Copia de 20200615.xlsx]AUX'!#REF!=TRUE</xm:f>
            <x14:dxf>
              <font>
                <color theme="0"/>
              </font>
              <fill>
                <patternFill>
                  <bgColor theme="0"/>
                </patternFill>
              </fill>
              <border>
                <left/>
                <right/>
                <top/>
                <bottom/>
                <vertical/>
                <horizontal/>
              </border>
            </x14:dxf>
          </x14:cfRule>
          <xm:sqref>D129</xm:sqref>
        </x14:conditionalFormatting>
        <x14:conditionalFormatting xmlns:xm="http://schemas.microsoft.com/office/excel/2006/main">
          <x14:cfRule type="expression" priority="984" id="{77849AEE-2102-444C-ACFB-9C110FEB99D3}">
            <xm:f>AND('G:\Users\GEC\Documents\LUZ\[Copia de 20200615.xlsx]DATOS'!#REF!="NO",'G:\Users\GEC\Documents\LUZ\[Copia de 20200615.xlsx]DATOS'!#REF!="NO")</xm:f>
            <x14:dxf>
              <font>
                <color theme="0"/>
              </font>
              <fill>
                <patternFill>
                  <bgColor theme="0"/>
                </patternFill>
              </fill>
              <border>
                <left/>
                <right/>
                <top/>
                <bottom/>
                <vertical/>
                <horizontal/>
              </border>
            </x14:dxf>
          </x14:cfRule>
          <xm:sqref>D129</xm:sqref>
        </x14:conditionalFormatting>
        <x14:conditionalFormatting xmlns:xm="http://schemas.microsoft.com/office/excel/2006/main">
          <x14:cfRule type="expression" priority="983" id="{6839A4FB-579D-463D-A4B3-E59C802F4379}">
            <xm:f>OR('G:\Users\GEC\Documents\LUZ\[Copia de 20200615.xlsx]AUX'!#REF!=TRUE,'G:\Users\GEC\Documents\LUZ\[Copia de 20200615.xlsx]AUX'!#REF!=TRUE)</xm:f>
            <x14:dxf>
              <font>
                <color theme="0"/>
              </font>
              <fill>
                <patternFill>
                  <bgColor theme="0"/>
                </patternFill>
              </fill>
              <border>
                <left/>
                <right/>
                <top/>
                <bottom/>
                <vertical/>
                <horizontal/>
              </border>
            </x14:dxf>
          </x14:cfRule>
          <xm:sqref>D129</xm:sqref>
        </x14:conditionalFormatting>
        <x14:conditionalFormatting xmlns:xm="http://schemas.microsoft.com/office/excel/2006/main">
          <x14:cfRule type="expression" priority="981" id="{ED4A18E3-99DE-477E-9FF4-9C8DA5FCA6C1}">
            <xm:f>AND('G:\Users\GEC\Documents\LUZ\[Copia de 20200615.xlsx]DATOS'!#REF!="NO",'G:\Users\GEC\Documents\LUZ\[Copia de 20200615.xlsx]DATOS'!#REF!="NO")</xm:f>
            <x14:dxf>
              <font>
                <color theme="0"/>
              </font>
              <fill>
                <patternFill>
                  <bgColor theme="0"/>
                </patternFill>
              </fill>
              <border>
                <left/>
                <right/>
                <top/>
                <bottom/>
                <vertical/>
                <horizontal/>
              </border>
            </x14:dxf>
          </x14:cfRule>
          <xm:sqref>D127:D128</xm:sqref>
        </x14:conditionalFormatting>
        <x14:conditionalFormatting xmlns:xm="http://schemas.microsoft.com/office/excel/2006/main">
          <x14:cfRule type="expression" priority="980" id="{C2038984-4D67-4122-9975-3F3B0C3CA550}">
            <xm:f>OR('G:\Users\GEC\Documents\LUZ\[Copia de 20200615.xlsx]AUX'!#REF!=TRUE,'G:\Users\GEC\Documents\LUZ\[Copia de 20200615.xlsx]AUX'!#REF!=TRUE)</xm:f>
            <x14:dxf>
              <font>
                <color theme="0"/>
              </font>
              <fill>
                <patternFill>
                  <bgColor theme="0"/>
                </patternFill>
              </fill>
              <border>
                <left/>
                <right/>
                <top/>
                <bottom/>
                <vertical/>
                <horizontal/>
              </border>
            </x14:dxf>
          </x14:cfRule>
          <xm:sqref>D127:D128</xm:sqref>
        </x14:conditionalFormatting>
        <x14:conditionalFormatting xmlns:xm="http://schemas.microsoft.com/office/excel/2006/main">
          <x14:cfRule type="expression" priority="979" id="{A3B1E0FD-8FA2-4598-95D5-1A188802FB1E}">
            <xm:f>'G:\Users\GEC\Documents\LUZ\[Copia de 20200615.xlsx]AUX'!#REF!=TRUE</xm:f>
            <x14:dxf>
              <font>
                <color theme="0"/>
              </font>
              <fill>
                <patternFill>
                  <bgColor theme="0"/>
                </patternFill>
              </fill>
              <border>
                <left/>
                <right/>
                <top/>
                <bottom/>
                <vertical/>
                <horizontal/>
              </border>
            </x14:dxf>
          </x14:cfRule>
          <xm:sqref>D127:D128</xm:sqref>
        </x14:conditionalFormatting>
        <x14:conditionalFormatting xmlns:xm="http://schemas.microsoft.com/office/excel/2006/main">
          <x14:cfRule type="expression" priority="978" id="{DB004B2D-64B7-4058-8032-7F16F9C74E8C}">
            <xm:f>AND('G:\Users\GEC\Documents\LUZ\[Copia de 20200615.xlsx]DATOS'!#REF!="NO",'G:\Users\GEC\Documents\LUZ\[Copia de 20200615.xlsx]DATOS'!#REF!="NO")</xm:f>
            <x14:dxf>
              <font>
                <color theme="0"/>
              </font>
              <fill>
                <patternFill>
                  <bgColor theme="0"/>
                </patternFill>
              </fill>
              <border>
                <left/>
                <right/>
                <top/>
                <bottom/>
                <vertical/>
                <horizontal/>
              </border>
            </x14:dxf>
          </x14:cfRule>
          <xm:sqref>I127:I129</xm:sqref>
        </x14:conditionalFormatting>
        <x14:conditionalFormatting xmlns:xm="http://schemas.microsoft.com/office/excel/2006/main">
          <x14:cfRule type="expression" priority="977" id="{E4EB7DBD-13D8-4974-9196-48867B637373}">
            <xm:f>OR('G:\Users\GEC\Documents\LUZ\[Copia de 20200615.xlsx]AUX'!#REF!=TRUE,'G:\Users\GEC\Documents\LUZ\[Copia de 20200615.xlsx]AUX'!#REF!=TRUE)</xm:f>
            <x14:dxf>
              <font>
                <color theme="0"/>
              </font>
              <fill>
                <patternFill>
                  <bgColor theme="0"/>
                </patternFill>
              </fill>
              <border>
                <left/>
                <right/>
                <top/>
                <bottom/>
                <vertical/>
                <horizontal/>
              </border>
            </x14:dxf>
          </x14:cfRule>
          <xm:sqref>I127:I129</xm:sqref>
        </x14:conditionalFormatting>
        <x14:conditionalFormatting xmlns:xm="http://schemas.microsoft.com/office/excel/2006/main">
          <x14:cfRule type="expression" priority="976" id="{048049A1-DDB1-42AF-8F2D-C328FC1EB206}">
            <xm:f>'G:\Users\GEC\Documents\LUZ\[Copia de 20200615.xlsx]AUX'!#REF!=TRUE</xm:f>
            <x14:dxf>
              <font>
                <color theme="0"/>
              </font>
              <fill>
                <patternFill>
                  <bgColor theme="0"/>
                </patternFill>
              </fill>
              <border>
                <left/>
                <right/>
                <top/>
                <bottom/>
                <vertical/>
                <horizontal/>
              </border>
            </x14:dxf>
          </x14:cfRule>
          <xm:sqref>I127:I129</xm:sqref>
        </x14:conditionalFormatting>
        <x14:conditionalFormatting xmlns:xm="http://schemas.microsoft.com/office/excel/2006/main">
          <x14:cfRule type="expression" priority="975" id="{F71F88D9-0F45-40D9-AAA1-EB33A8CEE645}">
            <xm:f>AND('G:\Users\GEC\Documents\LUZ\[Copia de 20200615.xlsx]DATOS'!#REF!="NO",'G:\Users\GEC\Documents\LUZ\[Copia de 20200615.xlsx]DATOS'!#REF!="NO")</xm:f>
            <x14:dxf>
              <font>
                <color theme="0"/>
              </font>
              <fill>
                <patternFill>
                  <bgColor theme="0"/>
                </patternFill>
              </fill>
              <border>
                <left/>
                <right/>
                <top/>
                <bottom/>
                <vertical/>
                <horizontal/>
              </border>
            </x14:dxf>
          </x14:cfRule>
          <xm:sqref>F95:I97</xm:sqref>
        </x14:conditionalFormatting>
        <x14:conditionalFormatting xmlns:xm="http://schemas.microsoft.com/office/excel/2006/main">
          <x14:cfRule type="expression" priority="974" id="{1E5B78D7-9622-4D1C-B128-42E518A14006}">
            <xm:f>OR('G:\Users\GEC\Documents\LUZ\[Copia de 20200615.xlsx]AUX'!#REF!=TRUE,'G:\Users\GEC\Documents\LUZ\[Copia de 20200615.xlsx]AUX'!#REF!=TRUE)</xm:f>
            <x14:dxf>
              <font>
                <color theme="0"/>
              </font>
              <fill>
                <patternFill>
                  <bgColor theme="0"/>
                </patternFill>
              </fill>
              <border>
                <left/>
                <right/>
                <top/>
                <bottom/>
                <vertical/>
                <horizontal/>
              </border>
            </x14:dxf>
          </x14:cfRule>
          <xm:sqref>F95:I97</xm:sqref>
        </x14:conditionalFormatting>
        <x14:conditionalFormatting xmlns:xm="http://schemas.microsoft.com/office/excel/2006/main">
          <x14:cfRule type="expression" priority="973" id="{1DD8BF06-503F-4453-A537-ADB8B1984DF7}">
            <xm:f>'G:\Users\GEC\Documents\LUZ\[Copia de 20200615.xlsx]AUX'!#REF!=TRUE</xm:f>
            <x14:dxf>
              <font>
                <color theme="0"/>
              </font>
              <fill>
                <patternFill>
                  <bgColor theme="0"/>
                </patternFill>
              </fill>
              <border>
                <left/>
                <right/>
                <top/>
                <bottom/>
                <vertical/>
                <horizontal/>
              </border>
            </x14:dxf>
          </x14:cfRule>
          <xm:sqref>F95:I97</xm:sqref>
        </x14:conditionalFormatting>
        <x14:conditionalFormatting xmlns:xm="http://schemas.microsoft.com/office/excel/2006/main">
          <x14:cfRule type="expression" priority="972" id="{C83EBBA1-A14F-4D56-89D7-9311856B28E2}">
            <xm:f>AND('G:\Users\GEC\Documents\LUZ\[Copia de 20200615.xlsx]DATOS'!#REF!="NO",'G:\Users\GEC\Documents\LUZ\[Copia de 20200615.xlsx]DATOS'!#REF!="NO")</xm:f>
            <x14:dxf>
              <font>
                <color theme="0"/>
              </font>
              <fill>
                <patternFill>
                  <bgColor theme="0"/>
                </patternFill>
              </fill>
              <border>
                <left/>
                <right/>
                <top/>
                <bottom/>
                <vertical/>
                <horizontal/>
              </border>
            </x14:dxf>
          </x14:cfRule>
          <xm:sqref>E95:E97</xm:sqref>
        </x14:conditionalFormatting>
        <x14:conditionalFormatting xmlns:xm="http://schemas.microsoft.com/office/excel/2006/main">
          <x14:cfRule type="expression" priority="971" id="{BD3F9B33-C4C4-4D1D-8E9D-FF28FCC63E30}">
            <xm:f>OR('G:\Users\GEC\Documents\LUZ\[Copia de 20200615.xlsx]AUX'!#REF!=TRUE,'G:\Users\GEC\Documents\LUZ\[Copia de 20200615.xlsx]AUX'!#REF!=TRUE)</xm:f>
            <x14:dxf>
              <font>
                <color theme="0"/>
              </font>
              <fill>
                <patternFill>
                  <bgColor theme="0"/>
                </patternFill>
              </fill>
              <border>
                <left/>
                <right/>
                <top/>
                <bottom/>
                <vertical/>
                <horizontal/>
              </border>
            </x14:dxf>
          </x14:cfRule>
          <xm:sqref>E95:E97</xm:sqref>
        </x14:conditionalFormatting>
        <x14:conditionalFormatting xmlns:xm="http://schemas.microsoft.com/office/excel/2006/main">
          <x14:cfRule type="expression" priority="970" id="{E9099B28-F9D7-4010-941A-A1C7BA0EBBDD}">
            <xm:f>'G:\Users\GEC\Documents\LUZ\[Copia de 20200615.xlsx]AUX'!#REF!=TRUE</xm:f>
            <x14:dxf>
              <font>
                <color theme="0"/>
              </font>
              <fill>
                <patternFill>
                  <bgColor theme="0"/>
                </patternFill>
              </fill>
              <border>
                <left/>
                <right/>
                <top/>
                <bottom/>
                <vertical/>
                <horizontal/>
              </border>
            </x14:dxf>
          </x14:cfRule>
          <xm:sqref>E95:E97</xm:sqref>
        </x14:conditionalFormatting>
        <x14:conditionalFormatting xmlns:xm="http://schemas.microsoft.com/office/excel/2006/main">
          <x14:cfRule type="expression" priority="969" id="{6247CEB1-1ADF-40D7-BEB2-17DEA2114274}">
            <xm:f>AND('G:\Users\GEC\Documents\LUZ\[Copia de 20200615.xlsx]DATOS'!#REF!="NO",'G:\Users\GEC\Documents\LUZ\[Copia de 20200615.xlsx]DATOS'!#REF!="NO")</xm:f>
            <x14:dxf>
              <font>
                <color theme="0"/>
              </font>
              <fill>
                <patternFill>
                  <bgColor theme="0"/>
                </patternFill>
              </fill>
              <border>
                <left/>
                <right/>
                <top/>
                <bottom/>
                <vertical/>
                <horizontal/>
              </border>
            </x14:dxf>
          </x14:cfRule>
          <xm:sqref>D95:D97</xm:sqref>
        </x14:conditionalFormatting>
        <x14:conditionalFormatting xmlns:xm="http://schemas.microsoft.com/office/excel/2006/main">
          <x14:cfRule type="expression" priority="968" id="{3B86BCF2-697B-4542-8E08-3F02C0F2BA89}">
            <xm:f>OR('G:\Users\GEC\Documents\LUZ\[Copia de 20200615.xlsx]AUX'!#REF!=TRUE,'G:\Users\GEC\Documents\LUZ\[Copia de 20200615.xlsx]AUX'!#REF!=TRUE)</xm:f>
            <x14:dxf>
              <font>
                <color theme="0"/>
              </font>
              <fill>
                <patternFill>
                  <bgColor theme="0"/>
                </patternFill>
              </fill>
              <border>
                <left/>
                <right/>
                <top/>
                <bottom/>
                <vertical/>
                <horizontal/>
              </border>
            </x14:dxf>
          </x14:cfRule>
          <xm:sqref>D95:D97</xm:sqref>
        </x14:conditionalFormatting>
        <x14:conditionalFormatting xmlns:xm="http://schemas.microsoft.com/office/excel/2006/main">
          <x14:cfRule type="expression" priority="967" id="{6A3B92DB-817C-45D1-872A-25F515079331}">
            <xm:f>'G:\Users\GEC\Documents\LUZ\[Copia de 20200615.xlsx]AUX'!#REF!=TRUE</xm:f>
            <x14:dxf>
              <font>
                <color theme="0"/>
              </font>
              <fill>
                <patternFill>
                  <bgColor theme="0"/>
                </patternFill>
              </fill>
              <border>
                <left/>
                <right/>
                <top/>
                <bottom/>
                <vertical/>
                <horizontal/>
              </border>
            </x14:dxf>
          </x14:cfRule>
          <xm:sqref>D95:D97</xm:sqref>
        </x14:conditionalFormatting>
        <x14:conditionalFormatting xmlns:xm="http://schemas.microsoft.com/office/excel/2006/main">
          <x14:cfRule type="expression" priority="966" id="{9AC4FA7E-F3CE-49A9-BA5D-8DBF0D014712}">
            <xm:f>AND('G:\Users\GEC\Documents\LUZ\[Copia de 20200615.xlsx]DATOS'!#REF!="NO",'G:\Users\GEC\Documents\LUZ\[Copia de 20200615.xlsx]DATOS'!#REF!="NO")</xm:f>
            <x14:dxf>
              <font>
                <color theme="0"/>
              </font>
              <fill>
                <patternFill>
                  <bgColor theme="0"/>
                </patternFill>
              </fill>
              <border>
                <left/>
                <right/>
                <top/>
                <bottom/>
                <vertical/>
                <horizontal/>
              </border>
            </x14:dxf>
          </x14:cfRule>
          <xm:sqref>F132:I134</xm:sqref>
        </x14:conditionalFormatting>
        <x14:conditionalFormatting xmlns:xm="http://schemas.microsoft.com/office/excel/2006/main">
          <x14:cfRule type="expression" priority="965" id="{5BFC3448-1A45-4CC2-A853-CE9E113DCA62}">
            <xm:f>OR('G:\Users\GEC\Documents\LUZ\[Copia de 20200615.xlsx]AUX'!#REF!=TRUE,'G:\Users\GEC\Documents\LUZ\[Copia de 20200615.xlsx]AUX'!#REF!=TRUE)</xm:f>
            <x14:dxf>
              <font>
                <color theme="0"/>
              </font>
              <fill>
                <patternFill>
                  <bgColor theme="0"/>
                </patternFill>
              </fill>
              <border>
                <left/>
                <right/>
                <top/>
                <bottom/>
                <vertical/>
                <horizontal/>
              </border>
            </x14:dxf>
          </x14:cfRule>
          <xm:sqref>F132:I134</xm:sqref>
        </x14:conditionalFormatting>
        <x14:conditionalFormatting xmlns:xm="http://schemas.microsoft.com/office/excel/2006/main">
          <x14:cfRule type="expression" priority="964" id="{97595E65-F6F4-4A87-BE43-131376489C73}">
            <xm:f>'G:\Users\GEC\Documents\LUZ\[Copia de 20200615.xlsx]AUX'!#REF!=TRUE</xm:f>
            <x14:dxf>
              <font>
                <color theme="0"/>
              </font>
              <fill>
                <patternFill>
                  <bgColor theme="0"/>
                </patternFill>
              </fill>
              <border>
                <left/>
                <right/>
                <top/>
                <bottom/>
                <vertical/>
                <horizontal/>
              </border>
            </x14:dxf>
          </x14:cfRule>
          <xm:sqref>F132:I134</xm:sqref>
        </x14:conditionalFormatting>
        <x14:conditionalFormatting xmlns:xm="http://schemas.microsoft.com/office/excel/2006/main">
          <x14:cfRule type="expression" priority="963" id="{B26AC3FC-5B7F-4209-BFBD-BA1F7F14C3BB}">
            <xm:f>AND('G:\Users\GEC\Documents\LUZ\[Copia de 20200615.xlsx]DATOS'!#REF!="NO",'G:\Users\GEC\Documents\LUZ\[Copia de 20200615.xlsx]DATOS'!#REF!="NO")</xm:f>
            <x14:dxf>
              <font>
                <color theme="0"/>
              </font>
              <fill>
                <patternFill>
                  <bgColor theme="0"/>
                </patternFill>
              </fill>
              <border>
                <left/>
                <right/>
                <top/>
                <bottom/>
                <vertical/>
                <horizontal/>
              </border>
            </x14:dxf>
          </x14:cfRule>
          <xm:sqref>E132:E134</xm:sqref>
        </x14:conditionalFormatting>
        <x14:conditionalFormatting xmlns:xm="http://schemas.microsoft.com/office/excel/2006/main">
          <x14:cfRule type="expression" priority="962" id="{1AFA7E03-C74B-49F6-85E4-8CF33D6EFE04}">
            <xm:f>OR('G:\Users\GEC\Documents\LUZ\[Copia de 20200615.xlsx]AUX'!#REF!=TRUE,'G:\Users\GEC\Documents\LUZ\[Copia de 20200615.xlsx]AUX'!#REF!=TRUE)</xm:f>
            <x14:dxf>
              <font>
                <color theme="0"/>
              </font>
              <fill>
                <patternFill>
                  <bgColor theme="0"/>
                </patternFill>
              </fill>
              <border>
                <left/>
                <right/>
                <top/>
                <bottom/>
                <vertical/>
                <horizontal/>
              </border>
            </x14:dxf>
          </x14:cfRule>
          <xm:sqref>E132:E134</xm:sqref>
        </x14:conditionalFormatting>
        <x14:conditionalFormatting xmlns:xm="http://schemas.microsoft.com/office/excel/2006/main">
          <x14:cfRule type="expression" priority="961" id="{0BB69F54-654A-4078-B59D-EDF580D57B5C}">
            <xm:f>'G:\Users\GEC\Documents\LUZ\[Copia de 20200615.xlsx]AUX'!#REF!=TRUE</xm:f>
            <x14:dxf>
              <font>
                <color theme="0"/>
              </font>
              <fill>
                <patternFill>
                  <bgColor theme="0"/>
                </patternFill>
              </fill>
              <border>
                <left/>
                <right/>
                <top/>
                <bottom/>
                <vertical/>
                <horizontal/>
              </border>
            </x14:dxf>
          </x14:cfRule>
          <xm:sqref>E132:E134</xm:sqref>
        </x14:conditionalFormatting>
        <x14:conditionalFormatting xmlns:xm="http://schemas.microsoft.com/office/excel/2006/main">
          <x14:cfRule type="expression" priority="960" id="{67A748F2-B1BF-4879-823E-7322500216E8}">
            <xm:f>AND('G:\Users\GEC\Documents\LUZ\[Copia de 20200615.xlsx]DATOS'!#REF!="NO",'G:\Users\GEC\Documents\LUZ\[Copia de 20200615.xlsx]DATOS'!#REF!="NO")</xm:f>
            <x14:dxf>
              <font>
                <color theme="0"/>
              </font>
              <fill>
                <patternFill>
                  <bgColor theme="0"/>
                </patternFill>
              </fill>
              <border>
                <left/>
                <right/>
                <top/>
                <bottom/>
                <vertical/>
                <horizontal/>
              </border>
            </x14:dxf>
          </x14:cfRule>
          <xm:sqref>D132:D134</xm:sqref>
        </x14:conditionalFormatting>
        <x14:conditionalFormatting xmlns:xm="http://schemas.microsoft.com/office/excel/2006/main">
          <x14:cfRule type="expression" priority="959" id="{567BC5E1-C91E-49E5-91AB-A83645A5CD9D}">
            <xm:f>OR('G:\Users\GEC\Documents\LUZ\[Copia de 20200615.xlsx]AUX'!#REF!=TRUE,'G:\Users\GEC\Documents\LUZ\[Copia de 20200615.xlsx]AUX'!#REF!=TRUE)</xm:f>
            <x14:dxf>
              <font>
                <color theme="0"/>
              </font>
              <fill>
                <patternFill>
                  <bgColor theme="0"/>
                </patternFill>
              </fill>
              <border>
                <left/>
                <right/>
                <top/>
                <bottom/>
                <vertical/>
                <horizontal/>
              </border>
            </x14:dxf>
          </x14:cfRule>
          <xm:sqref>D132:D134</xm:sqref>
        </x14:conditionalFormatting>
        <x14:conditionalFormatting xmlns:xm="http://schemas.microsoft.com/office/excel/2006/main">
          <x14:cfRule type="expression" priority="958" id="{491F692B-A56F-4F3E-A75F-CD99BC9F34CB}">
            <xm:f>'G:\Users\GEC\Documents\LUZ\[Copia de 20200615.xlsx]AUX'!#REF!=TRUE</xm:f>
            <x14:dxf>
              <font>
                <color theme="0"/>
              </font>
              <fill>
                <patternFill>
                  <bgColor theme="0"/>
                </patternFill>
              </fill>
              <border>
                <left/>
                <right/>
                <top/>
                <bottom/>
                <vertical/>
                <horizontal/>
              </border>
            </x14:dxf>
          </x14:cfRule>
          <xm:sqref>D132:D134</xm:sqref>
        </x14:conditionalFormatting>
        <x14:conditionalFormatting xmlns:xm="http://schemas.microsoft.com/office/excel/2006/main">
          <x14:cfRule type="expression" priority="955" id="{DC8683CE-1B09-4F67-83B1-7169B588FE58}">
            <xm:f>OR('G:\Users\GEC\Documents\LUZ\[Copia de 20200615.xlsx]AUX'!#REF!=TRUE,'G:\Users\GEC\Documents\LUZ\[Copia de 20200615.xlsx]AUX'!#REF!=TRUE)</xm:f>
            <x14:dxf>
              <font>
                <color theme="0"/>
              </font>
              <fill>
                <patternFill>
                  <bgColor theme="0"/>
                </patternFill>
              </fill>
              <border>
                <left/>
                <right/>
                <top/>
                <bottom/>
                <vertical/>
                <horizontal/>
              </border>
            </x14:dxf>
          </x14:cfRule>
          <xm:sqref>H114</xm:sqref>
        </x14:conditionalFormatting>
        <x14:conditionalFormatting xmlns:xm="http://schemas.microsoft.com/office/excel/2006/main">
          <x14:cfRule type="expression" priority="948" id="{DF7FB224-79EC-4342-B27A-1D7F14B18AB7}">
            <xm:f>OR('G:\Users\GEC\Documents\LUZ\[Copia de 20200615.xlsx]AUX'!#REF!=TRUE,'G:\Users\GEC\Documents\LUZ\[Copia de 20200615.xlsx]AUX'!#REF!=TRUE)</xm:f>
            <x14:dxf>
              <font>
                <color theme="0"/>
              </font>
              <fill>
                <patternFill>
                  <bgColor theme="0"/>
                </patternFill>
              </fill>
              <border>
                <left/>
                <right/>
                <top/>
                <bottom/>
                <vertical/>
                <horizontal/>
              </border>
            </x14:dxf>
          </x14:cfRule>
          <xm:sqref>H75:H76</xm:sqref>
        </x14:conditionalFormatting>
        <x14:conditionalFormatting xmlns:xm="http://schemas.microsoft.com/office/excel/2006/main">
          <x14:cfRule type="expression" priority="947" id="{740A2D6D-1631-426B-A8D7-B11D0D46FAAE}">
            <xm:f>OR('G:\Users\GEC\Documents\LUZ\[Copia de 20200615.xlsx]AUX'!#REF!=TRUE,'G:\Users\GEC\Documents\LUZ\[Copia de 20200615.xlsx]AUX'!#REF!=TRUE)</xm:f>
            <x14:dxf>
              <font>
                <color theme="0"/>
              </font>
              <fill>
                <patternFill>
                  <bgColor theme="0"/>
                </patternFill>
              </fill>
              <border>
                <left/>
                <right/>
                <top/>
                <bottom/>
                <vertical/>
                <horizontal/>
              </border>
            </x14:dxf>
          </x14:cfRule>
          <xm:sqref>F75</xm:sqref>
        </x14:conditionalFormatting>
        <x14:conditionalFormatting xmlns:xm="http://schemas.microsoft.com/office/excel/2006/main">
          <x14:cfRule type="expression" priority="946" id="{7F847E77-3698-4A61-959E-DA5A6782B111}">
            <xm:f>OR('G:\Users\GEC\Documents\LUZ\[Copia de 20200615.xlsx]AUX'!#REF!=TRUE,'G:\Users\GEC\Documents\LUZ\[Copia de 20200615.xlsx]AUX'!#REF!=TRUE)</xm:f>
            <x14:dxf>
              <font>
                <color theme="0"/>
              </font>
              <fill>
                <patternFill>
                  <bgColor theme="0"/>
                </patternFill>
              </fill>
              <border>
                <left/>
                <right/>
                <top/>
                <bottom/>
                <vertical/>
                <horizontal/>
              </border>
            </x14:dxf>
          </x14:cfRule>
          <xm:sqref>F76:F79</xm:sqref>
        </x14:conditionalFormatting>
        <x14:conditionalFormatting xmlns:xm="http://schemas.microsoft.com/office/excel/2006/main">
          <x14:cfRule type="expression" priority="944" id="{7E175344-EE72-4401-BFC0-7A37F5CBF080}">
            <xm:f>OR('G:\Users\GEC\Documents\LUZ\[Copia de 20200615.xlsx]AUX'!#REF!=TRUE,'G:\Users\GEC\Documents\LUZ\[Copia de 20200615.xlsx]AUX'!#REF!=TRUE)</xm:f>
            <x14:dxf>
              <font>
                <color theme="0"/>
              </font>
              <fill>
                <patternFill>
                  <bgColor theme="0"/>
                </patternFill>
              </fill>
              <border>
                <left/>
                <right/>
                <top/>
                <bottom/>
                <vertical/>
                <horizontal/>
              </border>
            </x14:dxf>
          </x14:cfRule>
          <xm:sqref>H77</xm:sqref>
        </x14:conditionalFormatting>
        <x14:conditionalFormatting xmlns:xm="http://schemas.microsoft.com/office/excel/2006/main">
          <x14:cfRule type="expression" priority="943" id="{33600069-008B-4BCE-9F52-B7F8C4E84224}">
            <xm:f>OR('G:\Users\GEC\Documents\LUZ\[Copia de 20200615.xlsx]AUX'!#REF!=TRUE,'G:\Users\GEC\Documents\LUZ\[Copia de 20200615.xlsx]AUX'!#REF!=TRUE)</xm:f>
            <x14:dxf>
              <font>
                <color theme="0"/>
              </font>
              <fill>
                <patternFill>
                  <bgColor theme="0"/>
                </patternFill>
              </fill>
              <border>
                <left/>
                <right/>
                <top/>
                <bottom/>
                <vertical/>
                <horizontal/>
              </border>
            </x14:dxf>
          </x14:cfRule>
          <xm:sqref>H39:H40</xm:sqref>
        </x14:conditionalFormatting>
        <x14:conditionalFormatting xmlns:xm="http://schemas.microsoft.com/office/excel/2006/main">
          <x14:cfRule type="expression" priority="942" id="{8FB1EAFB-9373-42D3-A867-A353A4DD6131}">
            <xm:f>OR('G:\Users\GEC\Documents\LUZ\[Copia de 20200615.xlsx]AUX'!#REF!=TRUE,'G:\Users\GEC\Documents\LUZ\[Copia de 20200615.xlsx]AUX'!#REF!=TRUE)</xm:f>
            <x14:dxf>
              <font>
                <color theme="0"/>
              </font>
              <fill>
                <patternFill>
                  <bgColor theme="0"/>
                </patternFill>
              </fill>
              <border>
                <left/>
                <right/>
                <top/>
                <bottom/>
                <vertical/>
                <horizontal/>
              </border>
            </x14:dxf>
          </x14:cfRule>
          <xm:sqref>F39</xm:sqref>
        </x14:conditionalFormatting>
        <x14:conditionalFormatting xmlns:xm="http://schemas.microsoft.com/office/excel/2006/main">
          <x14:cfRule type="expression" priority="941" id="{830C8183-76AC-49F3-9E92-0E6EE3E2A680}">
            <xm:f>OR('G:\Users\GEC\Documents\LUZ\[Copia de 20200615.xlsx]AUX'!#REF!=TRUE,'G:\Users\GEC\Documents\LUZ\[Copia de 20200615.xlsx]AUX'!#REF!=TRUE)</xm:f>
            <x14:dxf>
              <font>
                <color theme="0"/>
              </font>
              <fill>
                <patternFill>
                  <bgColor theme="0"/>
                </patternFill>
              </fill>
              <border>
                <left/>
                <right/>
                <top/>
                <bottom/>
                <vertical/>
                <horizontal/>
              </border>
            </x14:dxf>
          </x14:cfRule>
          <xm:sqref>F40:F43</xm:sqref>
        </x14:conditionalFormatting>
        <x14:conditionalFormatting xmlns:xm="http://schemas.microsoft.com/office/excel/2006/main">
          <x14:cfRule type="expression" priority="939" id="{3143D088-9F3F-4780-87FA-023A154F6D85}">
            <xm:f>OR('G:\Users\GEC\Documents\LUZ\[Copia de 20200615.xlsx]AUX'!#REF!=TRUE,'G:\Users\GEC\Documents\LUZ\[Copia de 20200615.xlsx]AUX'!#REF!=TRUE)</xm:f>
            <x14:dxf>
              <font>
                <color theme="0"/>
              </font>
              <fill>
                <patternFill>
                  <bgColor theme="0"/>
                </patternFill>
              </fill>
              <border>
                <left/>
                <right/>
                <top/>
                <bottom/>
                <vertical/>
                <horizontal/>
              </border>
            </x14:dxf>
          </x14:cfRule>
          <xm:sqref>H41</xm:sqref>
        </x14:conditionalFormatting>
        <x14:conditionalFormatting xmlns:xm="http://schemas.microsoft.com/office/excel/2006/main">
          <x14:cfRule type="expression" priority="937" id="{6217BFE9-87B7-485C-9D70-CDC23976894D}">
            <xm:f>OR('G:\Users\GEC\Documents\LUZ\[Copia de 20200615.xlsx]AUX'!#REF!=TRUE,'G:\Users\GEC\Documents\LUZ\[Copia de 20200615.xlsx]AUX'!#REF!=TRUE)</xm:f>
            <x14:dxf>
              <font>
                <color theme="0"/>
              </font>
              <fill>
                <patternFill>
                  <bgColor theme="0"/>
                </patternFill>
              </fill>
              <border>
                <left/>
                <right/>
                <top/>
                <bottom/>
                <vertical/>
                <horizontal/>
              </border>
            </x14:dxf>
          </x14:cfRule>
          <xm:sqref>C46</xm:sqref>
        </x14:conditionalFormatting>
        <x14:conditionalFormatting xmlns:xm="http://schemas.microsoft.com/office/excel/2006/main">
          <x14:cfRule type="expression" priority="935" id="{02E2DADC-E9A2-4F91-9ACE-512CD826491F}">
            <xm:f>OR('G:\Users\GEC\Documents\LUZ\[Copia de 20200615.xlsx]AUX'!#REF!=TRUE,'G:\Users\GEC\Documents\LUZ\[Copia de 20200615.xlsx]AUX'!#REF!=TRUE)</xm:f>
            <x14:dxf>
              <font>
                <color theme="0"/>
              </font>
              <fill>
                <patternFill>
                  <bgColor theme="0"/>
                </patternFill>
              </fill>
              <border>
                <left/>
                <right/>
                <top/>
                <bottom/>
                <vertical/>
                <horizontal/>
              </border>
            </x14:dxf>
          </x14:cfRule>
          <xm:sqref>C82</xm:sqref>
        </x14:conditionalFormatting>
        <x14:conditionalFormatting xmlns:xm="http://schemas.microsoft.com/office/excel/2006/main">
          <x14:cfRule type="expression" priority="934" id="{9810A0D6-AE22-4EA4-82D3-CC6EEE05BC19}">
            <xm:f>OR('G:\Users\GEC\Documents\LUZ\[Copia de 20200615.xlsx]AUX'!#REF!=TRUE,'G:\Users\GEC\Documents\LUZ\[Copia de 20200615.xlsx]AUX'!#REF!=TRUE)</xm:f>
            <x14:dxf>
              <font>
                <color theme="0"/>
              </font>
              <fill>
                <patternFill>
                  <bgColor theme="0"/>
                </patternFill>
              </fill>
              <border>
                <left/>
                <right/>
                <top/>
                <bottom/>
                <vertical/>
                <horizontal/>
              </border>
            </x14:dxf>
          </x14:cfRule>
          <xm:sqref>C119</xm:sqref>
        </x14:conditionalFormatting>
        <x14:conditionalFormatting xmlns:xm="http://schemas.microsoft.com/office/excel/2006/main">
          <x14:cfRule type="expression" priority="849" id="{20CFB382-E14F-4813-BEC5-BD90150A5437}">
            <xm:f>AND('G:\Users\GEC\Documents\LUZ\[Copia de 20200615.xlsx]DATOS'!#REF!="NO",'G:\Users\GEC\Documents\LUZ\[Copia de 20200615.xlsx]DATOS'!#REF!="NO")</xm:f>
            <x14:dxf>
              <font>
                <color theme="0"/>
              </font>
              <fill>
                <patternFill>
                  <bgColor theme="0"/>
                </patternFill>
              </fill>
              <border>
                <left/>
                <right/>
                <top/>
                <bottom/>
                <vertical/>
                <horizontal/>
              </border>
            </x14:dxf>
          </x14:cfRule>
          <xm:sqref>C164:C165</xm:sqref>
        </x14:conditionalFormatting>
        <x14:conditionalFormatting xmlns:xm="http://schemas.microsoft.com/office/excel/2006/main">
          <x14:cfRule type="expression" priority="848" id="{286A4542-A669-4509-848C-4C7CDF9FCCE5}">
            <xm:f>OR('G:\Users\GEC\Documents\LUZ\[Copia de 20200615.xlsx]AUX'!#REF!=TRUE,'G:\Users\GEC\Documents\LUZ\[Copia de 20200615.xlsx]AUX'!#REF!=TRUE)</xm:f>
            <x14:dxf>
              <font>
                <color theme="0"/>
              </font>
              <fill>
                <patternFill>
                  <bgColor theme="0"/>
                </patternFill>
              </fill>
              <border>
                <left/>
                <right/>
                <top/>
                <bottom/>
                <vertical/>
                <horizontal/>
              </border>
            </x14:dxf>
          </x14:cfRule>
          <xm:sqref>C164:C165</xm:sqref>
        </x14:conditionalFormatting>
        <x14:conditionalFormatting xmlns:xm="http://schemas.microsoft.com/office/excel/2006/main">
          <x14:cfRule type="expression" priority="847" id="{11C7749A-3C5A-41A3-84B2-27B0C6776424}">
            <xm:f>'G:\Users\GEC\Documents\LUZ\[Copia de 20200615.xlsx]AUX'!#REF!=TRUE</xm:f>
            <x14:dxf>
              <font>
                <color theme="0"/>
              </font>
              <fill>
                <patternFill>
                  <bgColor theme="0"/>
                </patternFill>
              </fill>
              <border>
                <left/>
                <right/>
                <top/>
                <bottom/>
                <vertical/>
                <horizontal/>
              </border>
            </x14:dxf>
          </x14:cfRule>
          <xm:sqref>B167:C167 C164:C166</xm:sqref>
        </x14:conditionalFormatting>
        <x14:conditionalFormatting xmlns:xm="http://schemas.microsoft.com/office/excel/2006/main">
          <x14:cfRule type="expression" priority="846" id="{B1E4FA6C-447D-47B5-80AD-D8C74B495663}">
            <xm:f>AND('G:\Users\GEC\Documents\LUZ\[Copia de 20200615.xlsx]DATOS'!#REF!="NO",'G:\Users\GEC\Documents\LUZ\[Copia de 20200615.xlsx]DATOS'!#REF!="NO")</xm:f>
            <x14:dxf>
              <font>
                <color theme="0"/>
              </font>
              <fill>
                <patternFill>
                  <bgColor theme="0"/>
                </patternFill>
              </fill>
              <border>
                <left/>
                <right/>
                <top/>
                <bottom/>
                <vertical/>
                <horizontal/>
              </border>
            </x14:dxf>
          </x14:cfRule>
          <xm:sqref>B167:C167 C166</xm:sqref>
        </x14:conditionalFormatting>
        <x14:conditionalFormatting xmlns:xm="http://schemas.microsoft.com/office/excel/2006/main">
          <x14:cfRule type="expression" priority="845" id="{C911C5B2-E943-4B20-92D5-C552810D8494}">
            <xm:f>OR('G:\Users\GEC\Documents\LUZ\[Copia de 20200615.xlsx]AUX'!#REF!=TRUE,'G:\Users\GEC\Documents\LUZ\[Copia de 20200615.xlsx]AUX'!#REF!=TRUE)</xm:f>
            <x14:dxf>
              <font>
                <color theme="0"/>
              </font>
              <fill>
                <patternFill>
                  <bgColor theme="0"/>
                </patternFill>
              </fill>
              <border>
                <left/>
                <right/>
                <top/>
                <bottom/>
                <vertical/>
                <horizontal/>
              </border>
            </x14:dxf>
          </x14:cfRule>
          <xm:sqref>B167:C167 C166</xm:sqref>
        </x14:conditionalFormatting>
        <x14:conditionalFormatting xmlns:xm="http://schemas.microsoft.com/office/excel/2006/main">
          <x14:cfRule type="expression" priority="843" id="{B1B1C948-A30D-4CE2-81EF-295F353191DF}">
            <xm:f>'G:\Users\GEC\Documents\LUZ\[Copia de 20200615.xlsx]DATOS'!#REF!="NO"</xm:f>
            <x14:dxf>
              <border>
                <left/>
                <right/>
                <top/>
                <bottom/>
                <vertical/>
                <horizontal/>
              </border>
            </x14:dxf>
          </x14:cfRule>
          <xm:sqref>E160:K160</xm:sqref>
        </x14:conditionalFormatting>
        <x14:conditionalFormatting xmlns:xm="http://schemas.microsoft.com/office/excel/2006/main">
          <x14:cfRule type="expression" priority="842" id="{67B315FF-9EE8-49C1-A83B-3F5B892EE858}">
            <xm:f>OR('G:\Users\GEC\Documents\LUZ\[Copia de 20200615.xlsx]AUX'!#REF!=TRUE,'G:\Users\GEC\Documents\LUZ\[Copia de 20200615.xlsx]AUX'!#REF!=TRUE)</xm:f>
            <x14:dxf>
              <font>
                <color theme="0"/>
              </font>
              <fill>
                <patternFill>
                  <bgColor theme="0"/>
                </patternFill>
              </fill>
              <border>
                <left/>
                <right/>
                <top/>
                <bottom/>
                <vertical/>
                <horizontal/>
              </border>
            </x14:dxf>
          </x14:cfRule>
          <xm:sqref>B161:K161 K156 E160:K160 B157:C160 B155</xm:sqref>
        </x14:conditionalFormatting>
        <x14:conditionalFormatting xmlns:xm="http://schemas.microsoft.com/office/excel/2006/main">
          <x14:cfRule type="expression" priority="837" id="{D8E45873-B7F4-4FC1-A2EB-E4408EA34C11}">
            <xm:f>AND('G:\Users\GEC\Documents\LUZ\[Copia de 20200615.xlsx]DATOS'!#REF!="NO",'G:\Users\GEC\Documents\LUZ\[Copia de 20200615.xlsx]DATOS'!#REF!="NO")</xm:f>
            <x14:dxf>
              <font>
                <color theme="0"/>
              </font>
              <fill>
                <patternFill>
                  <bgColor theme="0"/>
                </patternFill>
              </fill>
              <border>
                <left/>
                <right/>
                <top/>
                <bottom/>
                <vertical/>
                <horizontal/>
              </border>
            </x14:dxf>
          </x14:cfRule>
          <xm:sqref>B181:I181 B162:K163 B180:J180 K169:K172 J164:K165</xm:sqref>
        </x14:conditionalFormatting>
        <x14:conditionalFormatting xmlns:xm="http://schemas.microsoft.com/office/excel/2006/main">
          <x14:cfRule type="expression" priority="836" id="{916F6D59-251B-4A08-BCF9-09B95F5A11CD}">
            <xm:f>OR('G:\Users\GEC\Documents\LUZ\[Copia de 20200615.xlsx]AUX'!#REF!=TRUE,'G:\Users\GEC\Documents\LUZ\[Copia de 20200615.xlsx]AUX'!#REF!=TRUE)</xm:f>
            <x14:dxf>
              <font>
                <color theme="0"/>
              </font>
              <fill>
                <patternFill>
                  <bgColor theme="0"/>
                </patternFill>
              </fill>
              <border>
                <left/>
                <right/>
                <top/>
                <bottom/>
                <vertical/>
                <horizontal/>
              </border>
            </x14:dxf>
          </x14:cfRule>
          <xm:sqref>B181:I181 B180:J180 B162:K163 K169:K172 J164:K165</xm:sqref>
        </x14:conditionalFormatting>
        <x14:conditionalFormatting xmlns:xm="http://schemas.microsoft.com/office/excel/2006/main">
          <x14:cfRule type="expression" priority="835" id="{4E290A0C-194B-423E-8D12-32E9AC3B60A8}">
            <xm:f>'G:\Users\GEC\Documents\LUZ\[Copia de 20200615.xlsx]AUX'!#REF!=TRUE</xm:f>
            <x14:dxf>
              <font>
                <color theme="0"/>
              </font>
              <fill>
                <patternFill>
                  <bgColor theme="0"/>
                </patternFill>
              </fill>
              <border>
                <left/>
                <right/>
                <top/>
                <bottom/>
                <vertical/>
                <horizontal/>
              </border>
            </x14:dxf>
          </x14:cfRule>
          <xm:sqref>B181:I181 B162:K163 B180:J180 D155:K155 H154:K154 E167:K167 K169:K172 J164:K166</xm:sqref>
        </x14:conditionalFormatting>
        <x14:conditionalFormatting xmlns:xm="http://schemas.microsoft.com/office/excel/2006/main">
          <x14:cfRule type="expression" priority="833" id="{0064C476-305B-44A0-B4B4-286AA30F7D0C}">
            <xm:f>OR('G:\Users\GEC\Documents\LUZ\[Copia de 20200615.xlsx]AUX'!#REF!=TRUE,'G:\Users\GEC\Documents\LUZ\[Copia de 20200615.xlsx]AUX'!#REF!=TRUE)</xm:f>
            <x14:dxf>
              <font>
                <color theme="0"/>
              </font>
              <fill>
                <patternFill>
                  <bgColor theme="0"/>
                </patternFill>
              </fill>
              <border>
                <left/>
                <right/>
                <top/>
                <bottom/>
                <vertical/>
                <horizontal/>
              </border>
            </x14:dxf>
          </x14:cfRule>
          <xm:sqref>B149:E149 H154:K154 D155:K155</xm:sqref>
        </x14:conditionalFormatting>
        <x14:conditionalFormatting xmlns:xm="http://schemas.microsoft.com/office/excel/2006/main">
          <x14:cfRule type="expression" priority="832" id="{0074AC19-2857-4B07-8939-E1B13D6556D4}">
            <xm:f>'G:\Users\GEC\Documents\LUZ\[Copia de 20200615.xlsx]AUX'!#REF!=TRUE</xm:f>
            <x14:dxf>
              <font>
                <color theme="0"/>
              </font>
              <fill>
                <patternFill>
                  <bgColor theme="0"/>
                </patternFill>
              </fill>
              <border>
                <left/>
                <right/>
                <top/>
                <bottom/>
                <vertical/>
                <horizontal/>
              </border>
            </x14:dxf>
          </x14:cfRule>
          <xm:sqref>C149:E149</xm:sqref>
        </x14:conditionalFormatting>
        <x14:conditionalFormatting xmlns:xm="http://schemas.microsoft.com/office/excel/2006/main">
          <x14:cfRule type="expression" priority="834" id="{3785502F-91CD-4F3F-80CD-909A577948DE}">
            <xm:f>AND('G:\Users\GEC\Documents\LUZ\[Copia de 20200615.xlsx]DATOS'!#REF!="NO",'G:\Users\GEC\Documents\LUZ\[Copia de 20200615.xlsx]DATOS'!#REF!="NO")</xm:f>
            <x14:dxf>
              <font>
                <color theme="0"/>
              </font>
              <fill>
                <patternFill>
                  <bgColor theme="0"/>
                </patternFill>
              </fill>
              <border>
                <left/>
                <right/>
                <top/>
                <bottom/>
                <vertical/>
                <horizontal/>
              </border>
            </x14:dxf>
          </x14:cfRule>
          <xm:sqref>C149:E149 D155:K155 H154:K154</xm:sqref>
        </x14:conditionalFormatting>
        <x14:conditionalFormatting xmlns:xm="http://schemas.microsoft.com/office/excel/2006/main">
          <x14:cfRule type="expression" priority="831" id="{8469FDC4-D12D-47CD-BE10-86E1A804FDB7}">
            <xm:f>AND('G:\Users\GEC\Documents\LUZ\[Copia de 20200615.xlsx]DATOS'!#REF!="NO",'G:\Users\GEC\Documents\LUZ\[Copia de 20200615.xlsx]DATOS'!#REF!="NO")</xm:f>
            <x14:dxf>
              <font>
                <color theme="0"/>
              </font>
              <fill>
                <patternFill>
                  <bgColor theme="0"/>
                </patternFill>
              </fill>
              <border>
                <left/>
                <right/>
                <top/>
                <bottom/>
                <vertical/>
                <horizontal/>
              </border>
            </x14:dxf>
          </x14:cfRule>
          <xm:sqref>C154:G154 C150:E153</xm:sqref>
        </x14:conditionalFormatting>
        <x14:conditionalFormatting xmlns:xm="http://schemas.microsoft.com/office/excel/2006/main">
          <x14:cfRule type="expression" priority="830" id="{098B8737-EC35-4111-AB3B-45665E2129B2}">
            <xm:f>OR('G:\Users\GEC\Documents\LUZ\[Copia de 20200615.xlsx]AUX'!#REF!=TRUE,'G:\Users\GEC\Documents\LUZ\[Copia de 20200615.xlsx]AUX'!#REF!=TRUE)</xm:f>
            <x14:dxf>
              <font>
                <color theme="0"/>
              </font>
              <fill>
                <patternFill>
                  <bgColor theme="0"/>
                </patternFill>
              </fill>
              <border>
                <left/>
                <right/>
                <top/>
                <bottom/>
                <vertical/>
                <horizontal/>
              </border>
            </x14:dxf>
          </x14:cfRule>
          <xm:sqref>B154:G154 C150:E151 B152:E153</xm:sqref>
        </x14:conditionalFormatting>
        <x14:conditionalFormatting xmlns:xm="http://schemas.microsoft.com/office/excel/2006/main">
          <x14:cfRule type="expression" priority="829" id="{C6058955-0D15-4539-950F-A71CC3A7A99C}">
            <xm:f>'G:\Users\GEC\Documents\LUZ\[Copia de 20200615.xlsx]AUX'!#REF!=TRUE</xm:f>
            <x14:dxf>
              <font>
                <color theme="0"/>
              </font>
              <fill>
                <patternFill>
                  <bgColor theme="0"/>
                </patternFill>
              </fill>
              <border>
                <left/>
                <right/>
                <top/>
                <bottom/>
                <vertical/>
                <horizontal/>
              </border>
            </x14:dxf>
          </x14:cfRule>
          <xm:sqref>C154:G154 C150:E153</xm:sqref>
        </x14:conditionalFormatting>
        <x14:conditionalFormatting xmlns:xm="http://schemas.microsoft.com/office/excel/2006/main">
          <x14:cfRule type="expression" priority="828" id="{FCAB4852-F6AB-4586-AD86-C5DB089C10B1}">
            <xm:f>AND('G:\Users\GEC\Documents\LUZ\[Copia de 20200615.xlsx]DATOS'!#REF!="NO",'G:\Users\GEC\Documents\LUZ\[Copia de 20200615.xlsx]DATOS'!#REF!="NO")</xm:f>
            <x14:dxf>
              <font>
                <color theme="0"/>
              </font>
              <fill>
                <patternFill>
                  <bgColor theme="0"/>
                </patternFill>
              </fill>
              <border>
                <left/>
                <right/>
                <top/>
                <bottom/>
                <vertical/>
                <horizontal/>
              </border>
            </x14:dxf>
          </x14:cfRule>
          <xm:sqref>J166:K166 E167:K167</xm:sqref>
        </x14:conditionalFormatting>
        <x14:conditionalFormatting xmlns:xm="http://schemas.microsoft.com/office/excel/2006/main">
          <x14:cfRule type="expression" priority="827" id="{0C9E14A1-BC8C-484F-B406-BB9F2CF6B6F9}">
            <xm:f>OR('G:\Users\GEC\Documents\LUZ\[Copia de 20200615.xlsx]AUX'!#REF!=TRUE,'G:\Users\GEC\Documents\LUZ\[Copia de 20200615.xlsx]AUX'!#REF!=TRUE)</xm:f>
            <x14:dxf>
              <font>
                <color theme="0"/>
              </font>
              <fill>
                <patternFill>
                  <bgColor theme="0"/>
                </patternFill>
              </fill>
              <border>
                <left/>
                <right/>
                <top/>
                <bottom/>
                <vertical/>
                <horizontal/>
              </border>
            </x14:dxf>
          </x14:cfRule>
          <xm:sqref>J166:K166 E167:K167</xm:sqref>
        </x14:conditionalFormatting>
        <x14:conditionalFormatting xmlns:xm="http://schemas.microsoft.com/office/excel/2006/main">
          <x14:cfRule type="expression" priority="820" id="{D3CADD6C-A0BA-4AE9-BA4D-428618558357}">
            <xm:f>'G:\Users\GEC\Documents\LUZ\[Copia de 20200615.xlsx]AUX'!#REF!=TRUE</xm:f>
            <x14:dxf>
              <font>
                <color theme="0"/>
              </font>
              <fill>
                <patternFill>
                  <bgColor theme="0"/>
                </patternFill>
              </fill>
              <border>
                <left/>
                <right/>
                <top/>
                <bottom/>
                <vertical/>
                <horizontal/>
              </border>
            </x14:dxf>
          </x14:cfRule>
          <xm:sqref>D167</xm:sqref>
        </x14:conditionalFormatting>
        <x14:conditionalFormatting xmlns:xm="http://schemas.microsoft.com/office/excel/2006/main">
          <x14:cfRule type="expression" priority="819" id="{54501C79-817F-433E-AA76-168EFB392CDC}">
            <xm:f>AND('G:\Users\GEC\Documents\LUZ\[Copia de 20200615.xlsx]DATOS'!#REF!="NO",'G:\Users\GEC\Documents\LUZ\[Copia de 20200615.xlsx]DATOS'!#REF!="NO")</xm:f>
            <x14:dxf>
              <font>
                <color theme="0"/>
              </font>
              <fill>
                <patternFill>
                  <bgColor theme="0"/>
                </patternFill>
              </fill>
              <border>
                <left/>
                <right/>
                <top/>
                <bottom/>
                <vertical/>
                <horizontal/>
              </border>
            </x14:dxf>
          </x14:cfRule>
          <xm:sqref>D167</xm:sqref>
        </x14:conditionalFormatting>
        <x14:conditionalFormatting xmlns:xm="http://schemas.microsoft.com/office/excel/2006/main">
          <x14:cfRule type="expression" priority="818" id="{E4DEEA3A-95B9-40C0-BAF0-A717247E0418}">
            <xm:f>OR('G:\Users\GEC\Documents\LUZ\[Copia de 20200615.xlsx]AUX'!#REF!=TRUE,'G:\Users\GEC\Documents\LUZ\[Copia de 20200615.xlsx]AUX'!#REF!=TRUE)</xm:f>
            <x14:dxf>
              <font>
                <color theme="0"/>
              </font>
              <fill>
                <patternFill>
                  <bgColor theme="0"/>
                </patternFill>
              </fill>
              <border>
                <left/>
                <right/>
                <top/>
                <bottom/>
                <vertical/>
                <horizontal/>
              </border>
            </x14:dxf>
          </x14:cfRule>
          <xm:sqref>D167</xm:sqref>
        </x14:conditionalFormatting>
        <x14:conditionalFormatting xmlns:xm="http://schemas.microsoft.com/office/excel/2006/main">
          <x14:cfRule type="expression" priority="817" id="{9FA90C7E-36BA-4A42-BB87-F42BF70DAFEC}">
            <xm:f>AND('G:\Users\GEC\Documents\LUZ\[Copia de 20200615.xlsx]DATOS'!#REF!="NO",'G:\Users\GEC\Documents\LUZ\[Copia de 20200615.xlsx]DATOS'!#REF!="NO")</xm:f>
            <x14:dxf>
              <font>
                <color theme="0"/>
              </font>
              <fill>
                <patternFill>
                  <bgColor theme="0"/>
                </patternFill>
              </fill>
              <border>
                <left/>
                <right/>
                <top/>
                <bottom/>
                <vertical/>
                <horizontal/>
              </border>
            </x14:dxf>
          </x14:cfRule>
          <xm:sqref>B169:C172 J169:J172</xm:sqref>
        </x14:conditionalFormatting>
        <x14:conditionalFormatting xmlns:xm="http://schemas.microsoft.com/office/excel/2006/main">
          <x14:cfRule type="expression" priority="816" id="{5C8059B6-EEAE-4F5E-9044-99DAA471AB44}">
            <xm:f>OR('G:\Users\GEC\Documents\LUZ\[Copia de 20200615.xlsx]AUX'!#REF!=TRUE,'G:\Users\GEC\Documents\LUZ\[Copia de 20200615.xlsx]AUX'!#REF!=TRUE)</xm:f>
            <x14:dxf>
              <font>
                <color theme="0"/>
              </font>
              <fill>
                <patternFill>
                  <bgColor theme="0"/>
                </patternFill>
              </fill>
              <border>
                <left/>
                <right/>
                <top/>
                <bottom/>
                <vertical/>
                <horizontal/>
              </border>
            </x14:dxf>
          </x14:cfRule>
          <xm:sqref>B169:C172 J169:J172</xm:sqref>
        </x14:conditionalFormatting>
        <x14:conditionalFormatting xmlns:xm="http://schemas.microsoft.com/office/excel/2006/main">
          <x14:cfRule type="expression" priority="815" id="{51FD3FCE-54C5-443F-A8D4-2935BB1710B9}">
            <xm:f>'G:\Users\GEC\Documents\LUZ\[Copia de 20200615.xlsx]AUX'!#REF!=TRUE</xm:f>
            <x14:dxf>
              <font>
                <color theme="0"/>
              </font>
              <fill>
                <patternFill>
                  <bgColor theme="0"/>
                </patternFill>
              </fill>
              <border>
                <left/>
                <right/>
                <top/>
                <bottom/>
                <vertical/>
                <horizontal/>
              </border>
            </x14:dxf>
          </x14:cfRule>
          <xm:sqref>B169:C172 J169:J172</xm:sqref>
        </x14:conditionalFormatting>
        <x14:conditionalFormatting xmlns:xm="http://schemas.microsoft.com/office/excel/2006/main">
          <x14:cfRule type="expression" priority="783" id="{49F44C6A-27BE-41C7-AA94-2FEAF454F935}">
            <xm:f>AND('G:\Users\GEC\Documents\LUZ\[Copia de 20200615.xlsx]DATOS'!#REF!="NO",'G:\Users\GEC\Documents\LUZ\[Copia de 20200615.xlsx]DATOS'!#REF!="NO")</xm:f>
            <x14:dxf>
              <font>
                <color theme="0"/>
              </font>
              <fill>
                <patternFill>
                  <bgColor theme="0"/>
                </patternFill>
              </fill>
              <border>
                <left/>
                <right/>
                <top/>
                <bottom/>
                <vertical/>
                <horizontal/>
              </border>
            </x14:dxf>
          </x14:cfRule>
          <xm:sqref>B168:K168</xm:sqref>
        </x14:conditionalFormatting>
        <x14:conditionalFormatting xmlns:xm="http://schemas.microsoft.com/office/excel/2006/main">
          <x14:cfRule type="expression" priority="782" id="{78FE31F8-E0AC-4579-B519-D06824E914A5}">
            <xm:f>OR('G:\Users\GEC\Documents\LUZ\[Copia de 20200615.xlsx]AUX'!#REF!=TRUE,'G:\Users\GEC\Documents\LUZ\[Copia de 20200615.xlsx]AUX'!#REF!=TRUE)</xm:f>
            <x14:dxf>
              <font>
                <color theme="0"/>
              </font>
              <fill>
                <patternFill>
                  <bgColor theme="0"/>
                </patternFill>
              </fill>
              <border>
                <left/>
                <right/>
                <top/>
                <bottom/>
                <vertical/>
                <horizontal/>
              </border>
            </x14:dxf>
          </x14:cfRule>
          <xm:sqref>B168:K168</xm:sqref>
        </x14:conditionalFormatting>
        <x14:conditionalFormatting xmlns:xm="http://schemas.microsoft.com/office/excel/2006/main">
          <x14:cfRule type="expression" priority="781" id="{DCA061B0-4A09-4609-829E-E1BE4071E184}">
            <xm:f>'G:\Users\GEC\Documents\LUZ\[Copia de 20200615.xlsx]AUX'!#REF!=TRUE</xm:f>
            <x14:dxf>
              <font>
                <color theme="0"/>
              </font>
              <fill>
                <patternFill>
                  <bgColor theme="0"/>
                </patternFill>
              </fill>
              <border>
                <left/>
                <right/>
                <top/>
                <bottom/>
                <vertical/>
                <horizontal/>
              </border>
            </x14:dxf>
          </x14:cfRule>
          <xm:sqref>B168:K168</xm:sqref>
        </x14:conditionalFormatting>
        <x14:conditionalFormatting xmlns:xm="http://schemas.microsoft.com/office/excel/2006/main">
          <x14:cfRule type="expression" priority="780" id="{2D9EF689-CA5A-4643-B28B-34C258D4538A}">
            <xm:f>AND('G:\Users\GEC\Documents\LUZ\[Copia de 20200615.xlsx]DATOS'!#REF!="NO",'G:\Users\GEC\Documents\LUZ\[Copia de 20200615.xlsx]DATOS'!#REF!="NO")</xm:f>
            <x14:dxf>
              <font>
                <color theme="0"/>
              </font>
              <fill>
                <patternFill>
                  <bgColor theme="0"/>
                </patternFill>
              </fill>
              <border>
                <left/>
                <right/>
                <top/>
                <bottom/>
                <vertical/>
                <horizontal/>
              </border>
            </x14:dxf>
          </x14:cfRule>
          <xm:sqref>B179:K179</xm:sqref>
        </x14:conditionalFormatting>
        <x14:conditionalFormatting xmlns:xm="http://schemas.microsoft.com/office/excel/2006/main">
          <x14:cfRule type="expression" priority="779" id="{4024AE43-784E-4D1C-8626-68C13423CE10}">
            <xm:f>OR('G:\Users\GEC\Documents\LUZ\[Copia de 20200615.xlsx]AUX'!#REF!=TRUE,'G:\Users\GEC\Documents\LUZ\[Copia de 20200615.xlsx]AUX'!#REF!=TRUE)</xm:f>
            <x14:dxf>
              <font>
                <color theme="0"/>
              </font>
              <fill>
                <patternFill>
                  <bgColor theme="0"/>
                </patternFill>
              </fill>
              <border>
                <left/>
                <right/>
                <top/>
                <bottom/>
                <vertical/>
                <horizontal/>
              </border>
            </x14:dxf>
          </x14:cfRule>
          <xm:sqref>B179:K179</xm:sqref>
        </x14:conditionalFormatting>
        <x14:conditionalFormatting xmlns:xm="http://schemas.microsoft.com/office/excel/2006/main">
          <x14:cfRule type="expression" priority="778" id="{1B2281AB-C858-41CE-B7D4-EA86D7DEBF9D}">
            <xm:f>'G:\Users\GEC\Documents\LUZ\[Copia de 20200615.xlsx]AUX'!#REF!=TRUE</xm:f>
            <x14:dxf>
              <font>
                <color theme="0"/>
              </font>
              <fill>
                <patternFill>
                  <bgColor theme="0"/>
                </patternFill>
              </fill>
              <border>
                <left/>
                <right/>
                <top/>
                <bottom/>
                <vertical/>
                <horizontal/>
              </border>
            </x14:dxf>
          </x14:cfRule>
          <xm:sqref>B179:K179</xm:sqref>
        </x14:conditionalFormatting>
        <x14:conditionalFormatting xmlns:xm="http://schemas.microsoft.com/office/excel/2006/main">
          <x14:cfRule type="expression" priority="772" id="{45B43A02-7A47-4C3F-BDB5-13F04F910A50}">
            <xm:f>OR('G:\Users\GEC\Documents\LUZ\[Copia de 20200615.xlsx]AUX'!#REF!=TRUE,'G:\Users\GEC\Documents\LUZ\[Copia de 20200615.xlsx]AUX'!#REF!=TRUE)</xm:f>
            <x14:dxf>
              <font>
                <color theme="0"/>
              </font>
              <fill>
                <patternFill>
                  <bgColor theme="0"/>
                </patternFill>
              </fill>
              <border>
                <left/>
                <right/>
                <top/>
                <bottom/>
                <vertical/>
                <horizontal/>
              </border>
            </x14:dxf>
          </x14:cfRule>
          <xm:sqref>C155</xm:sqref>
        </x14:conditionalFormatting>
        <x14:conditionalFormatting xmlns:xm="http://schemas.microsoft.com/office/excel/2006/main">
          <x14:cfRule type="expression" priority="771" id="{92455F7A-CC5F-4588-AF35-33692A57CC40}">
            <xm:f>'G:\Users\GEC\Documents\LUZ\[Copia de 20200615.xlsx]DATOS'!#REF!="NO"</xm:f>
            <x14:dxf>
              <border>
                <left/>
                <right/>
                <top/>
                <bottom/>
                <vertical/>
                <horizontal/>
              </border>
            </x14:dxf>
          </x14:cfRule>
          <xm:sqref>D158:I159</xm:sqref>
        </x14:conditionalFormatting>
        <x14:conditionalFormatting xmlns:xm="http://schemas.microsoft.com/office/excel/2006/main">
          <x14:cfRule type="expression" priority="770" id="{43194FB4-4AE9-48D0-A815-14D2F289FECB}">
            <xm:f>OR('G:\Users\GEC\Documents\LUZ\[Copia de 20200615.xlsx]AUX'!#REF!=TRUE,'G:\Users\GEC\Documents\LUZ\[Copia de 20200615.xlsx]AUX'!#REF!=TRUE)</xm:f>
            <x14:dxf>
              <font>
                <color theme="0"/>
              </font>
              <fill>
                <patternFill>
                  <bgColor theme="0"/>
                </patternFill>
              </fill>
              <border>
                <left/>
                <right/>
                <top/>
                <bottom/>
                <vertical/>
                <horizontal/>
              </border>
            </x14:dxf>
          </x14:cfRule>
          <xm:sqref>D157:H157 D158:I159</xm:sqref>
        </x14:conditionalFormatting>
        <x14:conditionalFormatting xmlns:xm="http://schemas.microsoft.com/office/excel/2006/main">
          <x14:cfRule type="expression" priority="769" id="{3E41AED7-B80A-4895-A40B-D3FEB6A988FE}">
            <xm:f>OR('G:\Users\GEC\Documents\LUZ\[Copia de 20200615.xlsx]AUX'!#REF!=TRUE,'G:\Users\GEC\Documents\LUZ\[Copia de 20200615.xlsx]AUX'!#REF!=TRUE)</xm:f>
            <x14:dxf>
              <font>
                <color theme="0"/>
              </font>
              <fill>
                <patternFill>
                  <bgColor theme="0"/>
                </patternFill>
              </fill>
              <border>
                <left/>
                <right/>
                <top/>
                <bottom/>
                <vertical/>
                <horizontal/>
              </border>
            </x14:dxf>
          </x14:cfRule>
          <xm:sqref>I157</xm:sqref>
        </x14:conditionalFormatting>
        <x14:conditionalFormatting xmlns:xm="http://schemas.microsoft.com/office/excel/2006/main">
          <x14:cfRule type="expression" priority="768" id="{E1672D5E-F633-45E6-A592-5FE369309397}">
            <xm:f>'G:\Users\GEC\Documents\LUZ\[Copia de 20200615.xlsx]DATOS'!#REF!="NO"</xm:f>
            <x14:dxf>
              <border>
                <left/>
                <right/>
                <top/>
                <bottom/>
                <vertical/>
                <horizontal/>
              </border>
            </x14:dxf>
          </x14:cfRule>
          <xm:sqref>D160</xm:sqref>
        </x14:conditionalFormatting>
        <x14:conditionalFormatting xmlns:xm="http://schemas.microsoft.com/office/excel/2006/main">
          <x14:cfRule type="expression" priority="767" id="{0467B942-DADC-4982-9DA5-0299F71D7FD5}">
            <xm:f>OR('G:\Users\GEC\Documents\LUZ\[Copia de 20200615.xlsx]AUX'!#REF!=TRUE,'G:\Users\GEC\Documents\LUZ\[Copia de 20200615.xlsx]AUX'!#REF!=TRUE)</xm:f>
            <x14:dxf>
              <font>
                <color theme="0"/>
              </font>
              <fill>
                <patternFill>
                  <bgColor theme="0"/>
                </patternFill>
              </fill>
              <border>
                <left/>
                <right/>
                <top/>
                <bottom/>
                <vertical/>
                <horizontal/>
              </border>
            </x14:dxf>
          </x14:cfRule>
          <xm:sqref>D160</xm:sqref>
        </x14:conditionalFormatting>
        <x14:conditionalFormatting xmlns:xm="http://schemas.microsoft.com/office/excel/2006/main">
          <x14:cfRule type="expression" priority="765" id="{B7A81FA8-1A76-4607-925F-3E5D0BD1F583}">
            <xm:f>'G:\Users\GEC\Documents\LUZ\[Copia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764" id="{22D29BAC-DB47-47B4-A911-DF7DD7B7E604}">
            <xm:f>AND('G:\Users\GEC\Documents\LUZ\[Copia de 20200615.xlsx]DATOS'!#REF!="NO",'G:\Users\GEC\Documents\LUZ\[Copia de 20200615.xlsx]DATOS'!#REF!="NO")</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763" id="{C8CFA2EB-4605-4893-8406-46333D5BF799}">
            <xm:f>OR('G:\Users\GEC\Documents\LUZ\[Copia de 20200615.xlsx]AUX'!#REF!=TRUE,'G:\Users\GEC\Documents\LUZ\[Copia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762" id="{6EA5DF7F-55CB-4588-8FD0-780143FA93C7}">
            <xm:f>OR('G:\Users\GEC\Documents\LUZ\[Copia de 20200615.xlsx]AUX'!#REF!=TRUE,'G:\Users\GEC\Documents\LUZ\[Copia de 20200615.xlsx]AUX'!#REF!=TRUE)</xm:f>
            <x14:dxf>
              <font>
                <color theme="0"/>
              </font>
              <fill>
                <patternFill>
                  <bgColor theme="0"/>
                </patternFill>
              </fill>
              <border>
                <left/>
                <right/>
                <top/>
                <bottom/>
                <vertical/>
                <horizontal/>
              </border>
            </x14:dxf>
          </x14:cfRule>
          <xm:sqref>C156</xm:sqref>
        </x14:conditionalFormatting>
        <x14:conditionalFormatting xmlns:xm="http://schemas.microsoft.com/office/excel/2006/main">
          <x14:cfRule type="expression" priority="727" id="{27B4880F-8CDA-4EB2-BA4F-AE6D62918ABD}">
            <xm:f>AND('G:\Users\GEC\Documents\LUZ\[Copia de 20200615.xlsx]DATOS'!#REF!="NO",'G:\Users\GEC\Documents\LUZ\[Copia de 20200615.xlsx]DATOS'!#REF!="NO")</xm:f>
            <x14:dxf>
              <font>
                <color theme="0"/>
              </font>
              <fill>
                <patternFill>
                  <bgColor theme="0"/>
                </patternFill>
              </fill>
              <border>
                <left/>
                <right/>
                <top/>
                <bottom/>
                <vertical/>
                <horizontal/>
              </border>
            </x14:dxf>
          </x14:cfRule>
          <xm:sqref>K180</xm:sqref>
        </x14:conditionalFormatting>
        <x14:conditionalFormatting xmlns:xm="http://schemas.microsoft.com/office/excel/2006/main">
          <x14:cfRule type="expression" priority="726" id="{F0F375C6-AE68-4E80-A046-D0D2CE063B3A}">
            <xm:f>OR('G:\Users\GEC\Documents\LUZ\[Copia de 20200615.xlsx]AUX'!#REF!=TRUE,'G:\Users\GEC\Documents\LUZ\[Copia de 20200615.xlsx]AUX'!#REF!=TRUE)</xm:f>
            <x14:dxf>
              <font>
                <color theme="0"/>
              </font>
              <fill>
                <patternFill>
                  <bgColor theme="0"/>
                </patternFill>
              </fill>
              <border>
                <left/>
                <right/>
                <top/>
                <bottom/>
                <vertical/>
                <horizontal/>
              </border>
            </x14:dxf>
          </x14:cfRule>
          <xm:sqref>K180</xm:sqref>
        </x14:conditionalFormatting>
        <x14:conditionalFormatting xmlns:xm="http://schemas.microsoft.com/office/excel/2006/main">
          <x14:cfRule type="expression" priority="725" id="{16BF6946-7E6D-420C-AD36-56618D8DD794}">
            <xm:f>'G:\Users\GEC\Documents\LUZ\[Copia de 20200615.xlsx]AUX'!#REF!=TRUE</xm:f>
            <x14:dxf>
              <font>
                <color theme="0"/>
              </font>
              <fill>
                <patternFill>
                  <bgColor theme="0"/>
                </patternFill>
              </fill>
              <border>
                <left/>
                <right/>
                <top/>
                <bottom/>
                <vertical/>
                <horizontal/>
              </border>
            </x14:dxf>
          </x14:cfRule>
          <xm:sqref>K180</xm:sqref>
        </x14:conditionalFormatting>
        <x14:conditionalFormatting xmlns:xm="http://schemas.microsoft.com/office/excel/2006/main">
          <x14:cfRule type="expression" priority="724" id="{B5F7EF97-F896-41A5-8B12-085B7A748735}">
            <xm:f>AND('G:\Users\GEC\Documents\LUZ\[Copia de 20200615.xlsx]DATOS'!#REF!="NO",'G:\Users\GEC\Documents\LUZ\[Copia de 20200615.xlsx]DATOS'!#REF!="NO")</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723" id="{297745D9-2935-4BCB-9317-4D259936550B}">
            <xm:f>OR('G:\Users\GEC\Documents\LUZ\[Copia de 20200615.xlsx]AUX'!#REF!=TRUE,'G:\Users\GEC\Documents\LUZ\[Copia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722" id="{3122E752-8DFA-4F1E-8DED-84D8A5526337}">
            <xm:f>'G:\Users\GEC\Documents\LUZ\[Copia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721" id="{1F89A8BD-BAA0-4585-BDE5-50CCB71882AC}">
            <xm:f>AND('G:\Users\GEC\Documents\LUZ\[Copia de 20200615.xlsx]DATOS'!#REF!="NO",'G:\Users\GEC\Documents\LUZ\[Copia de 20200615.xlsx]DATOS'!#REF!="NO")</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720" id="{E35F4233-A63B-4256-AEB2-FE43D2D84F79}">
            <xm:f>OR('G:\Users\GEC\Documents\LUZ\[Copia de 20200615.xlsx]AUX'!#REF!=TRUE,'G:\Users\GEC\Documents\LUZ\[Copia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719" id="{F232D47B-22D5-48FE-B1A2-DB29857C0D5E}">
            <xm:f>'G:\Users\GEC\Documents\LUZ\[Copia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715" id="{6A9C4229-703A-4CE3-B590-85A2F895248C}">
            <xm:f>AND('G:\Users\GEC\Documents\LUZ\[Copia de 20200615.xlsx]DATOS'!#REF!="NO",'G:\Users\GEC\Documents\LUZ\[Copia de 20200615.xlsx]DATOS'!#REF!="NO")</xm:f>
            <x14:dxf>
              <font>
                <color theme="0"/>
              </font>
              <fill>
                <patternFill>
                  <bgColor theme="0"/>
                </patternFill>
              </fill>
              <border>
                <left/>
                <right/>
                <top/>
                <bottom/>
                <vertical/>
                <horizontal/>
              </border>
            </x14:dxf>
          </x14:cfRule>
          <xm:sqref>J181</xm:sqref>
        </x14:conditionalFormatting>
        <x14:conditionalFormatting xmlns:xm="http://schemas.microsoft.com/office/excel/2006/main">
          <x14:cfRule type="expression" priority="714" id="{CE719250-157B-4462-A0CC-75C317244522}">
            <xm:f>OR('G:\Users\GEC\Documents\LUZ\[Copia de 20200615.xlsx]AUX'!#REF!=TRUE,'G:\Users\GEC\Documents\LUZ\[Copia de 20200615.xlsx]AUX'!#REF!=TRUE)</xm:f>
            <x14:dxf>
              <font>
                <color theme="0"/>
              </font>
              <fill>
                <patternFill>
                  <bgColor theme="0"/>
                </patternFill>
              </fill>
              <border>
                <left/>
                <right/>
                <top/>
                <bottom/>
                <vertical/>
                <horizontal/>
              </border>
            </x14:dxf>
          </x14:cfRule>
          <xm:sqref>J181</xm:sqref>
        </x14:conditionalFormatting>
        <x14:conditionalFormatting xmlns:xm="http://schemas.microsoft.com/office/excel/2006/main">
          <x14:cfRule type="expression" priority="713" id="{58071C9C-1279-4357-B0BA-C767740A0B7D}">
            <xm:f>'G:\Users\GEC\Documents\LUZ\[Copia de 20200615.xlsx]AUX'!#REF!=TRUE</xm:f>
            <x14:dxf>
              <font>
                <color theme="0"/>
              </font>
              <fill>
                <patternFill>
                  <bgColor theme="0"/>
                </patternFill>
              </fill>
              <border>
                <left/>
                <right/>
                <top/>
                <bottom/>
                <vertical/>
                <horizontal/>
              </border>
            </x14:dxf>
          </x14:cfRule>
          <xm:sqref>J181</xm:sqref>
        </x14:conditionalFormatting>
        <x14:conditionalFormatting xmlns:xm="http://schemas.microsoft.com/office/excel/2006/main">
          <x14:cfRule type="expression" priority="693" id="{6509C805-BD44-49C7-A6D7-205F062090C6}">
            <xm:f>OR('G:\Users\GEC\Documents\LUZ\[Copia de 20200615.xlsx]AUX'!#REF!=TRUE,'G:\Users\GEC\Documents\LUZ\[Copia de 20200615.xlsx]AUX'!#REF!=TRUE)</xm:f>
            <x14:dxf>
              <font>
                <color theme="0"/>
              </font>
              <fill>
                <patternFill>
                  <bgColor theme="0"/>
                </patternFill>
              </fill>
              <border>
                <left/>
                <right/>
                <top/>
                <bottom/>
                <vertical/>
                <horizontal/>
              </border>
            </x14:dxf>
          </x14:cfRule>
          <xm:sqref>H149:H150</xm:sqref>
        </x14:conditionalFormatting>
        <x14:conditionalFormatting xmlns:xm="http://schemas.microsoft.com/office/excel/2006/main">
          <x14:cfRule type="expression" priority="692" id="{7F3E50BF-1265-4139-83C5-282AA2C0D382}">
            <xm:f>OR('G:\Users\GEC\Documents\LUZ\[Copia de 20200615.xlsx]AUX'!#REF!=TRUE,'G:\Users\GEC\Documents\LUZ\[Copia de 20200615.xlsx]AUX'!#REF!=TRUE)</xm:f>
            <x14:dxf>
              <font>
                <color theme="0"/>
              </font>
              <fill>
                <patternFill>
                  <bgColor theme="0"/>
                </patternFill>
              </fill>
              <border>
                <left/>
                <right/>
                <top/>
                <bottom/>
                <vertical/>
                <horizontal/>
              </border>
            </x14:dxf>
          </x14:cfRule>
          <xm:sqref>F149</xm:sqref>
        </x14:conditionalFormatting>
        <x14:conditionalFormatting xmlns:xm="http://schemas.microsoft.com/office/excel/2006/main">
          <x14:cfRule type="expression" priority="691" id="{6A3279FE-DC50-45A1-9627-220860B5EAF9}">
            <xm:f>OR('G:\Users\GEC\Documents\LUZ\[Copia de 20200615.xlsx]AUX'!#REF!=TRUE,'G:\Users\GEC\Documents\LUZ\[Copia de 20200615.xlsx]AUX'!#REF!=TRUE)</xm:f>
            <x14:dxf>
              <font>
                <color theme="0"/>
              </font>
              <fill>
                <patternFill>
                  <bgColor theme="0"/>
                </patternFill>
              </fill>
              <border>
                <left/>
                <right/>
                <top/>
                <bottom/>
                <vertical/>
                <horizontal/>
              </border>
            </x14:dxf>
          </x14:cfRule>
          <xm:sqref>F150:F153</xm:sqref>
        </x14:conditionalFormatting>
        <x14:conditionalFormatting xmlns:xm="http://schemas.microsoft.com/office/excel/2006/main">
          <x14:cfRule type="expression" priority="690" id="{2561D727-ABBA-471F-B364-1942A41B276A}">
            <xm:f>OR('G:\Users\GEC\Documents\LUZ\[Copia de 20200615.xlsx]AUX'!#REF!=TRUE,'G:\Users\GEC\Documents\LUZ\[Copia de 20200615.xlsx]AUX'!#REF!=TRUE)</xm:f>
            <x14:dxf>
              <font>
                <color theme="0"/>
              </font>
              <fill>
                <patternFill>
                  <bgColor theme="0"/>
                </patternFill>
              </fill>
              <border>
                <left/>
                <right/>
                <top/>
                <bottom/>
                <vertical/>
                <horizontal/>
              </border>
            </x14:dxf>
          </x14:cfRule>
          <xm:sqref>H153</xm:sqref>
        </x14:conditionalFormatting>
        <x14:conditionalFormatting xmlns:xm="http://schemas.microsoft.com/office/excel/2006/main">
          <x14:cfRule type="expression" priority="689" id="{420CC46C-5326-429D-A40F-D4820F6FEDBD}">
            <xm:f>OR('G:\Users\GEC\Documents\LUZ\[Copia de 20200615.xlsx]AUX'!#REF!=TRUE,'G:\Users\GEC\Documents\LUZ\[Copia de 20200615.xlsx]AUX'!#REF!=TRUE)</xm:f>
            <x14:dxf>
              <font>
                <color theme="0"/>
              </font>
              <fill>
                <patternFill>
                  <bgColor theme="0"/>
                </patternFill>
              </fill>
              <border>
                <left/>
                <right/>
                <top/>
                <bottom/>
                <vertical/>
                <horizontal/>
              </border>
            </x14:dxf>
          </x14:cfRule>
          <xm:sqref>H151</xm:sqref>
        </x14:conditionalFormatting>
        <x14:conditionalFormatting xmlns:xm="http://schemas.microsoft.com/office/excel/2006/main">
          <x14:cfRule type="expression" priority="688" id="{B2970C75-2615-4232-A6C0-4BF3219DCC83}">
            <xm:f>'G:\Users\GEC\Documents\LUZ\[Copia de 20200615.xlsx]DATOS'!#REF!="NO"</xm:f>
            <x14:dxf>
              <font>
                <color theme="0"/>
              </font>
              <fill>
                <patternFill>
                  <bgColor theme="0"/>
                </patternFill>
              </fill>
            </x14:dxf>
          </x14:cfRule>
          <xm:sqref>C173:K173</xm:sqref>
        </x14:conditionalFormatting>
        <x14:conditionalFormatting xmlns:xm="http://schemas.microsoft.com/office/excel/2006/main">
          <x14:cfRule type="expression" priority="687" id="{BE359C74-62FB-4DE1-972D-257E615B1DF2}">
            <xm:f>AND('G:\Users\GEC\Documents\LUZ\[Copia de 20200615.xlsx]DATOS'!#REF!="NO",'G:\Users\GEC\Documents\LUZ\[Copia de 20200615.xlsx]DATOS'!#REF!="NO")</xm:f>
            <x14:dxf>
              <font>
                <color theme="0"/>
              </font>
              <fill>
                <patternFill>
                  <bgColor theme="0"/>
                </patternFill>
              </fill>
              <border>
                <left/>
                <right/>
                <top/>
                <bottom/>
                <vertical/>
                <horizontal/>
              </border>
            </x14:dxf>
          </x14:cfRule>
          <xm:sqref>C176:I176 K175:K176 B177:K177 B173:K174 H175:I175 B175:E175</xm:sqref>
        </x14:conditionalFormatting>
        <x14:conditionalFormatting xmlns:xm="http://schemas.microsoft.com/office/excel/2006/main">
          <x14:cfRule type="expression" priority="686" id="{BA6FA8D5-04EB-4C60-AF68-95FE12201917}">
            <xm:f>OR('G:\Users\GEC\Documents\LUZ\[Copia de 20200615.xlsx]AUX'!#REF!=TRUE,'G:\Users\GEC\Documents\LUZ\[Copia de 20200615.xlsx]AUX'!#REF!=TRUE)</xm:f>
            <x14:dxf>
              <font>
                <color theme="0"/>
              </font>
              <fill>
                <patternFill>
                  <bgColor theme="0"/>
                </patternFill>
              </fill>
              <border>
                <left/>
                <right/>
                <top/>
                <bottom/>
                <vertical/>
                <horizontal/>
              </border>
            </x14:dxf>
          </x14:cfRule>
          <xm:sqref>C176:I176 K175:K176 B177:K177 B173:K174 H175:I175 B175:E175</xm:sqref>
        </x14:conditionalFormatting>
        <x14:conditionalFormatting xmlns:xm="http://schemas.microsoft.com/office/excel/2006/main">
          <x14:cfRule type="expression" priority="685" id="{E87EDC55-2ED8-42ED-8ACC-BA5E81EB1251}">
            <xm:f>'G:\Users\GEC\Documents\LUZ\[Copia de 20200615.xlsx]AUX'!#REF!=TRUE</xm:f>
            <x14:dxf>
              <font>
                <color theme="0"/>
              </font>
              <fill>
                <patternFill>
                  <bgColor theme="0"/>
                </patternFill>
              </fill>
              <border>
                <left/>
                <right/>
                <top/>
                <bottom/>
                <vertical/>
                <horizontal/>
              </border>
            </x14:dxf>
          </x14:cfRule>
          <xm:sqref>C176:I176 K175:K176 B177:K177 B173:K174 H175:I175 B175:E175</xm:sqref>
        </x14:conditionalFormatting>
        <x14:conditionalFormatting xmlns:xm="http://schemas.microsoft.com/office/excel/2006/main">
          <x14:cfRule type="expression" priority="684" id="{8C4EB3CC-45B1-4FF6-B971-D2762A39127E}">
            <xm:f>AND('G:\Users\GEC\Documents\LUZ\[Copia de 20200615.xlsx]DATOS'!#REF!="NO",'G:\Users\GEC\Documents\LUZ\[Copia de 20200615.xlsx]DATOS'!#REF!="NO")</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683" id="{07973DD1-0C91-4BA2-A94B-D70FD1E3C583}">
            <xm:f>OR('G:\Users\GEC\Documents\LUZ\[Copia de 20200615.xlsx]AUX'!#REF!=TRUE,'G:\Users\GEC\Documents\LUZ\[Copia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682" id="{C8436D65-6D39-4B37-A5E2-1062D96E7583}">
            <xm:f>'G:\Users\GEC\Documents\LUZ\[Copia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663" id="{08201E1F-69B7-40AA-BBF0-748603407FA7}">
            <xm:f>AND('G:\Users\GEC\Documents\LUZ\[Copia de 20200615.xlsx]DATOS'!#REF!="NO",'G:\Users\GEC\Documents\LUZ\[Copia de 20200615.xlsx]DATOS'!#REF!="NO")</xm:f>
            <x14:dxf>
              <font>
                <color theme="0"/>
              </font>
              <fill>
                <patternFill>
                  <bgColor theme="0"/>
                </patternFill>
              </fill>
              <border>
                <left/>
                <right/>
                <top/>
                <bottom/>
                <vertical/>
                <horizontal/>
              </border>
            </x14:dxf>
          </x14:cfRule>
          <xm:sqref>K181</xm:sqref>
        </x14:conditionalFormatting>
        <x14:conditionalFormatting xmlns:xm="http://schemas.microsoft.com/office/excel/2006/main">
          <x14:cfRule type="expression" priority="662" id="{CE693C46-18F1-48F7-AEA4-CBA4943FCBC6}">
            <xm:f>OR('G:\Users\GEC\Documents\LUZ\[Copia de 20200615.xlsx]AUX'!#REF!=TRUE,'G:\Users\GEC\Documents\LUZ\[Copia de 20200615.xlsx]AUX'!#REF!=TRUE)</xm:f>
            <x14:dxf>
              <font>
                <color theme="0"/>
              </font>
              <fill>
                <patternFill>
                  <bgColor theme="0"/>
                </patternFill>
              </fill>
              <border>
                <left/>
                <right/>
                <top/>
                <bottom/>
                <vertical/>
                <horizontal/>
              </border>
            </x14:dxf>
          </x14:cfRule>
          <xm:sqref>K181</xm:sqref>
        </x14:conditionalFormatting>
        <x14:conditionalFormatting xmlns:xm="http://schemas.microsoft.com/office/excel/2006/main">
          <x14:cfRule type="expression" priority="661" id="{28EF6F18-CE6F-479F-85BD-513FBAE2D05D}">
            <xm:f>'G:\Users\GEC\Documents\LUZ\[Copia de 20200615.xlsx]AUX'!#REF!=TRUE</xm:f>
            <x14:dxf>
              <font>
                <color theme="0"/>
              </font>
              <fill>
                <patternFill>
                  <bgColor theme="0"/>
                </patternFill>
              </fill>
              <border>
                <left/>
                <right/>
                <top/>
                <bottom/>
                <vertical/>
                <horizontal/>
              </border>
            </x14:dxf>
          </x14:cfRule>
          <xm:sqref>K181</xm:sqref>
        </x14:conditionalFormatting>
        <x14:conditionalFormatting xmlns:xm="http://schemas.microsoft.com/office/excel/2006/main">
          <x14:cfRule type="expression" priority="657" id="{60B21C2A-FC80-410F-8BA1-C73DCE7AB71F}">
            <xm:f>AND('G:\Users\GEC\Documents\LUZ\[Copia de 20200615.xlsx]DATOS'!#REF!="NO",'G:\Users\GEC\Documents\LUZ\[Copia de 20200615.xlsx]DATOS'!#REF!="NO")</xm:f>
            <x14:dxf>
              <font>
                <color theme="0"/>
              </font>
              <fill>
                <patternFill>
                  <bgColor theme="0"/>
                </patternFill>
              </fill>
              <border>
                <left/>
                <right/>
                <top/>
                <bottom/>
                <vertical/>
                <horizontal/>
              </border>
            </x14:dxf>
          </x14:cfRule>
          <xm:sqref>F169:I172</xm:sqref>
        </x14:conditionalFormatting>
        <x14:conditionalFormatting xmlns:xm="http://schemas.microsoft.com/office/excel/2006/main">
          <x14:cfRule type="expression" priority="656" id="{2D73839F-DBFB-4FEA-89E3-40D105DE69DE}">
            <xm:f>OR('G:\Users\GEC\Documents\LUZ\[Copia de 20200615.xlsx]AUX'!#REF!=TRUE,'G:\Users\GEC\Documents\LUZ\[Copia de 20200615.xlsx]AUX'!#REF!=TRUE)</xm:f>
            <x14:dxf>
              <font>
                <color theme="0"/>
              </font>
              <fill>
                <patternFill>
                  <bgColor theme="0"/>
                </patternFill>
              </fill>
              <border>
                <left/>
                <right/>
                <top/>
                <bottom/>
                <vertical/>
                <horizontal/>
              </border>
            </x14:dxf>
          </x14:cfRule>
          <xm:sqref>F169:I172</xm:sqref>
        </x14:conditionalFormatting>
        <x14:conditionalFormatting xmlns:xm="http://schemas.microsoft.com/office/excel/2006/main">
          <x14:cfRule type="expression" priority="655" id="{A2BE0962-191B-4317-9FC1-2631654E861E}">
            <xm:f>'G:\Users\GEC\Documents\LUZ\[Copia de 20200615.xlsx]AUX'!#REF!=TRUE</xm:f>
            <x14:dxf>
              <font>
                <color theme="0"/>
              </font>
              <fill>
                <patternFill>
                  <bgColor theme="0"/>
                </patternFill>
              </fill>
              <border>
                <left/>
                <right/>
                <top/>
                <bottom/>
                <vertical/>
                <horizontal/>
              </border>
            </x14:dxf>
          </x14:cfRule>
          <xm:sqref>F169:I172</xm:sqref>
        </x14:conditionalFormatting>
        <x14:conditionalFormatting xmlns:xm="http://schemas.microsoft.com/office/excel/2006/main">
          <x14:cfRule type="expression" priority="654" id="{30AD796F-EB92-4A2E-BCA8-238B478954D5}">
            <xm:f>AND('G:\Users\GEC\Documents\LUZ\[Copia de 20200615.xlsx]DATOS'!#REF!="NO",'G:\Users\GEC\Documents\LUZ\[Copia de 20200615.xlsx]DATOS'!#REF!="NO")</xm:f>
            <x14:dxf>
              <font>
                <color theme="0"/>
              </font>
              <fill>
                <patternFill>
                  <bgColor theme="0"/>
                </patternFill>
              </fill>
              <border>
                <left/>
                <right/>
                <top/>
                <bottom/>
                <vertical/>
                <horizontal/>
              </border>
            </x14:dxf>
          </x14:cfRule>
          <xm:sqref>E169:E172</xm:sqref>
        </x14:conditionalFormatting>
        <x14:conditionalFormatting xmlns:xm="http://schemas.microsoft.com/office/excel/2006/main">
          <x14:cfRule type="expression" priority="653" id="{71FF6544-4DBC-416D-B079-255B506E68D8}">
            <xm:f>OR('G:\Users\GEC\Documents\LUZ\[Copia de 20200615.xlsx]AUX'!#REF!=TRUE,'G:\Users\GEC\Documents\LUZ\[Copia de 20200615.xlsx]AUX'!#REF!=TRUE)</xm:f>
            <x14:dxf>
              <font>
                <color theme="0"/>
              </font>
              <fill>
                <patternFill>
                  <bgColor theme="0"/>
                </patternFill>
              </fill>
              <border>
                <left/>
                <right/>
                <top/>
                <bottom/>
                <vertical/>
                <horizontal/>
              </border>
            </x14:dxf>
          </x14:cfRule>
          <xm:sqref>E169:E172</xm:sqref>
        </x14:conditionalFormatting>
        <x14:conditionalFormatting xmlns:xm="http://schemas.microsoft.com/office/excel/2006/main">
          <x14:cfRule type="expression" priority="652" id="{3A2A0751-66BB-46F7-B4BA-15130BDFA185}">
            <xm:f>'G:\Users\GEC\Documents\LUZ\[Copia de 20200615.xlsx]AUX'!#REF!=TRUE</xm:f>
            <x14:dxf>
              <font>
                <color theme="0"/>
              </font>
              <fill>
                <patternFill>
                  <bgColor theme="0"/>
                </patternFill>
              </fill>
              <border>
                <left/>
                <right/>
                <top/>
                <bottom/>
                <vertical/>
                <horizontal/>
              </border>
            </x14:dxf>
          </x14:cfRule>
          <xm:sqref>E169:E172</xm:sqref>
        </x14:conditionalFormatting>
        <x14:conditionalFormatting xmlns:xm="http://schemas.microsoft.com/office/excel/2006/main">
          <x14:cfRule type="expression" priority="651" id="{C1DD19B2-3793-4002-ABC5-7EAAACE01D31}">
            <xm:f>AND('G:\Users\GEC\Documents\LUZ\[Copia de 20200615.xlsx]DATOS'!#REF!="NO",'G:\Users\GEC\Documents\LUZ\[Copia de 20200615.xlsx]DATOS'!#REF!="NO")</xm:f>
            <x14:dxf>
              <font>
                <color theme="0"/>
              </font>
              <fill>
                <patternFill>
                  <bgColor theme="0"/>
                </patternFill>
              </fill>
              <border>
                <left/>
                <right/>
                <top/>
                <bottom/>
                <vertical/>
                <horizontal/>
              </border>
            </x14:dxf>
          </x14:cfRule>
          <xm:sqref>D169:D172</xm:sqref>
        </x14:conditionalFormatting>
        <x14:conditionalFormatting xmlns:xm="http://schemas.microsoft.com/office/excel/2006/main">
          <x14:cfRule type="expression" priority="650" id="{DDEA1A81-3598-4193-A995-6075605DFF30}">
            <xm:f>OR('G:\Users\GEC\Documents\LUZ\[Copia de 20200615.xlsx]AUX'!#REF!=TRUE,'G:\Users\GEC\Documents\LUZ\[Copia de 20200615.xlsx]AUX'!#REF!=TRUE)</xm:f>
            <x14:dxf>
              <font>
                <color theme="0"/>
              </font>
              <fill>
                <patternFill>
                  <bgColor theme="0"/>
                </patternFill>
              </fill>
              <border>
                <left/>
                <right/>
                <top/>
                <bottom/>
                <vertical/>
                <horizontal/>
              </border>
            </x14:dxf>
          </x14:cfRule>
          <xm:sqref>D169:D172</xm:sqref>
        </x14:conditionalFormatting>
        <x14:conditionalFormatting xmlns:xm="http://schemas.microsoft.com/office/excel/2006/main">
          <x14:cfRule type="expression" priority="649" id="{F3252099-447A-4DD7-8554-B3AA1CDB515C}">
            <xm:f>'G:\Users\GEC\Documents\LUZ\[Copia de 20200615.xlsx]AUX'!#REF!=TRUE</xm:f>
            <x14:dxf>
              <font>
                <color theme="0"/>
              </font>
              <fill>
                <patternFill>
                  <bgColor theme="0"/>
                </patternFill>
              </fill>
              <border>
                <left/>
                <right/>
                <top/>
                <bottom/>
                <vertical/>
                <horizontal/>
              </border>
            </x14:dxf>
          </x14:cfRule>
          <xm:sqref>D169:D172</xm:sqref>
        </x14:conditionalFormatting>
        <x14:conditionalFormatting xmlns:xm="http://schemas.microsoft.com/office/excel/2006/main">
          <x14:cfRule type="expression" priority="648" id="{D67F43CA-1208-4FD7-AA39-3294682C3EAD}">
            <xm:f>AND('G:\Users\GEC\Documents\LUZ\[Copia de 20200615.xlsx]DATOS'!#REF!="NO",'G:\Users\GEC\Documents\LUZ\[Copia de 20200615.xlsx]DATOS'!#REF!="NO")</xm:f>
            <x14:dxf>
              <font>
                <color theme="0"/>
              </font>
              <fill>
                <patternFill>
                  <bgColor theme="0"/>
                </patternFill>
              </fill>
              <border>
                <left/>
                <right/>
                <top/>
                <bottom/>
                <vertical/>
                <horizontal/>
              </border>
            </x14:dxf>
          </x14:cfRule>
          <xm:sqref>F164:H165</xm:sqref>
        </x14:conditionalFormatting>
        <x14:conditionalFormatting xmlns:xm="http://schemas.microsoft.com/office/excel/2006/main">
          <x14:cfRule type="expression" priority="647" id="{53A19441-52B3-41B7-8ADC-C370B58CE10F}">
            <xm:f>OR('G:\Users\GEC\Documents\LUZ\[Copia de 20200615.xlsx]AUX'!#REF!=TRUE,'G:\Users\GEC\Documents\LUZ\[Copia de 20200615.xlsx]AUX'!#REF!=TRUE)</xm:f>
            <x14:dxf>
              <font>
                <color theme="0"/>
              </font>
              <fill>
                <patternFill>
                  <bgColor theme="0"/>
                </patternFill>
              </fill>
              <border>
                <left/>
                <right/>
                <top/>
                <bottom/>
                <vertical/>
                <horizontal/>
              </border>
            </x14:dxf>
          </x14:cfRule>
          <xm:sqref>F164:H165</xm:sqref>
        </x14:conditionalFormatting>
        <x14:conditionalFormatting xmlns:xm="http://schemas.microsoft.com/office/excel/2006/main">
          <x14:cfRule type="expression" priority="646" id="{F2120776-8DBA-47AF-B0E5-AD810DC8990B}">
            <xm:f>'G:\Users\GEC\Documents\LUZ\[Copia de 20200615.xlsx]AUX'!#REF!=TRUE</xm:f>
            <x14:dxf>
              <font>
                <color theme="0"/>
              </font>
              <fill>
                <patternFill>
                  <bgColor theme="0"/>
                </patternFill>
              </fill>
              <border>
                <left/>
                <right/>
                <top/>
                <bottom/>
                <vertical/>
                <horizontal/>
              </border>
            </x14:dxf>
          </x14:cfRule>
          <xm:sqref>G166:H166 E164:H165</xm:sqref>
        </x14:conditionalFormatting>
        <x14:conditionalFormatting xmlns:xm="http://schemas.microsoft.com/office/excel/2006/main">
          <x14:cfRule type="expression" priority="645" id="{B0DD734C-F3EB-4CCD-95AB-81C12E477A6C}">
            <xm:f>AND('G:\Users\GEC\Documents\LUZ\[Copia de 20200615.xlsx]DATOS'!#REF!="NO",'G:\Users\GEC\Documents\LUZ\[Copia de 20200615.xlsx]DATOS'!#REF!="NO")</xm:f>
            <x14:dxf>
              <font>
                <color theme="0"/>
              </font>
              <fill>
                <patternFill>
                  <bgColor theme="0"/>
                </patternFill>
              </fill>
              <border>
                <left/>
                <right/>
                <top/>
                <bottom/>
                <vertical/>
                <horizontal/>
              </border>
            </x14:dxf>
          </x14:cfRule>
          <xm:sqref>G166:H166</xm:sqref>
        </x14:conditionalFormatting>
        <x14:conditionalFormatting xmlns:xm="http://schemas.microsoft.com/office/excel/2006/main">
          <x14:cfRule type="expression" priority="644" id="{0BA19D9E-390D-4ABB-9775-FA10A07E250A}">
            <xm:f>OR('G:\Users\GEC\Documents\LUZ\[Copia de 20200615.xlsx]AUX'!#REF!=TRUE,'G:\Users\GEC\Documents\LUZ\[Copia de 20200615.xlsx]AUX'!#REF!=TRUE)</xm:f>
            <x14:dxf>
              <font>
                <color theme="0"/>
              </font>
              <fill>
                <patternFill>
                  <bgColor theme="0"/>
                </patternFill>
              </fill>
              <border>
                <left/>
                <right/>
                <top/>
                <bottom/>
                <vertical/>
                <horizontal/>
              </border>
            </x14:dxf>
          </x14:cfRule>
          <xm:sqref>G166:H166</xm:sqref>
        </x14:conditionalFormatting>
        <x14:conditionalFormatting xmlns:xm="http://schemas.microsoft.com/office/excel/2006/main">
          <x14:cfRule type="expression" priority="643" id="{868B9A55-905C-469C-A000-618733A770BA}">
            <xm:f>AND('G:\Users\GEC\Documents\LUZ\[Copia de 20200615.xlsx]DATOS'!#REF!="NO",'G:\Users\GEC\Documents\LUZ\[Copia de 20200615.xlsx]DATOS'!#REF!="NO")</xm:f>
            <x14:dxf>
              <font>
                <color theme="0"/>
              </font>
              <fill>
                <patternFill>
                  <bgColor theme="0"/>
                </patternFill>
              </fill>
              <border>
                <left/>
                <right/>
                <top/>
                <bottom/>
                <vertical/>
                <horizontal/>
              </border>
            </x14:dxf>
          </x14:cfRule>
          <xm:sqref>E166:F166</xm:sqref>
        </x14:conditionalFormatting>
        <x14:conditionalFormatting xmlns:xm="http://schemas.microsoft.com/office/excel/2006/main">
          <x14:cfRule type="expression" priority="642" id="{6A14999D-6D20-40A5-94E8-FA7CF7EE4D36}">
            <xm:f>OR('G:\Users\GEC\Documents\LUZ\[Copia de 20200615.xlsx]AUX'!#REF!=TRUE,'G:\Users\GEC\Documents\LUZ\[Copia de 20200615.xlsx]AUX'!#REF!=TRUE)</xm:f>
            <x14:dxf>
              <font>
                <color theme="0"/>
              </font>
              <fill>
                <patternFill>
                  <bgColor theme="0"/>
                </patternFill>
              </fill>
              <border>
                <left/>
                <right/>
                <top/>
                <bottom/>
                <vertical/>
                <horizontal/>
              </border>
            </x14:dxf>
          </x14:cfRule>
          <xm:sqref>E166:F166</xm:sqref>
        </x14:conditionalFormatting>
        <x14:conditionalFormatting xmlns:xm="http://schemas.microsoft.com/office/excel/2006/main">
          <x14:cfRule type="expression" priority="641" id="{E981F216-8479-4AED-8044-B8C4A82B7A9B}">
            <xm:f>'G:\Users\GEC\Documents\LUZ\[Copia de 20200615.xlsx]AUX'!#REF!=TRUE</xm:f>
            <x14:dxf>
              <font>
                <color theme="0"/>
              </font>
              <fill>
                <patternFill>
                  <bgColor theme="0"/>
                </patternFill>
              </fill>
              <border>
                <left/>
                <right/>
                <top/>
                <bottom/>
                <vertical/>
                <horizontal/>
              </border>
            </x14:dxf>
          </x14:cfRule>
          <xm:sqref>E166:F166</xm:sqref>
        </x14:conditionalFormatting>
        <x14:conditionalFormatting xmlns:xm="http://schemas.microsoft.com/office/excel/2006/main">
          <x14:cfRule type="expression" priority="640" id="{B10B7D9D-77CE-4882-9DA4-2C4B078F3808}">
            <xm:f>AND('G:\Users\GEC\Documents\LUZ\[Copia de 20200615.xlsx]DATOS'!#REF!="NO",'G:\Users\GEC\Documents\LUZ\[Copia de 20200615.xlsx]DATOS'!#REF!="NO")</xm:f>
            <x14:dxf>
              <font>
                <color theme="0"/>
              </font>
              <fill>
                <patternFill>
                  <bgColor theme="0"/>
                </patternFill>
              </fill>
              <border>
                <left/>
                <right/>
                <top/>
                <bottom/>
                <vertical/>
                <horizontal/>
              </border>
            </x14:dxf>
          </x14:cfRule>
          <xm:sqref>E164:E165</xm:sqref>
        </x14:conditionalFormatting>
        <x14:conditionalFormatting xmlns:xm="http://schemas.microsoft.com/office/excel/2006/main">
          <x14:cfRule type="expression" priority="639" id="{1CFD0C7A-FB5E-4BD0-88FF-081352F7F8A2}">
            <xm:f>OR('G:\Users\GEC\Documents\LUZ\[Copia de 20200615.xlsx]AUX'!#REF!=TRUE,'G:\Users\GEC\Documents\LUZ\[Copia de 20200615.xlsx]AUX'!#REF!=TRUE)</xm:f>
            <x14:dxf>
              <font>
                <color theme="0"/>
              </font>
              <fill>
                <patternFill>
                  <bgColor theme="0"/>
                </patternFill>
              </fill>
              <border>
                <left/>
                <right/>
                <top/>
                <bottom/>
                <vertical/>
                <horizontal/>
              </border>
            </x14:dxf>
          </x14:cfRule>
          <xm:sqref>E164:E165</xm:sqref>
        </x14:conditionalFormatting>
        <x14:conditionalFormatting xmlns:xm="http://schemas.microsoft.com/office/excel/2006/main">
          <x14:cfRule type="expression" priority="636" id="{4A8CEABC-7748-4900-AA86-A3794ADD8F32}">
            <xm:f>'G:\Users\GEC\Documents\LUZ\[Copia de 20200615.xlsx]AUX'!#REF!=TRUE</xm:f>
            <x14:dxf>
              <font>
                <color theme="0"/>
              </font>
              <fill>
                <patternFill>
                  <bgColor theme="0"/>
                </patternFill>
              </fill>
              <border>
                <left/>
                <right/>
                <top/>
                <bottom/>
                <vertical/>
                <horizontal/>
              </border>
            </x14:dxf>
          </x14:cfRule>
          <xm:sqref>D166</xm:sqref>
        </x14:conditionalFormatting>
        <x14:conditionalFormatting xmlns:xm="http://schemas.microsoft.com/office/excel/2006/main">
          <x14:cfRule type="expression" priority="638" id="{9C7B0A05-DB20-4AE8-BDC8-5FB6C54E0BA4}">
            <xm:f>AND('G:\Users\GEC\Documents\LUZ\[Copia de 20200615.xlsx]DATOS'!#REF!="NO",'G:\Users\GEC\Documents\LUZ\[Copia de 20200615.xlsx]DATOS'!#REF!="NO")</xm:f>
            <x14:dxf>
              <font>
                <color theme="0"/>
              </font>
              <fill>
                <patternFill>
                  <bgColor theme="0"/>
                </patternFill>
              </fill>
              <border>
                <left/>
                <right/>
                <top/>
                <bottom/>
                <vertical/>
                <horizontal/>
              </border>
            </x14:dxf>
          </x14:cfRule>
          <xm:sqref>D166</xm:sqref>
        </x14:conditionalFormatting>
        <x14:conditionalFormatting xmlns:xm="http://schemas.microsoft.com/office/excel/2006/main">
          <x14:cfRule type="expression" priority="637" id="{1C8DA682-7ABD-44CB-AC45-A6C8500AEFEA}">
            <xm:f>OR('G:\Users\GEC\Documents\LUZ\[Copia de 20200615.xlsx]AUX'!#REF!=TRUE,'G:\Users\GEC\Documents\LUZ\[Copia de 20200615.xlsx]AUX'!#REF!=TRUE)</xm:f>
            <x14:dxf>
              <font>
                <color theme="0"/>
              </font>
              <fill>
                <patternFill>
                  <bgColor theme="0"/>
                </patternFill>
              </fill>
              <border>
                <left/>
                <right/>
                <top/>
                <bottom/>
                <vertical/>
                <horizontal/>
              </border>
            </x14:dxf>
          </x14:cfRule>
          <xm:sqref>D166</xm:sqref>
        </x14:conditionalFormatting>
        <x14:conditionalFormatting xmlns:xm="http://schemas.microsoft.com/office/excel/2006/main">
          <x14:cfRule type="expression" priority="635" id="{6D620828-E4E6-4BFB-9E16-9DD745222FCE}">
            <xm:f>AND('G:\Users\GEC\Documents\LUZ\[Copia de 20200615.xlsx]DATOS'!#REF!="NO",'G:\Users\GEC\Documents\LUZ\[Copia de 20200615.xlsx]DATOS'!#REF!="NO")</xm:f>
            <x14:dxf>
              <font>
                <color theme="0"/>
              </font>
              <fill>
                <patternFill>
                  <bgColor theme="0"/>
                </patternFill>
              </fill>
              <border>
                <left/>
                <right/>
                <top/>
                <bottom/>
                <vertical/>
                <horizontal/>
              </border>
            </x14:dxf>
          </x14:cfRule>
          <xm:sqref>D164:D165</xm:sqref>
        </x14:conditionalFormatting>
        <x14:conditionalFormatting xmlns:xm="http://schemas.microsoft.com/office/excel/2006/main">
          <x14:cfRule type="expression" priority="634" id="{59039AEC-C637-4EAD-A70B-601CA5887949}">
            <xm:f>OR('G:\Users\GEC\Documents\LUZ\[Copia de 20200615.xlsx]AUX'!#REF!=TRUE,'G:\Users\GEC\Documents\LUZ\[Copia de 20200615.xlsx]AUX'!#REF!=TRUE)</xm:f>
            <x14:dxf>
              <font>
                <color theme="0"/>
              </font>
              <fill>
                <patternFill>
                  <bgColor theme="0"/>
                </patternFill>
              </fill>
              <border>
                <left/>
                <right/>
                <top/>
                <bottom/>
                <vertical/>
                <horizontal/>
              </border>
            </x14:dxf>
          </x14:cfRule>
          <xm:sqref>D164:D165</xm:sqref>
        </x14:conditionalFormatting>
        <x14:conditionalFormatting xmlns:xm="http://schemas.microsoft.com/office/excel/2006/main">
          <x14:cfRule type="expression" priority="633" id="{DC37DA48-0337-49BC-9550-E1FC4F731A28}">
            <xm:f>'G:\Users\GEC\Documents\LUZ\[Copia de 20200615.xlsx]AUX'!#REF!=TRUE</xm:f>
            <x14:dxf>
              <font>
                <color theme="0"/>
              </font>
              <fill>
                <patternFill>
                  <bgColor theme="0"/>
                </patternFill>
              </fill>
              <border>
                <left/>
                <right/>
                <top/>
                <bottom/>
                <vertical/>
                <horizontal/>
              </border>
            </x14:dxf>
          </x14:cfRule>
          <xm:sqref>D164:D165</xm:sqref>
        </x14:conditionalFormatting>
        <x14:conditionalFormatting xmlns:xm="http://schemas.microsoft.com/office/excel/2006/main">
          <x14:cfRule type="expression" priority="632" id="{0D1F4848-7062-4F23-8A0F-D12E042EE9D0}">
            <xm:f>AND('G:\Users\GEC\Documents\LUZ\[Copia de 20200615.xlsx]DATOS'!#REF!="NO",'G:\Users\GEC\Documents\LUZ\[Copia de 20200615.xlsx]DATOS'!#REF!="NO")</xm:f>
            <x14:dxf>
              <font>
                <color theme="0"/>
              </font>
              <fill>
                <patternFill>
                  <bgColor theme="0"/>
                </patternFill>
              </fill>
              <border>
                <left/>
                <right/>
                <top/>
                <bottom/>
                <vertical/>
                <horizontal/>
              </border>
            </x14:dxf>
          </x14:cfRule>
          <xm:sqref>I164:I166</xm:sqref>
        </x14:conditionalFormatting>
        <x14:conditionalFormatting xmlns:xm="http://schemas.microsoft.com/office/excel/2006/main">
          <x14:cfRule type="expression" priority="631" id="{51BD1B9E-C10A-48EC-AA65-D30FC543F3F7}">
            <xm:f>OR('G:\Users\GEC\Documents\LUZ\[Copia de 20200615.xlsx]AUX'!#REF!=TRUE,'G:\Users\GEC\Documents\LUZ\[Copia de 20200615.xlsx]AUX'!#REF!=TRUE)</xm:f>
            <x14:dxf>
              <font>
                <color theme="0"/>
              </font>
              <fill>
                <patternFill>
                  <bgColor theme="0"/>
                </patternFill>
              </fill>
              <border>
                <left/>
                <right/>
                <top/>
                <bottom/>
                <vertical/>
                <horizontal/>
              </border>
            </x14:dxf>
          </x14:cfRule>
          <xm:sqref>I164:I166</xm:sqref>
        </x14:conditionalFormatting>
        <x14:conditionalFormatting xmlns:xm="http://schemas.microsoft.com/office/excel/2006/main">
          <x14:cfRule type="expression" priority="630" id="{E2094E6E-209E-4DB6-BA43-2521E3623F38}">
            <xm:f>'G:\Users\GEC\Documents\LUZ\[Copia de 20200615.xlsx]AUX'!#REF!=TRUE</xm:f>
            <x14:dxf>
              <font>
                <color theme="0"/>
              </font>
              <fill>
                <patternFill>
                  <bgColor theme="0"/>
                </patternFill>
              </fill>
              <border>
                <left/>
                <right/>
                <top/>
                <bottom/>
                <vertical/>
                <horizontal/>
              </border>
            </x14:dxf>
          </x14:cfRule>
          <xm:sqref>I164:I166</xm:sqref>
        </x14:conditionalFormatting>
        <x14:conditionalFormatting xmlns:xm="http://schemas.microsoft.com/office/excel/2006/main">
          <x14:cfRule type="expression" priority="541" id="{D9D3A01A-1C4B-4D6A-9976-0A4889444178}">
            <xm:f>AND('G:\Users\GEC\Documents\LUZ\[Copia de 20200615.xlsx]DATOS'!#REF!="NO",'G:\Users\GEC\Documents\LUZ\[Copia de 20200615.xlsx]DATOS'!#REF!="NO")</xm:f>
            <x14:dxf>
              <font>
                <color theme="0"/>
              </font>
              <fill>
                <patternFill>
                  <bgColor theme="0"/>
                </patternFill>
              </fill>
              <border>
                <left/>
                <right/>
                <top/>
                <bottom/>
                <vertical/>
                <horizontal/>
              </border>
            </x14:dxf>
          </x14:cfRule>
          <xm:sqref>C201:C202</xm:sqref>
        </x14:conditionalFormatting>
        <x14:conditionalFormatting xmlns:xm="http://schemas.microsoft.com/office/excel/2006/main">
          <x14:cfRule type="expression" priority="540" id="{3D602E3E-6D12-4498-AC3E-80DB6F833B70}">
            <xm:f>OR('G:\Users\GEC\Documents\LUZ\[Copia de 20200615.xlsx]AUX'!#REF!=TRUE,'G:\Users\GEC\Documents\LUZ\[Copia de 20200615.xlsx]AUX'!#REF!=TRUE)</xm:f>
            <x14:dxf>
              <font>
                <color theme="0"/>
              </font>
              <fill>
                <patternFill>
                  <bgColor theme="0"/>
                </patternFill>
              </fill>
              <border>
                <left/>
                <right/>
                <top/>
                <bottom/>
                <vertical/>
                <horizontal/>
              </border>
            </x14:dxf>
          </x14:cfRule>
          <xm:sqref>C201:C202</xm:sqref>
        </x14:conditionalFormatting>
        <x14:conditionalFormatting xmlns:xm="http://schemas.microsoft.com/office/excel/2006/main">
          <x14:cfRule type="expression" priority="539" id="{5A30DC0F-3BBE-49B9-8ECA-49F57897DC39}">
            <xm:f>'G:\Users\GEC\Documents\LUZ\[Copia de 20200615.xlsx]AUX'!#REF!=TRUE</xm:f>
            <x14:dxf>
              <font>
                <color theme="0"/>
              </font>
              <fill>
                <patternFill>
                  <bgColor theme="0"/>
                </patternFill>
              </fill>
              <border>
                <left/>
                <right/>
                <top/>
                <bottom/>
                <vertical/>
                <horizontal/>
              </border>
            </x14:dxf>
          </x14:cfRule>
          <xm:sqref>B204:C204 C201:C203</xm:sqref>
        </x14:conditionalFormatting>
        <x14:conditionalFormatting xmlns:xm="http://schemas.microsoft.com/office/excel/2006/main">
          <x14:cfRule type="expression" priority="538" id="{9A28A8AF-A180-4B2E-B2D2-C111CEF4AAAE}">
            <xm:f>AND('G:\Users\GEC\Documents\LUZ\[Copia de 20200615.xlsx]DATOS'!#REF!="NO",'G:\Users\GEC\Documents\LUZ\[Copia de 20200615.xlsx]DATOS'!#REF!="NO")</xm:f>
            <x14:dxf>
              <font>
                <color theme="0"/>
              </font>
              <fill>
                <patternFill>
                  <bgColor theme="0"/>
                </patternFill>
              </fill>
              <border>
                <left/>
                <right/>
                <top/>
                <bottom/>
                <vertical/>
                <horizontal/>
              </border>
            </x14:dxf>
          </x14:cfRule>
          <xm:sqref>B204:C204 C203</xm:sqref>
        </x14:conditionalFormatting>
        <x14:conditionalFormatting xmlns:xm="http://schemas.microsoft.com/office/excel/2006/main">
          <x14:cfRule type="expression" priority="537" id="{2A2D627D-4340-4D8F-8D3A-31C4A0B80D70}">
            <xm:f>OR('G:\Users\GEC\Documents\LUZ\[Copia de 20200615.xlsx]AUX'!#REF!=TRUE,'G:\Users\GEC\Documents\LUZ\[Copia de 20200615.xlsx]AUX'!#REF!=TRUE)</xm:f>
            <x14:dxf>
              <font>
                <color theme="0"/>
              </font>
              <fill>
                <patternFill>
                  <bgColor theme="0"/>
                </patternFill>
              </fill>
              <border>
                <left/>
                <right/>
                <top/>
                <bottom/>
                <vertical/>
                <horizontal/>
              </border>
            </x14:dxf>
          </x14:cfRule>
          <xm:sqref>B204:C204 C203</xm:sqref>
        </x14:conditionalFormatting>
        <x14:conditionalFormatting xmlns:xm="http://schemas.microsoft.com/office/excel/2006/main">
          <x14:cfRule type="expression" priority="534" id="{5AB18806-3B89-48D2-89A1-78C2FB97727C}">
            <xm:f>OR('G:\Users\GEC\Documents\LUZ\[Copia de 20200615.xlsx]AUX'!#REF!=TRUE,'G:\Users\GEC\Documents\LUZ\[Copia de 20200615.xlsx]AUX'!#REF!=TRUE)</xm:f>
            <x14:dxf>
              <font>
                <color theme="0"/>
              </font>
              <fill>
                <patternFill>
                  <bgColor theme="0"/>
                </patternFill>
              </fill>
              <border>
                <left/>
                <right/>
                <top/>
                <bottom/>
                <vertical/>
                <horizontal/>
              </border>
            </x14:dxf>
          </x14:cfRule>
          <xm:sqref>K193 B194:C196 B192</xm:sqref>
        </x14:conditionalFormatting>
        <x14:conditionalFormatting xmlns:xm="http://schemas.microsoft.com/office/excel/2006/main">
          <x14:cfRule type="expression" priority="530" id="{998AA9AD-EAD6-4F99-834E-B55E393A9814}">
            <xm:f>AND('G:\Users\GEC\Documents\LUZ\[Copia de 20200615.xlsx]DATOS'!#REF!="NO",'G:\Users\GEC\Documents\LUZ\[Copia de 20200615.xlsx]DATOS'!#REF!="NO")</xm:f>
            <x14:dxf>
              <font>
                <color theme="0"/>
              </font>
              <fill>
                <patternFill>
                  <bgColor theme="0"/>
                </patternFill>
              </fill>
              <border>
                <left/>
                <right/>
                <top/>
                <bottom/>
                <vertical/>
                <horizontal/>
              </border>
            </x14:dxf>
          </x14:cfRule>
          <xm:sqref>B217:I217 B199:K200 B216:J216 K206:K208 J201:K202</xm:sqref>
        </x14:conditionalFormatting>
        <x14:conditionalFormatting xmlns:xm="http://schemas.microsoft.com/office/excel/2006/main">
          <x14:cfRule type="expression" priority="529" id="{30C4F560-CFF1-44D8-8E36-5A703FCF797E}">
            <xm:f>OR('G:\Users\GEC\Documents\LUZ\[Copia de 20200615.xlsx]AUX'!#REF!=TRUE,'G:\Users\GEC\Documents\LUZ\[Copia de 20200615.xlsx]AUX'!#REF!=TRUE)</xm:f>
            <x14:dxf>
              <font>
                <color theme="0"/>
              </font>
              <fill>
                <patternFill>
                  <bgColor theme="0"/>
                </patternFill>
              </fill>
              <border>
                <left/>
                <right/>
                <top/>
                <bottom/>
                <vertical/>
                <horizontal/>
              </border>
            </x14:dxf>
          </x14:cfRule>
          <xm:sqref>B217:I217 B216:J216 B199:K200 K206:K208 J201:K202</xm:sqref>
        </x14:conditionalFormatting>
        <x14:conditionalFormatting xmlns:xm="http://schemas.microsoft.com/office/excel/2006/main">
          <x14:cfRule type="expression" priority="528" id="{E02E8C2C-41C8-44B7-9840-14664F4B79D1}">
            <xm:f>'G:\Users\GEC\Documents\LUZ\[Copia de 20200615.xlsx]AUX'!#REF!=TRUE</xm:f>
            <x14:dxf>
              <font>
                <color theme="0"/>
              </font>
              <fill>
                <patternFill>
                  <bgColor theme="0"/>
                </patternFill>
              </fill>
              <border>
                <left/>
                <right/>
                <top/>
                <bottom/>
                <vertical/>
                <horizontal/>
              </border>
            </x14:dxf>
          </x14:cfRule>
          <xm:sqref>B217:I217 B199:K200 B216:J216 D192:K192 H191:K191 E204:K204 K206:K208 J201:K203</xm:sqref>
        </x14:conditionalFormatting>
        <x14:conditionalFormatting xmlns:xm="http://schemas.microsoft.com/office/excel/2006/main">
          <x14:cfRule type="expression" priority="526" id="{2CA702CD-BF93-4336-8B7C-0A911D4DF439}">
            <xm:f>OR('G:\Users\GEC\Documents\LUZ\[Copia de 20200615.xlsx]AUX'!#REF!=TRUE,'G:\Users\GEC\Documents\LUZ\[Copia de 20200615.xlsx]AUX'!#REF!=TRUE)</xm:f>
            <x14:dxf>
              <font>
                <color theme="0"/>
              </font>
              <fill>
                <patternFill>
                  <bgColor theme="0"/>
                </patternFill>
              </fill>
              <border>
                <left/>
                <right/>
                <top/>
                <bottom/>
                <vertical/>
                <horizontal/>
              </border>
            </x14:dxf>
          </x14:cfRule>
          <xm:sqref>B186:E186 H191:K191 D192:K192</xm:sqref>
        </x14:conditionalFormatting>
        <x14:conditionalFormatting xmlns:xm="http://schemas.microsoft.com/office/excel/2006/main">
          <x14:cfRule type="expression" priority="525" id="{15C2C04D-988C-44AC-B5BE-75B58DBEC98E}">
            <xm:f>'G:\Users\GEC\Documents\LUZ\[Copia de 20200615.xlsx]AUX'!#REF!=TRUE</xm:f>
            <x14:dxf>
              <font>
                <color theme="0"/>
              </font>
              <fill>
                <patternFill>
                  <bgColor theme="0"/>
                </patternFill>
              </fill>
              <border>
                <left/>
                <right/>
                <top/>
                <bottom/>
                <vertical/>
                <horizontal/>
              </border>
            </x14:dxf>
          </x14:cfRule>
          <xm:sqref>C186:E186</xm:sqref>
        </x14:conditionalFormatting>
        <x14:conditionalFormatting xmlns:xm="http://schemas.microsoft.com/office/excel/2006/main">
          <x14:cfRule type="expression" priority="527" id="{F98F28F6-1462-422A-A9C0-76E29E4349C3}">
            <xm:f>AND('G:\Users\GEC\Documents\LUZ\[Copia de 20200615.xlsx]DATOS'!#REF!="NO",'G:\Users\GEC\Documents\LUZ\[Copia de 20200615.xlsx]DATOS'!#REF!="NO")</xm:f>
            <x14:dxf>
              <font>
                <color theme="0"/>
              </font>
              <fill>
                <patternFill>
                  <bgColor theme="0"/>
                </patternFill>
              </fill>
              <border>
                <left/>
                <right/>
                <top/>
                <bottom/>
                <vertical/>
                <horizontal/>
              </border>
            </x14:dxf>
          </x14:cfRule>
          <xm:sqref>C186:E186 D192:K192 H191:K191</xm:sqref>
        </x14:conditionalFormatting>
        <x14:conditionalFormatting xmlns:xm="http://schemas.microsoft.com/office/excel/2006/main">
          <x14:cfRule type="expression" priority="524" id="{9DE593EE-2963-4CC4-ABE6-263837EE7215}">
            <xm:f>AND('G:\Users\GEC\Documents\LUZ\[Copia de 20200615.xlsx]DATOS'!#REF!="NO",'G:\Users\GEC\Documents\LUZ\[Copia de 20200615.xlsx]DATOS'!#REF!="NO")</xm:f>
            <x14:dxf>
              <font>
                <color theme="0"/>
              </font>
              <fill>
                <patternFill>
                  <bgColor theme="0"/>
                </patternFill>
              </fill>
              <border>
                <left/>
                <right/>
                <top/>
                <bottom/>
                <vertical/>
                <horizontal/>
              </border>
            </x14:dxf>
          </x14:cfRule>
          <xm:sqref>C191:G191 C187:E190</xm:sqref>
        </x14:conditionalFormatting>
        <x14:conditionalFormatting xmlns:xm="http://schemas.microsoft.com/office/excel/2006/main">
          <x14:cfRule type="expression" priority="523" id="{A15271BC-DC85-4DE3-82BA-1CC8DC958E45}">
            <xm:f>OR('G:\Users\GEC\Documents\LUZ\[Copia de 20200615.xlsx]AUX'!#REF!=TRUE,'G:\Users\GEC\Documents\LUZ\[Copia de 20200615.xlsx]AUX'!#REF!=TRUE)</xm:f>
            <x14:dxf>
              <font>
                <color theme="0"/>
              </font>
              <fill>
                <patternFill>
                  <bgColor theme="0"/>
                </patternFill>
              </fill>
              <border>
                <left/>
                <right/>
                <top/>
                <bottom/>
                <vertical/>
                <horizontal/>
              </border>
            </x14:dxf>
          </x14:cfRule>
          <xm:sqref>B191:G191 C187:E188 B189:E190</xm:sqref>
        </x14:conditionalFormatting>
        <x14:conditionalFormatting xmlns:xm="http://schemas.microsoft.com/office/excel/2006/main">
          <x14:cfRule type="expression" priority="522" id="{B050B9CB-B9B6-40D4-BFA8-6818A1B436AD}">
            <xm:f>'G:\Users\GEC\Documents\LUZ\[Copia de 20200615.xlsx]AUX'!#REF!=TRUE</xm:f>
            <x14:dxf>
              <font>
                <color theme="0"/>
              </font>
              <fill>
                <patternFill>
                  <bgColor theme="0"/>
                </patternFill>
              </fill>
              <border>
                <left/>
                <right/>
                <top/>
                <bottom/>
                <vertical/>
                <horizontal/>
              </border>
            </x14:dxf>
          </x14:cfRule>
          <xm:sqref>C191:G191 C187:E190</xm:sqref>
        </x14:conditionalFormatting>
        <x14:conditionalFormatting xmlns:xm="http://schemas.microsoft.com/office/excel/2006/main">
          <x14:cfRule type="expression" priority="521" id="{E2B32A3A-DF2D-4307-91C5-BB94BB876B03}">
            <xm:f>AND('G:\Users\GEC\Documents\LUZ\[Copia de 20200615.xlsx]DATOS'!#REF!="NO",'G:\Users\GEC\Documents\LUZ\[Copia de 20200615.xlsx]DATOS'!#REF!="NO")</xm:f>
            <x14:dxf>
              <font>
                <color theme="0"/>
              </font>
              <fill>
                <patternFill>
                  <bgColor theme="0"/>
                </patternFill>
              </fill>
              <border>
                <left/>
                <right/>
                <top/>
                <bottom/>
                <vertical/>
                <horizontal/>
              </border>
            </x14:dxf>
          </x14:cfRule>
          <xm:sqref>J203:K203 E204:K204</xm:sqref>
        </x14:conditionalFormatting>
        <x14:conditionalFormatting xmlns:xm="http://schemas.microsoft.com/office/excel/2006/main">
          <x14:cfRule type="expression" priority="520" id="{77AB8452-FE4B-4EA7-9CC0-A9FAB6E1C87F}">
            <xm:f>OR('G:\Users\GEC\Documents\LUZ\[Copia de 20200615.xlsx]AUX'!#REF!=TRUE,'G:\Users\GEC\Documents\LUZ\[Copia de 20200615.xlsx]AUX'!#REF!=TRUE)</xm:f>
            <x14:dxf>
              <font>
                <color theme="0"/>
              </font>
              <fill>
                <patternFill>
                  <bgColor theme="0"/>
                </patternFill>
              </fill>
              <border>
                <left/>
                <right/>
                <top/>
                <bottom/>
                <vertical/>
                <horizontal/>
              </border>
            </x14:dxf>
          </x14:cfRule>
          <xm:sqref>J203:K203 E204:K204</xm:sqref>
        </x14:conditionalFormatting>
        <x14:conditionalFormatting xmlns:xm="http://schemas.microsoft.com/office/excel/2006/main">
          <x14:cfRule type="expression" priority="519" id="{D9C9AC5E-8B91-4B37-8343-71A568878943}">
            <xm:f>'G:\Users\GEC\Documents\LUZ\[Copia de 20200615.xlsx]AUX'!#REF!=TRUE</xm:f>
            <x14:dxf>
              <font>
                <color theme="0"/>
              </font>
              <fill>
                <patternFill>
                  <bgColor theme="0"/>
                </patternFill>
              </fill>
              <border>
                <left/>
                <right/>
                <top/>
                <bottom/>
                <vertical/>
                <horizontal/>
              </border>
            </x14:dxf>
          </x14:cfRule>
          <xm:sqref>D204</xm:sqref>
        </x14:conditionalFormatting>
        <x14:conditionalFormatting xmlns:xm="http://schemas.microsoft.com/office/excel/2006/main">
          <x14:cfRule type="expression" priority="518" id="{B5DD8D01-132E-4E62-A5AE-2C885E97E72C}">
            <xm:f>AND('G:\Users\GEC\Documents\LUZ\[Copia de 20200615.xlsx]DATOS'!#REF!="NO",'G:\Users\GEC\Documents\LUZ\[Copia de 20200615.xlsx]DATOS'!#REF!="NO")</xm:f>
            <x14:dxf>
              <font>
                <color theme="0"/>
              </font>
              <fill>
                <patternFill>
                  <bgColor theme="0"/>
                </patternFill>
              </fill>
              <border>
                <left/>
                <right/>
                <top/>
                <bottom/>
                <vertical/>
                <horizontal/>
              </border>
            </x14:dxf>
          </x14:cfRule>
          <xm:sqref>D204</xm:sqref>
        </x14:conditionalFormatting>
        <x14:conditionalFormatting xmlns:xm="http://schemas.microsoft.com/office/excel/2006/main">
          <x14:cfRule type="expression" priority="517" id="{8BB9DEC0-F2F0-4FD8-BF84-8318BE6DC467}">
            <xm:f>OR('G:\Users\GEC\Documents\LUZ\[Copia de 20200615.xlsx]AUX'!#REF!=TRUE,'G:\Users\GEC\Documents\LUZ\[Copia de 20200615.xlsx]AUX'!#REF!=TRUE)</xm:f>
            <x14:dxf>
              <font>
                <color theme="0"/>
              </font>
              <fill>
                <patternFill>
                  <bgColor theme="0"/>
                </patternFill>
              </fill>
              <border>
                <left/>
                <right/>
                <top/>
                <bottom/>
                <vertical/>
                <horizontal/>
              </border>
            </x14:dxf>
          </x14:cfRule>
          <xm:sqref>D204</xm:sqref>
        </x14:conditionalFormatting>
        <x14:conditionalFormatting xmlns:xm="http://schemas.microsoft.com/office/excel/2006/main">
          <x14:cfRule type="expression" priority="516" id="{B2D3F20F-76A7-451D-976F-3D2964D5BB6D}">
            <xm:f>AND('G:\Users\GEC\Documents\LUZ\[Copia de 20200615.xlsx]DATOS'!#REF!="NO",'G:\Users\GEC\Documents\LUZ\[Copia de 20200615.xlsx]DATOS'!#REF!="NO")</xm:f>
            <x14:dxf>
              <font>
                <color theme="0"/>
              </font>
              <fill>
                <patternFill>
                  <bgColor theme="0"/>
                </patternFill>
              </fill>
              <border>
                <left/>
                <right/>
                <top/>
                <bottom/>
                <vertical/>
                <horizontal/>
              </border>
            </x14:dxf>
          </x14:cfRule>
          <xm:sqref>B206:C208 J206:J208</xm:sqref>
        </x14:conditionalFormatting>
        <x14:conditionalFormatting xmlns:xm="http://schemas.microsoft.com/office/excel/2006/main">
          <x14:cfRule type="expression" priority="515" id="{E0E61C98-D017-4A99-9A69-CB9122677BD9}">
            <xm:f>OR('G:\Users\GEC\Documents\LUZ\[Copia de 20200615.xlsx]AUX'!#REF!=TRUE,'G:\Users\GEC\Documents\LUZ\[Copia de 20200615.xlsx]AUX'!#REF!=TRUE)</xm:f>
            <x14:dxf>
              <font>
                <color theme="0"/>
              </font>
              <fill>
                <patternFill>
                  <bgColor theme="0"/>
                </patternFill>
              </fill>
              <border>
                <left/>
                <right/>
                <top/>
                <bottom/>
                <vertical/>
                <horizontal/>
              </border>
            </x14:dxf>
          </x14:cfRule>
          <xm:sqref>B206:C208 J206:J208</xm:sqref>
        </x14:conditionalFormatting>
        <x14:conditionalFormatting xmlns:xm="http://schemas.microsoft.com/office/excel/2006/main">
          <x14:cfRule type="expression" priority="514" id="{3A6C8AE3-ED74-4294-A7A2-BEE165A506A9}">
            <xm:f>'G:\Users\GEC\Documents\LUZ\[Copia de 20200615.xlsx]AUX'!#REF!=TRUE</xm:f>
            <x14:dxf>
              <font>
                <color theme="0"/>
              </font>
              <fill>
                <patternFill>
                  <bgColor theme="0"/>
                </patternFill>
              </fill>
              <border>
                <left/>
                <right/>
                <top/>
                <bottom/>
                <vertical/>
                <horizontal/>
              </border>
            </x14:dxf>
          </x14:cfRule>
          <xm:sqref>B206:C208 J206:J208</xm:sqref>
        </x14:conditionalFormatting>
        <x14:conditionalFormatting xmlns:xm="http://schemas.microsoft.com/office/excel/2006/main">
          <x14:cfRule type="expression" priority="513" id="{2A0EA6EC-42E3-4D39-B677-291B6D05F7BB}">
            <xm:f>AND('G:\Users\GEC\Documents\LUZ\[Copia de 20200615.xlsx]DATOS'!#REF!="NO",'G:\Users\GEC\Documents\LUZ\[Copia de 20200615.xlsx]DATOS'!#REF!="NO")</xm:f>
            <x14:dxf>
              <font>
                <color theme="0"/>
              </font>
              <fill>
                <patternFill>
                  <bgColor theme="0"/>
                </patternFill>
              </fill>
              <border>
                <left/>
                <right/>
                <top/>
                <bottom/>
                <vertical/>
                <horizontal/>
              </border>
            </x14:dxf>
          </x14:cfRule>
          <xm:sqref>B205:K205</xm:sqref>
        </x14:conditionalFormatting>
        <x14:conditionalFormatting xmlns:xm="http://schemas.microsoft.com/office/excel/2006/main">
          <x14:cfRule type="expression" priority="512" id="{0500B4B1-CB21-429E-B8DB-D7E67BF7F28B}">
            <xm:f>OR('G:\Users\GEC\Documents\LUZ\[Copia de 20200615.xlsx]AUX'!#REF!=TRUE,'G:\Users\GEC\Documents\LUZ\[Copia de 20200615.xlsx]AUX'!#REF!=TRUE)</xm:f>
            <x14:dxf>
              <font>
                <color theme="0"/>
              </font>
              <fill>
                <patternFill>
                  <bgColor theme="0"/>
                </patternFill>
              </fill>
              <border>
                <left/>
                <right/>
                <top/>
                <bottom/>
                <vertical/>
                <horizontal/>
              </border>
            </x14:dxf>
          </x14:cfRule>
          <xm:sqref>B205:K205</xm:sqref>
        </x14:conditionalFormatting>
        <x14:conditionalFormatting xmlns:xm="http://schemas.microsoft.com/office/excel/2006/main">
          <x14:cfRule type="expression" priority="511" id="{F7B0EA84-7DEB-4ACD-9982-9B448BFF263E}">
            <xm:f>'G:\Users\GEC\Documents\LUZ\[Copia de 20200615.xlsx]AUX'!#REF!=TRUE</xm:f>
            <x14:dxf>
              <font>
                <color theme="0"/>
              </font>
              <fill>
                <patternFill>
                  <bgColor theme="0"/>
                </patternFill>
              </fill>
              <border>
                <left/>
                <right/>
                <top/>
                <bottom/>
                <vertical/>
                <horizontal/>
              </border>
            </x14:dxf>
          </x14:cfRule>
          <xm:sqref>B205:K205</xm:sqref>
        </x14:conditionalFormatting>
        <x14:conditionalFormatting xmlns:xm="http://schemas.microsoft.com/office/excel/2006/main">
          <x14:cfRule type="expression" priority="510" id="{F6B7F923-796D-4D51-B1B3-8271FAF3625E}">
            <xm:f>AND('G:\Users\GEC\Documents\LUZ\[Copia de 20200615.xlsx]DATOS'!#REF!="NO",'G:\Users\GEC\Documents\LUZ\[Copia de 20200615.xlsx]DATOS'!#REF!="NO")</xm:f>
            <x14:dxf>
              <font>
                <color theme="0"/>
              </font>
              <fill>
                <patternFill>
                  <bgColor theme="0"/>
                </patternFill>
              </fill>
              <border>
                <left/>
                <right/>
                <top/>
                <bottom/>
                <vertical/>
                <horizontal/>
              </border>
            </x14:dxf>
          </x14:cfRule>
          <xm:sqref>B215:K215</xm:sqref>
        </x14:conditionalFormatting>
        <x14:conditionalFormatting xmlns:xm="http://schemas.microsoft.com/office/excel/2006/main">
          <x14:cfRule type="expression" priority="509" id="{173CB10F-5F79-4409-80CC-FD225B219F1F}">
            <xm:f>OR('G:\Users\GEC\Documents\LUZ\[Copia de 20200615.xlsx]AUX'!#REF!=TRUE,'G:\Users\GEC\Documents\LUZ\[Copia de 20200615.xlsx]AUX'!#REF!=TRUE)</xm:f>
            <x14:dxf>
              <font>
                <color theme="0"/>
              </font>
              <fill>
                <patternFill>
                  <bgColor theme="0"/>
                </patternFill>
              </fill>
              <border>
                <left/>
                <right/>
                <top/>
                <bottom/>
                <vertical/>
                <horizontal/>
              </border>
            </x14:dxf>
          </x14:cfRule>
          <xm:sqref>B215:K215</xm:sqref>
        </x14:conditionalFormatting>
        <x14:conditionalFormatting xmlns:xm="http://schemas.microsoft.com/office/excel/2006/main">
          <x14:cfRule type="expression" priority="508" id="{747958D4-43BC-4EC1-B2EC-4B3C08117C1B}">
            <xm:f>'G:\Users\GEC\Documents\LUZ\[Copia de 20200615.xlsx]AUX'!#REF!=TRUE</xm:f>
            <x14:dxf>
              <font>
                <color theme="0"/>
              </font>
              <fill>
                <patternFill>
                  <bgColor theme="0"/>
                </patternFill>
              </fill>
              <border>
                <left/>
                <right/>
                <top/>
                <bottom/>
                <vertical/>
                <horizontal/>
              </border>
            </x14:dxf>
          </x14:cfRule>
          <xm:sqref>B215:K215</xm:sqref>
        </x14:conditionalFormatting>
        <x14:conditionalFormatting xmlns:xm="http://schemas.microsoft.com/office/excel/2006/main">
          <x14:cfRule type="expression" priority="507" id="{42C73704-DA29-49EE-8162-14BFBA171694}">
            <xm:f>OR('G:\Users\GEC\Documents\LUZ\[Copia de 20200615.xlsx]AUX'!#REF!=TRUE,'G:\Users\GEC\Documents\LUZ\[Copia de 20200615.xlsx]AUX'!#REF!=TRUE)</xm:f>
            <x14:dxf>
              <font>
                <color theme="0"/>
              </font>
              <fill>
                <patternFill>
                  <bgColor theme="0"/>
                </patternFill>
              </fill>
              <border>
                <left/>
                <right/>
                <top/>
                <bottom/>
                <vertical/>
                <horizontal/>
              </border>
            </x14:dxf>
          </x14:cfRule>
          <xm:sqref>C192</xm:sqref>
        </x14:conditionalFormatting>
        <x14:conditionalFormatting xmlns:xm="http://schemas.microsoft.com/office/excel/2006/main">
          <x14:cfRule type="expression" priority="506" id="{C10399A4-5517-412A-A6AC-D882E9D30E94}">
            <xm:f>'G:\Users\GEC\Documents\LUZ\[Copia de 20200615.xlsx]DATOS'!#REF!="NO"</xm:f>
            <x14:dxf>
              <border>
                <left/>
                <right/>
                <top/>
                <bottom/>
                <vertical/>
                <horizontal/>
              </border>
            </x14:dxf>
          </x14:cfRule>
          <xm:sqref>D195:I196</xm:sqref>
        </x14:conditionalFormatting>
        <x14:conditionalFormatting xmlns:xm="http://schemas.microsoft.com/office/excel/2006/main">
          <x14:cfRule type="expression" priority="505" id="{6ED43962-6DE5-4AA7-A702-DAAD3AACCF73}">
            <xm:f>OR('G:\Users\GEC\Documents\LUZ\[Copia de 20200615.xlsx]AUX'!#REF!=TRUE,'G:\Users\GEC\Documents\LUZ\[Copia de 20200615.xlsx]AUX'!#REF!=TRUE)</xm:f>
            <x14:dxf>
              <font>
                <color theme="0"/>
              </font>
              <fill>
                <patternFill>
                  <bgColor theme="0"/>
                </patternFill>
              </fill>
              <border>
                <left/>
                <right/>
                <top/>
                <bottom/>
                <vertical/>
                <horizontal/>
              </border>
            </x14:dxf>
          </x14:cfRule>
          <xm:sqref>D194:H194 D195:I196</xm:sqref>
        </x14:conditionalFormatting>
        <x14:conditionalFormatting xmlns:xm="http://schemas.microsoft.com/office/excel/2006/main">
          <x14:cfRule type="expression" priority="504" id="{FB33D070-4DC5-4D72-978A-7D7A2654C032}">
            <xm:f>OR('G:\Users\GEC\Documents\LUZ\[Copia de 20200615.xlsx]AUX'!#REF!=TRUE,'G:\Users\GEC\Documents\LUZ\[Copia de 20200615.xlsx]AUX'!#REF!=TRUE)</xm:f>
            <x14:dxf>
              <font>
                <color theme="0"/>
              </font>
              <fill>
                <patternFill>
                  <bgColor theme="0"/>
                </patternFill>
              </fill>
              <border>
                <left/>
                <right/>
                <top/>
                <bottom/>
                <vertical/>
                <horizontal/>
              </border>
            </x14:dxf>
          </x14:cfRule>
          <xm:sqref>I194</xm:sqref>
        </x14:conditionalFormatting>
        <x14:conditionalFormatting xmlns:xm="http://schemas.microsoft.com/office/excel/2006/main">
          <x14:cfRule type="expression" priority="500" id="{BA835D24-1FA8-4982-AD26-92AF05C9EF8D}">
            <xm:f>OR('G:\Users\GEC\Documents\LUZ\[Copia de 20200615.xlsx]AUX'!#REF!=TRUE,'G:\Users\GEC\Documents\LUZ\[Copia de 20200615.xlsx]AUX'!#REF!=TRUE)</xm:f>
            <x14:dxf>
              <font>
                <color theme="0"/>
              </font>
              <fill>
                <patternFill>
                  <bgColor theme="0"/>
                </patternFill>
              </fill>
              <border>
                <left/>
                <right/>
                <top/>
                <bottom/>
                <vertical/>
                <horizontal/>
              </border>
            </x14:dxf>
          </x14:cfRule>
          <xm:sqref>C193</xm:sqref>
        </x14:conditionalFormatting>
        <x14:conditionalFormatting xmlns:xm="http://schemas.microsoft.com/office/excel/2006/main">
          <x14:cfRule type="expression" priority="499" id="{9EC0A074-B949-4228-8F1C-D689D6986FA1}">
            <xm:f>AND('G:\Users\GEC\Documents\LUZ\[Copia de 20200615.xlsx]DATOS'!#REF!="NO",'G:\Users\GEC\Documents\LUZ\[Copia de 20200615.xlsx]DATOS'!#REF!="NO")</xm:f>
            <x14:dxf>
              <font>
                <color theme="0"/>
              </font>
              <fill>
                <patternFill>
                  <bgColor theme="0"/>
                </patternFill>
              </fill>
              <border>
                <left/>
                <right/>
                <top/>
                <bottom/>
                <vertical/>
                <horizontal/>
              </border>
            </x14:dxf>
          </x14:cfRule>
          <xm:sqref>K216</xm:sqref>
        </x14:conditionalFormatting>
        <x14:conditionalFormatting xmlns:xm="http://schemas.microsoft.com/office/excel/2006/main">
          <x14:cfRule type="expression" priority="498" id="{C772906F-A57D-4E4E-840A-61409F32044D}">
            <xm:f>OR('G:\Users\GEC\Documents\LUZ\[Copia de 20200615.xlsx]AUX'!#REF!=TRUE,'G:\Users\GEC\Documents\LUZ\[Copia de 20200615.xlsx]AUX'!#REF!=TRUE)</xm:f>
            <x14:dxf>
              <font>
                <color theme="0"/>
              </font>
              <fill>
                <patternFill>
                  <bgColor theme="0"/>
                </patternFill>
              </fill>
              <border>
                <left/>
                <right/>
                <top/>
                <bottom/>
                <vertical/>
                <horizontal/>
              </border>
            </x14:dxf>
          </x14:cfRule>
          <xm:sqref>K216</xm:sqref>
        </x14:conditionalFormatting>
        <x14:conditionalFormatting xmlns:xm="http://schemas.microsoft.com/office/excel/2006/main">
          <x14:cfRule type="expression" priority="497" id="{64DA7B2F-C02B-4FC6-B84E-D4B1EF318EA6}">
            <xm:f>'G:\Users\GEC\Documents\LUZ\[Copia de 20200615.xlsx]AUX'!#REF!=TRUE</xm:f>
            <x14:dxf>
              <font>
                <color theme="0"/>
              </font>
              <fill>
                <patternFill>
                  <bgColor theme="0"/>
                </patternFill>
              </fill>
              <border>
                <left/>
                <right/>
                <top/>
                <bottom/>
                <vertical/>
                <horizontal/>
              </border>
            </x14:dxf>
          </x14:cfRule>
          <xm:sqref>K216</xm:sqref>
        </x14:conditionalFormatting>
        <x14:conditionalFormatting xmlns:xm="http://schemas.microsoft.com/office/excel/2006/main">
          <x14:cfRule type="expression" priority="496" id="{3627F43A-7C5B-408D-9260-B1EB4755D158}">
            <xm:f>AND('G:\Users\GEC\Documents\LUZ\[Copia de 20200615.xlsx]DATOS'!#REF!="NO",'G:\Users\GEC\Documents\LUZ\[Copia de 20200615.xlsx]DATOS'!#REF!="NO")</xm:f>
            <x14:dxf>
              <font>
                <color theme="0"/>
              </font>
              <fill>
                <patternFill>
                  <bgColor theme="0"/>
                </patternFill>
              </fill>
              <border>
                <left/>
                <right/>
                <top/>
                <bottom/>
                <vertical/>
                <horizontal/>
              </border>
            </x14:dxf>
          </x14:cfRule>
          <xm:sqref>J217</xm:sqref>
        </x14:conditionalFormatting>
        <x14:conditionalFormatting xmlns:xm="http://schemas.microsoft.com/office/excel/2006/main">
          <x14:cfRule type="expression" priority="495" id="{2CDCA303-18ED-4F9B-9D7A-B223E7187CA4}">
            <xm:f>OR('G:\Users\GEC\Documents\LUZ\[Copia de 20200615.xlsx]AUX'!#REF!=TRUE,'G:\Users\GEC\Documents\LUZ\[Copia de 20200615.xlsx]AUX'!#REF!=TRUE)</xm:f>
            <x14:dxf>
              <font>
                <color theme="0"/>
              </font>
              <fill>
                <patternFill>
                  <bgColor theme="0"/>
                </patternFill>
              </fill>
              <border>
                <left/>
                <right/>
                <top/>
                <bottom/>
                <vertical/>
                <horizontal/>
              </border>
            </x14:dxf>
          </x14:cfRule>
          <xm:sqref>J217</xm:sqref>
        </x14:conditionalFormatting>
        <x14:conditionalFormatting xmlns:xm="http://schemas.microsoft.com/office/excel/2006/main">
          <x14:cfRule type="expression" priority="494" id="{9FDFF79C-A274-40C7-BBF9-33E23FD52CB0}">
            <xm:f>'G:\Users\GEC\Documents\LUZ\[Copia de 20200615.xlsx]AUX'!#REF!=TRUE</xm:f>
            <x14:dxf>
              <font>
                <color theme="0"/>
              </font>
              <fill>
                <patternFill>
                  <bgColor theme="0"/>
                </patternFill>
              </fill>
              <border>
                <left/>
                <right/>
                <top/>
                <bottom/>
                <vertical/>
                <horizontal/>
              </border>
            </x14:dxf>
          </x14:cfRule>
          <xm:sqref>J217</xm:sqref>
        </x14:conditionalFormatting>
        <x14:conditionalFormatting xmlns:xm="http://schemas.microsoft.com/office/excel/2006/main">
          <x14:cfRule type="expression" priority="493" id="{F6C0A37C-CEE3-4D63-A7CA-DD7BDB320408}">
            <xm:f>OR('G:\Users\GEC\Documents\LUZ\[Copia de 20200615.xlsx]AUX'!#REF!=TRUE,'G:\Users\GEC\Documents\LUZ\[Copia de 20200615.xlsx]AUX'!#REF!=TRUE)</xm:f>
            <x14:dxf>
              <font>
                <color theme="0"/>
              </font>
              <fill>
                <patternFill>
                  <bgColor theme="0"/>
                </patternFill>
              </fill>
              <border>
                <left/>
                <right/>
                <top/>
                <bottom/>
                <vertical/>
                <horizontal/>
              </border>
            </x14:dxf>
          </x14:cfRule>
          <xm:sqref>H186:H187</xm:sqref>
        </x14:conditionalFormatting>
        <x14:conditionalFormatting xmlns:xm="http://schemas.microsoft.com/office/excel/2006/main">
          <x14:cfRule type="expression" priority="492" id="{AD4B9895-5A35-4401-8921-A2B7D8B2651D}">
            <xm:f>OR('G:\Users\GEC\Documents\LUZ\[Copia de 20200615.xlsx]AUX'!#REF!=TRUE,'G:\Users\GEC\Documents\LUZ\[Copia de 20200615.xlsx]AUX'!#REF!=TRUE)</xm:f>
            <x14:dxf>
              <font>
                <color theme="0"/>
              </font>
              <fill>
                <patternFill>
                  <bgColor theme="0"/>
                </patternFill>
              </fill>
              <border>
                <left/>
                <right/>
                <top/>
                <bottom/>
                <vertical/>
                <horizontal/>
              </border>
            </x14:dxf>
          </x14:cfRule>
          <xm:sqref>F186</xm:sqref>
        </x14:conditionalFormatting>
        <x14:conditionalFormatting xmlns:xm="http://schemas.microsoft.com/office/excel/2006/main">
          <x14:cfRule type="expression" priority="491" id="{ADFF7892-63EB-457D-A56D-4FDE536FF771}">
            <xm:f>OR('G:\Users\GEC\Documents\LUZ\[Copia de 20200615.xlsx]AUX'!#REF!=TRUE,'G:\Users\GEC\Documents\LUZ\[Copia de 20200615.xlsx]AUX'!#REF!=TRUE)</xm:f>
            <x14:dxf>
              <font>
                <color theme="0"/>
              </font>
              <fill>
                <patternFill>
                  <bgColor theme="0"/>
                </patternFill>
              </fill>
              <border>
                <left/>
                <right/>
                <top/>
                <bottom/>
                <vertical/>
                <horizontal/>
              </border>
            </x14:dxf>
          </x14:cfRule>
          <xm:sqref>F187:F190</xm:sqref>
        </x14:conditionalFormatting>
        <x14:conditionalFormatting xmlns:xm="http://schemas.microsoft.com/office/excel/2006/main">
          <x14:cfRule type="expression" priority="490" id="{D43ED2B0-0DF9-41E7-B92B-1CE60EA7BDB9}">
            <xm:f>OR('G:\Users\GEC\Documents\LUZ\[Copia de 20200615.xlsx]AUX'!#REF!=TRUE,'G:\Users\GEC\Documents\LUZ\[Copia de 20200615.xlsx]AUX'!#REF!=TRUE)</xm:f>
            <x14:dxf>
              <font>
                <color theme="0"/>
              </font>
              <fill>
                <patternFill>
                  <bgColor theme="0"/>
                </patternFill>
              </fill>
              <border>
                <left/>
                <right/>
                <top/>
                <bottom/>
                <vertical/>
                <horizontal/>
              </border>
            </x14:dxf>
          </x14:cfRule>
          <xm:sqref>H190</xm:sqref>
        </x14:conditionalFormatting>
        <x14:conditionalFormatting xmlns:xm="http://schemas.microsoft.com/office/excel/2006/main">
          <x14:cfRule type="expression" priority="489" id="{81240537-D5B6-4AAC-874D-F956330F715C}">
            <xm:f>OR('G:\Users\GEC\Documents\LUZ\[Copia de 20200615.xlsx]AUX'!#REF!=TRUE,'G:\Users\GEC\Documents\LUZ\[Copia de 20200615.xlsx]AUX'!#REF!=TRUE)</xm:f>
            <x14:dxf>
              <font>
                <color theme="0"/>
              </font>
              <fill>
                <patternFill>
                  <bgColor theme="0"/>
                </patternFill>
              </fill>
              <border>
                <left/>
                <right/>
                <top/>
                <bottom/>
                <vertical/>
                <horizontal/>
              </border>
            </x14:dxf>
          </x14:cfRule>
          <xm:sqref>H188</xm:sqref>
        </x14:conditionalFormatting>
        <x14:conditionalFormatting xmlns:xm="http://schemas.microsoft.com/office/excel/2006/main">
          <x14:cfRule type="expression" priority="488" id="{A47875B1-A181-4C98-B585-AA8C475BB855}">
            <xm:f>'G:\Users\GEC\Documents\LUZ\[Copia de 20200615.xlsx]DATOS'!#REF!="NO"</xm:f>
            <x14:dxf>
              <font>
                <color theme="0"/>
              </font>
              <fill>
                <patternFill>
                  <bgColor theme="0"/>
                </patternFill>
              </fill>
            </x14:dxf>
          </x14:cfRule>
          <xm:sqref>C209:K209</xm:sqref>
        </x14:conditionalFormatting>
        <x14:conditionalFormatting xmlns:xm="http://schemas.microsoft.com/office/excel/2006/main">
          <x14:cfRule type="expression" priority="487" id="{252459D1-ABE5-4CE8-8798-DDDE0D377E9D}">
            <xm:f>AND('G:\Users\GEC\Documents\LUZ\[Copia de 20200615.xlsx]DATOS'!#REF!="NO",'G:\Users\GEC\Documents\LUZ\[Copia de 20200615.xlsx]DATOS'!#REF!="NO")</xm:f>
            <x14:dxf>
              <font>
                <color theme="0"/>
              </font>
              <fill>
                <patternFill>
                  <bgColor theme="0"/>
                </patternFill>
              </fill>
              <border>
                <left/>
                <right/>
                <top/>
                <bottom/>
                <vertical/>
                <horizontal/>
              </border>
            </x14:dxf>
          </x14:cfRule>
          <xm:sqref>C212:I212 K212 B213:K213 B209:K210 H211:I211 B211:E211</xm:sqref>
        </x14:conditionalFormatting>
        <x14:conditionalFormatting xmlns:xm="http://schemas.microsoft.com/office/excel/2006/main">
          <x14:cfRule type="expression" priority="486" id="{884D34E6-B88D-44BA-B78D-6B8FE4B9B2F8}">
            <xm:f>OR('G:\Users\GEC\Documents\LUZ\[Copia de 20200615.xlsx]AUX'!#REF!=TRUE,'G:\Users\GEC\Documents\LUZ\[Copia de 20200615.xlsx]AUX'!#REF!=TRUE)</xm:f>
            <x14:dxf>
              <font>
                <color theme="0"/>
              </font>
              <fill>
                <patternFill>
                  <bgColor theme="0"/>
                </patternFill>
              </fill>
              <border>
                <left/>
                <right/>
                <top/>
                <bottom/>
                <vertical/>
                <horizontal/>
              </border>
            </x14:dxf>
          </x14:cfRule>
          <xm:sqref>C212:I212 K212 B213:K213 B209:K210 H211:I211 B211:E211</xm:sqref>
        </x14:conditionalFormatting>
        <x14:conditionalFormatting xmlns:xm="http://schemas.microsoft.com/office/excel/2006/main">
          <x14:cfRule type="expression" priority="485" id="{C6C34235-2556-42D0-89F7-CFFCD2D9424A}">
            <xm:f>'G:\Users\GEC\Documents\LUZ\[Copia de 20200615.xlsx]AUX'!#REF!=TRUE</xm:f>
            <x14:dxf>
              <font>
                <color theme="0"/>
              </font>
              <fill>
                <patternFill>
                  <bgColor theme="0"/>
                </patternFill>
              </fill>
              <border>
                <left/>
                <right/>
                <top/>
                <bottom/>
                <vertical/>
                <horizontal/>
              </border>
            </x14:dxf>
          </x14:cfRule>
          <xm:sqref>C212:I212 K212 B213:K213 B209:K210 H211:I211 B211:E211</xm:sqref>
        </x14:conditionalFormatting>
        <x14:conditionalFormatting xmlns:xm="http://schemas.microsoft.com/office/excel/2006/main">
          <x14:cfRule type="expression" priority="484" id="{03660ABE-BB2A-4CCD-BC24-91318CD6CE60}">
            <xm:f>AND('G:\Users\GEC\Documents\LUZ\[Copia de 20200615.xlsx]DATOS'!#REF!="NO",'G:\Users\GEC\Documents\LUZ\[Copia de 20200615.xlsx]DATOS'!#REF!="NO")</xm:f>
            <x14:dxf>
              <font>
                <color theme="0"/>
              </font>
              <fill>
                <patternFill>
                  <bgColor theme="0"/>
                </patternFill>
              </fill>
              <border>
                <left/>
                <right/>
                <top/>
                <bottom/>
                <vertical/>
                <horizontal/>
              </border>
            </x14:dxf>
          </x14:cfRule>
          <xm:sqref>K217</xm:sqref>
        </x14:conditionalFormatting>
        <x14:conditionalFormatting xmlns:xm="http://schemas.microsoft.com/office/excel/2006/main">
          <x14:cfRule type="expression" priority="483" id="{E33B7584-D1E4-4203-A6A3-075EAFCC72A1}">
            <xm:f>OR('G:\Users\GEC\Documents\LUZ\[Copia de 20200615.xlsx]AUX'!#REF!=TRUE,'G:\Users\GEC\Documents\LUZ\[Copia de 20200615.xlsx]AUX'!#REF!=TRUE)</xm:f>
            <x14:dxf>
              <font>
                <color theme="0"/>
              </font>
              <fill>
                <patternFill>
                  <bgColor theme="0"/>
                </patternFill>
              </fill>
              <border>
                <left/>
                <right/>
                <top/>
                <bottom/>
                <vertical/>
                <horizontal/>
              </border>
            </x14:dxf>
          </x14:cfRule>
          <xm:sqref>K217</xm:sqref>
        </x14:conditionalFormatting>
        <x14:conditionalFormatting xmlns:xm="http://schemas.microsoft.com/office/excel/2006/main">
          <x14:cfRule type="expression" priority="482" id="{6A66B1DA-7DC1-4232-9074-8571C326B176}">
            <xm:f>'G:\Users\GEC\Documents\LUZ\[Copia de 20200615.xlsx]AUX'!#REF!=TRUE</xm:f>
            <x14:dxf>
              <font>
                <color theme="0"/>
              </font>
              <fill>
                <patternFill>
                  <bgColor theme="0"/>
                </patternFill>
              </fill>
              <border>
                <left/>
                <right/>
                <top/>
                <bottom/>
                <vertical/>
                <horizontal/>
              </border>
            </x14:dxf>
          </x14:cfRule>
          <xm:sqref>K217</xm:sqref>
        </x14:conditionalFormatting>
        <x14:conditionalFormatting xmlns:xm="http://schemas.microsoft.com/office/excel/2006/main">
          <x14:cfRule type="expression" priority="481" id="{42629399-94DD-4774-AF93-48824FE0F723}">
            <xm:f>AND('G:\Users\GEC\Documents\LUZ\[Copia de 20200615.xlsx]DATOS'!#REF!="NO",'G:\Users\GEC\Documents\LUZ\[Copia de 20200615.xlsx]DATOS'!#REF!="NO")</xm:f>
            <x14:dxf>
              <font>
                <color theme="0"/>
              </font>
              <fill>
                <patternFill>
                  <bgColor theme="0"/>
                </patternFill>
              </fill>
              <border>
                <left/>
                <right/>
                <top/>
                <bottom/>
                <vertical/>
                <horizontal/>
              </border>
            </x14:dxf>
          </x14:cfRule>
          <xm:sqref>F206:I208</xm:sqref>
        </x14:conditionalFormatting>
        <x14:conditionalFormatting xmlns:xm="http://schemas.microsoft.com/office/excel/2006/main">
          <x14:cfRule type="expression" priority="480" id="{D705993E-99A0-4189-9B4A-EA1795988BC0}">
            <xm:f>OR('G:\Users\GEC\Documents\LUZ\[Copia de 20200615.xlsx]AUX'!#REF!=TRUE,'G:\Users\GEC\Documents\LUZ\[Copia de 20200615.xlsx]AUX'!#REF!=TRUE)</xm:f>
            <x14:dxf>
              <font>
                <color theme="0"/>
              </font>
              <fill>
                <patternFill>
                  <bgColor theme="0"/>
                </patternFill>
              </fill>
              <border>
                <left/>
                <right/>
                <top/>
                <bottom/>
                <vertical/>
                <horizontal/>
              </border>
            </x14:dxf>
          </x14:cfRule>
          <xm:sqref>F206:I208</xm:sqref>
        </x14:conditionalFormatting>
        <x14:conditionalFormatting xmlns:xm="http://schemas.microsoft.com/office/excel/2006/main">
          <x14:cfRule type="expression" priority="479" id="{9A4E76A3-3BFA-4E80-8C46-13154BBE344F}">
            <xm:f>'G:\Users\GEC\Documents\LUZ\[Copia de 20200615.xlsx]AUX'!#REF!=TRUE</xm:f>
            <x14:dxf>
              <font>
                <color theme="0"/>
              </font>
              <fill>
                <patternFill>
                  <bgColor theme="0"/>
                </patternFill>
              </fill>
              <border>
                <left/>
                <right/>
                <top/>
                <bottom/>
                <vertical/>
                <horizontal/>
              </border>
            </x14:dxf>
          </x14:cfRule>
          <xm:sqref>F206:I208</xm:sqref>
        </x14:conditionalFormatting>
        <x14:conditionalFormatting xmlns:xm="http://schemas.microsoft.com/office/excel/2006/main">
          <x14:cfRule type="expression" priority="478" id="{7FB30C9D-AC31-48C8-BB75-2AD542A2F8C3}">
            <xm:f>AND('G:\Users\GEC\Documents\LUZ\[Copia de 20200615.xlsx]DATOS'!#REF!="NO",'G:\Users\GEC\Documents\LUZ\[Copia de 20200615.xlsx]DATOS'!#REF!="NO")</xm:f>
            <x14:dxf>
              <font>
                <color theme="0"/>
              </font>
              <fill>
                <patternFill>
                  <bgColor theme="0"/>
                </patternFill>
              </fill>
              <border>
                <left/>
                <right/>
                <top/>
                <bottom/>
                <vertical/>
                <horizontal/>
              </border>
            </x14:dxf>
          </x14:cfRule>
          <xm:sqref>E206:E208</xm:sqref>
        </x14:conditionalFormatting>
        <x14:conditionalFormatting xmlns:xm="http://schemas.microsoft.com/office/excel/2006/main">
          <x14:cfRule type="expression" priority="477" id="{DF5E9FA8-930D-48E7-A06C-EEF52CE00763}">
            <xm:f>OR('G:\Users\GEC\Documents\LUZ\[Copia de 20200615.xlsx]AUX'!#REF!=TRUE,'G:\Users\GEC\Documents\LUZ\[Copia de 20200615.xlsx]AUX'!#REF!=TRUE)</xm:f>
            <x14:dxf>
              <font>
                <color theme="0"/>
              </font>
              <fill>
                <patternFill>
                  <bgColor theme="0"/>
                </patternFill>
              </fill>
              <border>
                <left/>
                <right/>
                <top/>
                <bottom/>
                <vertical/>
                <horizontal/>
              </border>
            </x14:dxf>
          </x14:cfRule>
          <xm:sqref>E206:E208</xm:sqref>
        </x14:conditionalFormatting>
        <x14:conditionalFormatting xmlns:xm="http://schemas.microsoft.com/office/excel/2006/main">
          <x14:cfRule type="expression" priority="476" id="{6E4B7125-39FC-4F85-9C08-A4B8C3428F6E}">
            <xm:f>'G:\Users\GEC\Documents\LUZ\[Copia de 20200615.xlsx]AUX'!#REF!=TRUE</xm:f>
            <x14:dxf>
              <font>
                <color theme="0"/>
              </font>
              <fill>
                <patternFill>
                  <bgColor theme="0"/>
                </patternFill>
              </fill>
              <border>
                <left/>
                <right/>
                <top/>
                <bottom/>
                <vertical/>
                <horizontal/>
              </border>
            </x14:dxf>
          </x14:cfRule>
          <xm:sqref>E206:E208</xm:sqref>
        </x14:conditionalFormatting>
        <x14:conditionalFormatting xmlns:xm="http://schemas.microsoft.com/office/excel/2006/main">
          <x14:cfRule type="expression" priority="475" id="{093F0C20-0648-4758-B74A-5450CB82D3DC}">
            <xm:f>AND('G:\Users\GEC\Documents\LUZ\[Copia de 20200615.xlsx]DATOS'!#REF!="NO",'G:\Users\GEC\Documents\LUZ\[Copia de 20200615.xlsx]DATOS'!#REF!="NO")</xm:f>
            <x14:dxf>
              <font>
                <color theme="0"/>
              </font>
              <fill>
                <patternFill>
                  <bgColor theme="0"/>
                </patternFill>
              </fill>
              <border>
                <left/>
                <right/>
                <top/>
                <bottom/>
                <vertical/>
                <horizontal/>
              </border>
            </x14:dxf>
          </x14:cfRule>
          <xm:sqref>D206:D208</xm:sqref>
        </x14:conditionalFormatting>
        <x14:conditionalFormatting xmlns:xm="http://schemas.microsoft.com/office/excel/2006/main">
          <x14:cfRule type="expression" priority="474" id="{17786983-79B0-4C15-BFF5-55AE5FDD7055}">
            <xm:f>OR('G:\Users\GEC\Documents\LUZ\[Copia de 20200615.xlsx]AUX'!#REF!=TRUE,'G:\Users\GEC\Documents\LUZ\[Copia de 20200615.xlsx]AUX'!#REF!=TRUE)</xm:f>
            <x14:dxf>
              <font>
                <color theme="0"/>
              </font>
              <fill>
                <patternFill>
                  <bgColor theme="0"/>
                </patternFill>
              </fill>
              <border>
                <left/>
                <right/>
                <top/>
                <bottom/>
                <vertical/>
                <horizontal/>
              </border>
            </x14:dxf>
          </x14:cfRule>
          <xm:sqref>D206:D208</xm:sqref>
        </x14:conditionalFormatting>
        <x14:conditionalFormatting xmlns:xm="http://schemas.microsoft.com/office/excel/2006/main">
          <x14:cfRule type="expression" priority="473" id="{428082E6-EB0C-45EC-B007-34D720D0B402}">
            <xm:f>'G:\Users\GEC\Documents\LUZ\[Copia de 20200615.xlsx]AUX'!#REF!=TRUE</xm:f>
            <x14:dxf>
              <font>
                <color theme="0"/>
              </font>
              <fill>
                <patternFill>
                  <bgColor theme="0"/>
                </patternFill>
              </fill>
              <border>
                <left/>
                <right/>
                <top/>
                <bottom/>
                <vertical/>
                <horizontal/>
              </border>
            </x14:dxf>
          </x14:cfRule>
          <xm:sqref>D206:D208</xm:sqref>
        </x14:conditionalFormatting>
        <x14:conditionalFormatting xmlns:xm="http://schemas.microsoft.com/office/excel/2006/main">
          <x14:cfRule type="expression" priority="472" id="{9736D5B3-A244-4B9E-B1D1-12E4A1538755}">
            <xm:f>AND('G:\Users\GEC\Documents\LUZ\[Copia de 20200615.xlsx]DATOS'!#REF!="NO",'G:\Users\GEC\Documents\LUZ\[Copia de 20200615.xlsx]DATOS'!#REF!="NO")</xm:f>
            <x14:dxf>
              <font>
                <color theme="0"/>
              </font>
              <fill>
                <patternFill>
                  <bgColor theme="0"/>
                </patternFill>
              </fill>
              <border>
                <left/>
                <right/>
                <top/>
                <bottom/>
                <vertical/>
                <horizontal/>
              </border>
            </x14:dxf>
          </x14:cfRule>
          <xm:sqref>F201:H202</xm:sqref>
        </x14:conditionalFormatting>
        <x14:conditionalFormatting xmlns:xm="http://schemas.microsoft.com/office/excel/2006/main">
          <x14:cfRule type="expression" priority="471" id="{010D0797-49C3-414A-98B8-2C96EAC1AF29}">
            <xm:f>OR('G:\Users\GEC\Documents\LUZ\[Copia de 20200615.xlsx]AUX'!#REF!=TRUE,'G:\Users\GEC\Documents\LUZ\[Copia de 20200615.xlsx]AUX'!#REF!=TRUE)</xm:f>
            <x14:dxf>
              <font>
                <color theme="0"/>
              </font>
              <fill>
                <patternFill>
                  <bgColor theme="0"/>
                </patternFill>
              </fill>
              <border>
                <left/>
                <right/>
                <top/>
                <bottom/>
                <vertical/>
                <horizontal/>
              </border>
            </x14:dxf>
          </x14:cfRule>
          <xm:sqref>F201:H202</xm:sqref>
        </x14:conditionalFormatting>
        <x14:conditionalFormatting xmlns:xm="http://schemas.microsoft.com/office/excel/2006/main">
          <x14:cfRule type="expression" priority="470" id="{1BE2E725-56F9-49C6-AE72-2CAA9E717D3C}">
            <xm:f>'G:\Users\GEC\Documents\LUZ\[Copia de 20200615.xlsx]AUX'!#REF!=TRUE</xm:f>
            <x14:dxf>
              <font>
                <color theme="0"/>
              </font>
              <fill>
                <patternFill>
                  <bgColor theme="0"/>
                </patternFill>
              </fill>
              <border>
                <left/>
                <right/>
                <top/>
                <bottom/>
                <vertical/>
                <horizontal/>
              </border>
            </x14:dxf>
          </x14:cfRule>
          <xm:sqref>G203:H203 E201:H202</xm:sqref>
        </x14:conditionalFormatting>
        <x14:conditionalFormatting xmlns:xm="http://schemas.microsoft.com/office/excel/2006/main">
          <x14:cfRule type="expression" priority="469" id="{FE7010D4-4E39-4085-A4BE-D3C23AA351E3}">
            <xm:f>AND('G:\Users\GEC\Documents\LUZ\[Copia de 20200615.xlsx]DATOS'!#REF!="NO",'G:\Users\GEC\Documents\LUZ\[Copia de 20200615.xlsx]DATOS'!#REF!="NO")</xm:f>
            <x14:dxf>
              <font>
                <color theme="0"/>
              </font>
              <fill>
                <patternFill>
                  <bgColor theme="0"/>
                </patternFill>
              </fill>
              <border>
                <left/>
                <right/>
                <top/>
                <bottom/>
                <vertical/>
                <horizontal/>
              </border>
            </x14:dxf>
          </x14:cfRule>
          <xm:sqref>G203:H203</xm:sqref>
        </x14:conditionalFormatting>
        <x14:conditionalFormatting xmlns:xm="http://schemas.microsoft.com/office/excel/2006/main">
          <x14:cfRule type="expression" priority="468" id="{EE6E95E3-7B7E-4FFA-B5A5-97814D6BD22B}">
            <xm:f>OR('G:\Users\GEC\Documents\LUZ\[Copia de 20200615.xlsx]AUX'!#REF!=TRUE,'G:\Users\GEC\Documents\LUZ\[Copia de 20200615.xlsx]AUX'!#REF!=TRUE)</xm:f>
            <x14:dxf>
              <font>
                <color theme="0"/>
              </font>
              <fill>
                <patternFill>
                  <bgColor theme="0"/>
                </patternFill>
              </fill>
              <border>
                <left/>
                <right/>
                <top/>
                <bottom/>
                <vertical/>
                <horizontal/>
              </border>
            </x14:dxf>
          </x14:cfRule>
          <xm:sqref>G203:H203</xm:sqref>
        </x14:conditionalFormatting>
        <x14:conditionalFormatting xmlns:xm="http://schemas.microsoft.com/office/excel/2006/main">
          <x14:cfRule type="expression" priority="467" id="{0069B2AB-2D7C-4479-B596-7A7A05B3773F}">
            <xm:f>AND('G:\Users\GEC\Documents\LUZ\[Copia de 20200615.xlsx]DATOS'!#REF!="NO",'G:\Users\GEC\Documents\LUZ\[Copia de 20200615.xlsx]DATOS'!#REF!="NO")</xm:f>
            <x14:dxf>
              <font>
                <color theme="0"/>
              </font>
              <fill>
                <patternFill>
                  <bgColor theme="0"/>
                </patternFill>
              </fill>
              <border>
                <left/>
                <right/>
                <top/>
                <bottom/>
                <vertical/>
                <horizontal/>
              </border>
            </x14:dxf>
          </x14:cfRule>
          <xm:sqref>E203:F203</xm:sqref>
        </x14:conditionalFormatting>
        <x14:conditionalFormatting xmlns:xm="http://schemas.microsoft.com/office/excel/2006/main">
          <x14:cfRule type="expression" priority="466" id="{6014D572-415B-4286-A77A-949479664BD3}">
            <xm:f>OR('G:\Users\GEC\Documents\LUZ\[Copia de 20200615.xlsx]AUX'!#REF!=TRUE,'G:\Users\GEC\Documents\LUZ\[Copia de 20200615.xlsx]AUX'!#REF!=TRUE)</xm:f>
            <x14:dxf>
              <font>
                <color theme="0"/>
              </font>
              <fill>
                <patternFill>
                  <bgColor theme="0"/>
                </patternFill>
              </fill>
              <border>
                <left/>
                <right/>
                <top/>
                <bottom/>
                <vertical/>
                <horizontal/>
              </border>
            </x14:dxf>
          </x14:cfRule>
          <xm:sqref>E203:F203</xm:sqref>
        </x14:conditionalFormatting>
        <x14:conditionalFormatting xmlns:xm="http://schemas.microsoft.com/office/excel/2006/main">
          <x14:cfRule type="expression" priority="465" id="{45F6A7AC-1618-4CDE-BEFC-8FC2A886FF81}">
            <xm:f>'G:\Users\GEC\Documents\LUZ\[Copia de 20200615.xlsx]AUX'!#REF!=TRUE</xm:f>
            <x14:dxf>
              <font>
                <color theme="0"/>
              </font>
              <fill>
                <patternFill>
                  <bgColor theme="0"/>
                </patternFill>
              </fill>
              <border>
                <left/>
                <right/>
                <top/>
                <bottom/>
                <vertical/>
                <horizontal/>
              </border>
            </x14:dxf>
          </x14:cfRule>
          <xm:sqref>E203:F203</xm:sqref>
        </x14:conditionalFormatting>
        <x14:conditionalFormatting xmlns:xm="http://schemas.microsoft.com/office/excel/2006/main">
          <x14:cfRule type="expression" priority="464" id="{78869B5C-E3DD-4E4D-8F38-5EAAFDC0938D}">
            <xm:f>AND('G:\Users\GEC\Documents\LUZ\[Copia de 20200615.xlsx]DATOS'!#REF!="NO",'G:\Users\GEC\Documents\LUZ\[Copia de 20200615.xlsx]DATOS'!#REF!="NO")</xm:f>
            <x14:dxf>
              <font>
                <color theme="0"/>
              </font>
              <fill>
                <patternFill>
                  <bgColor theme="0"/>
                </patternFill>
              </fill>
              <border>
                <left/>
                <right/>
                <top/>
                <bottom/>
                <vertical/>
                <horizontal/>
              </border>
            </x14:dxf>
          </x14:cfRule>
          <xm:sqref>E201:E202</xm:sqref>
        </x14:conditionalFormatting>
        <x14:conditionalFormatting xmlns:xm="http://schemas.microsoft.com/office/excel/2006/main">
          <x14:cfRule type="expression" priority="463" id="{34B4F77F-2CFC-47E4-A0E7-8EFAD0206940}">
            <xm:f>OR('G:\Users\GEC\Documents\LUZ\[Copia de 20200615.xlsx]AUX'!#REF!=TRUE,'G:\Users\GEC\Documents\LUZ\[Copia de 20200615.xlsx]AUX'!#REF!=TRUE)</xm:f>
            <x14:dxf>
              <font>
                <color theme="0"/>
              </font>
              <fill>
                <patternFill>
                  <bgColor theme="0"/>
                </patternFill>
              </fill>
              <border>
                <left/>
                <right/>
                <top/>
                <bottom/>
                <vertical/>
                <horizontal/>
              </border>
            </x14:dxf>
          </x14:cfRule>
          <xm:sqref>E201:E202</xm:sqref>
        </x14:conditionalFormatting>
        <x14:conditionalFormatting xmlns:xm="http://schemas.microsoft.com/office/excel/2006/main">
          <x14:cfRule type="expression" priority="460" id="{5BD962D5-580A-4A82-AA5F-EA3DF6ECD6CB}">
            <xm:f>'G:\Users\GEC\Documents\LUZ\[Copia de 20200615.xlsx]AUX'!#REF!=TRUE</xm:f>
            <x14:dxf>
              <font>
                <color theme="0"/>
              </font>
              <fill>
                <patternFill>
                  <bgColor theme="0"/>
                </patternFill>
              </fill>
              <border>
                <left/>
                <right/>
                <top/>
                <bottom/>
                <vertical/>
                <horizontal/>
              </border>
            </x14:dxf>
          </x14:cfRule>
          <xm:sqref>D203</xm:sqref>
        </x14:conditionalFormatting>
        <x14:conditionalFormatting xmlns:xm="http://schemas.microsoft.com/office/excel/2006/main">
          <x14:cfRule type="expression" priority="462" id="{162EFADF-8196-47AD-AE4C-2DA8327A59CA}">
            <xm:f>AND('G:\Users\GEC\Documents\LUZ\[Copia de 20200615.xlsx]DATOS'!#REF!="NO",'G:\Users\GEC\Documents\LUZ\[Copia de 20200615.xlsx]DATOS'!#REF!="NO")</xm:f>
            <x14:dxf>
              <font>
                <color theme="0"/>
              </font>
              <fill>
                <patternFill>
                  <bgColor theme="0"/>
                </patternFill>
              </fill>
              <border>
                <left/>
                <right/>
                <top/>
                <bottom/>
                <vertical/>
                <horizontal/>
              </border>
            </x14:dxf>
          </x14:cfRule>
          <xm:sqref>D203</xm:sqref>
        </x14:conditionalFormatting>
        <x14:conditionalFormatting xmlns:xm="http://schemas.microsoft.com/office/excel/2006/main">
          <x14:cfRule type="expression" priority="461" id="{05F6CCD0-1A88-4569-8F1C-89AE52EB6028}">
            <xm:f>OR('G:\Users\GEC\Documents\LUZ\[Copia de 20200615.xlsx]AUX'!#REF!=TRUE,'G:\Users\GEC\Documents\LUZ\[Copia de 20200615.xlsx]AUX'!#REF!=TRUE)</xm:f>
            <x14:dxf>
              <font>
                <color theme="0"/>
              </font>
              <fill>
                <patternFill>
                  <bgColor theme="0"/>
                </patternFill>
              </fill>
              <border>
                <left/>
                <right/>
                <top/>
                <bottom/>
                <vertical/>
                <horizontal/>
              </border>
            </x14:dxf>
          </x14:cfRule>
          <xm:sqref>D203</xm:sqref>
        </x14:conditionalFormatting>
        <x14:conditionalFormatting xmlns:xm="http://schemas.microsoft.com/office/excel/2006/main">
          <x14:cfRule type="expression" priority="459" id="{7336A07F-B641-4CCC-9A62-2A4937BA948D}">
            <xm:f>AND('G:\Users\GEC\Documents\LUZ\[Copia de 20200615.xlsx]DATOS'!#REF!="NO",'G:\Users\GEC\Documents\LUZ\[Copia de 20200615.xlsx]DATOS'!#REF!="NO")</xm:f>
            <x14:dxf>
              <font>
                <color theme="0"/>
              </font>
              <fill>
                <patternFill>
                  <bgColor theme="0"/>
                </patternFill>
              </fill>
              <border>
                <left/>
                <right/>
                <top/>
                <bottom/>
                <vertical/>
                <horizontal/>
              </border>
            </x14:dxf>
          </x14:cfRule>
          <xm:sqref>D201:D202</xm:sqref>
        </x14:conditionalFormatting>
        <x14:conditionalFormatting xmlns:xm="http://schemas.microsoft.com/office/excel/2006/main">
          <x14:cfRule type="expression" priority="458" id="{69DF73CC-F1D2-4D21-9981-7D56B33C7A42}">
            <xm:f>OR('G:\Users\GEC\Documents\LUZ\[Copia de 20200615.xlsx]AUX'!#REF!=TRUE,'G:\Users\GEC\Documents\LUZ\[Copia de 20200615.xlsx]AUX'!#REF!=TRUE)</xm:f>
            <x14:dxf>
              <font>
                <color theme="0"/>
              </font>
              <fill>
                <patternFill>
                  <bgColor theme="0"/>
                </patternFill>
              </fill>
              <border>
                <left/>
                <right/>
                <top/>
                <bottom/>
                <vertical/>
                <horizontal/>
              </border>
            </x14:dxf>
          </x14:cfRule>
          <xm:sqref>D201:D202</xm:sqref>
        </x14:conditionalFormatting>
        <x14:conditionalFormatting xmlns:xm="http://schemas.microsoft.com/office/excel/2006/main">
          <x14:cfRule type="expression" priority="457" id="{E7DF1584-09D0-4D3A-B967-68E6A28C0002}">
            <xm:f>'G:\Users\GEC\Documents\LUZ\[Copia de 20200615.xlsx]AUX'!#REF!=TRUE</xm:f>
            <x14:dxf>
              <font>
                <color theme="0"/>
              </font>
              <fill>
                <patternFill>
                  <bgColor theme="0"/>
                </patternFill>
              </fill>
              <border>
                <left/>
                <right/>
                <top/>
                <bottom/>
                <vertical/>
                <horizontal/>
              </border>
            </x14:dxf>
          </x14:cfRule>
          <xm:sqref>D201:D202</xm:sqref>
        </x14:conditionalFormatting>
        <x14:conditionalFormatting xmlns:xm="http://schemas.microsoft.com/office/excel/2006/main">
          <x14:cfRule type="expression" priority="456" id="{EEF7F0EC-72EC-4C8A-8C25-7692A9E46A90}">
            <xm:f>AND('G:\Users\GEC\Documents\LUZ\[Copia de 20200615.xlsx]DATOS'!#REF!="NO",'G:\Users\GEC\Documents\LUZ\[Copia de 20200615.xlsx]DATOS'!#REF!="NO")</xm:f>
            <x14:dxf>
              <font>
                <color theme="0"/>
              </font>
              <fill>
                <patternFill>
                  <bgColor theme="0"/>
                </patternFill>
              </fill>
              <border>
                <left/>
                <right/>
                <top/>
                <bottom/>
                <vertical/>
                <horizontal/>
              </border>
            </x14:dxf>
          </x14:cfRule>
          <xm:sqref>I201:I203</xm:sqref>
        </x14:conditionalFormatting>
        <x14:conditionalFormatting xmlns:xm="http://schemas.microsoft.com/office/excel/2006/main">
          <x14:cfRule type="expression" priority="455" id="{92A87870-FAF9-4317-8A51-0461834FBA70}">
            <xm:f>OR('G:\Users\GEC\Documents\LUZ\[Copia de 20200615.xlsx]AUX'!#REF!=TRUE,'G:\Users\GEC\Documents\LUZ\[Copia de 20200615.xlsx]AUX'!#REF!=TRUE)</xm:f>
            <x14:dxf>
              <font>
                <color theme="0"/>
              </font>
              <fill>
                <patternFill>
                  <bgColor theme="0"/>
                </patternFill>
              </fill>
              <border>
                <left/>
                <right/>
                <top/>
                <bottom/>
                <vertical/>
                <horizontal/>
              </border>
            </x14:dxf>
          </x14:cfRule>
          <xm:sqref>I201:I203</xm:sqref>
        </x14:conditionalFormatting>
        <x14:conditionalFormatting xmlns:xm="http://schemas.microsoft.com/office/excel/2006/main">
          <x14:cfRule type="expression" priority="454" id="{E5FE653B-A92E-42CF-9BFE-1B4B16979B57}">
            <xm:f>'G:\Users\GEC\Documents\LUZ\[Copia de 20200615.xlsx]AUX'!#REF!=TRUE</xm:f>
            <x14:dxf>
              <font>
                <color theme="0"/>
              </font>
              <fill>
                <patternFill>
                  <bgColor theme="0"/>
                </patternFill>
              </fill>
              <border>
                <left/>
                <right/>
                <top/>
                <bottom/>
                <vertical/>
                <horizontal/>
              </border>
            </x14:dxf>
          </x14:cfRule>
          <xm:sqref>I201:I203</xm:sqref>
        </x14:conditionalFormatting>
        <x14:conditionalFormatting xmlns:xm="http://schemas.microsoft.com/office/excel/2006/main">
          <x14:cfRule type="expression" priority="365" id="{01855973-370B-49F2-87C1-6DE99B9C1A1A}">
            <xm:f>AND('G:\Users\GEC\Documents\LUZ\[Copia de 20200615.xlsx]DATOS'!#REF!="NO",'G:\Users\GEC\Documents\LUZ\[Copia de 20200615.xlsx]DATOS'!#REF!="NO")</xm:f>
            <x14:dxf>
              <font>
                <color theme="0"/>
              </font>
              <fill>
                <patternFill>
                  <bgColor theme="0"/>
                </patternFill>
              </fill>
              <border>
                <left/>
                <right/>
                <top/>
                <bottom/>
                <vertical/>
                <horizontal/>
              </border>
            </x14:dxf>
          </x14:cfRule>
          <xm:sqref>C238:C239</xm:sqref>
        </x14:conditionalFormatting>
        <x14:conditionalFormatting xmlns:xm="http://schemas.microsoft.com/office/excel/2006/main">
          <x14:cfRule type="expression" priority="364" id="{717FE7DA-244A-4214-BBFB-B5291C27D584}">
            <xm:f>OR('G:\Users\GEC\Documents\LUZ\[Copia de 20200615.xlsx]AUX'!#REF!=TRUE,'G:\Users\GEC\Documents\LUZ\[Copia de 20200615.xlsx]AUX'!#REF!=TRUE)</xm:f>
            <x14:dxf>
              <font>
                <color theme="0"/>
              </font>
              <fill>
                <patternFill>
                  <bgColor theme="0"/>
                </patternFill>
              </fill>
              <border>
                <left/>
                <right/>
                <top/>
                <bottom/>
                <vertical/>
                <horizontal/>
              </border>
            </x14:dxf>
          </x14:cfRule>
          <xm:sqref>C238:C239</xm:sqref>
        </x14:conditionalFormatting>
        <x14:conditionalFormatting xmlns:xm="http://schemas.microsoft.com/office/excel/2006/main">
          <x14:cfRule type="expression" priority="363" id="{151A6235-06AD-4138-B378-94C4F065A166}">
            <xm:f>'G:\Users\GEC\Documents\LUZ\[Copia de 20200615.xlsx]AUX'!#REF!=TRUE</xm:f>
            <x14:dxf>
              <font>
                <color theme="0"/>
              </font>
              <fill>
                <patternFill>
                  <bgColor theme="0"/>
                </patternFill>
              </fill>
              <border>
                <left/>
                <right/>
                <top/>
                <bottom/>
                <vertical/>
                <horizontal/>
              </border>
            </x14:dxf>
          </x14:cfRule>
          <xm:sqref>B241:C241 C238:C240</xm:sqref>
        </x14:conditionalFormatting>
        <x14:conditionalFormatting xmlns:xm="http://schemas.microsoft.com/office/excel/2006/main">
          <x14:cfRule type="expression" priority="362" id="{AA5920B4-620E-43A9-966D-78E719379A3B}">
            <xm:f>AND('G:\Users\GEC\Documents\LUZ\[Copia de 20200615.xlsx]DATOS'!#REF!="NO",'G:\Users\GEC\Documents\LUZ\[Copia de 20200615.xlsx]DATOS'!#REF!="NO")</xm:f>
            <x14:dxf>
              <font>
                <color theme="0"/>
              </font>
              <fill>
                <patternFill>
                  <bgColor theme="0"/>
                </patternFill>
              </fill>
              <border>
                <left/>
                <right/>
                <top/>
                <bottom/>
                <vertical/>
                <horizontal/>
              </border>
            </x14:dxf>
          </x14:cfRule>
          <xm:sqref>B241:C241 C240</xm:sqref>
        </x14:conditionalFormatting>
        <x14:conditionalFormatting xmlns:xm="http://schemas.microsoft.com/office/excel/2006/main">
          <x14:cfRule type="expression" priority="361" id="{8DB0E473-F291-4192-A3C5-A534B707DAA4}">
            <xm:f>OR('G:\Users\GEC\Documents\LUZ\[Copia de 20200615.xlsx]AUX'!#REF!=TRUE,'G:\Users\GEC\Documents\LUZ\[Copia de 20200615.xlsx]AUX'!#REF!=TRUE)</xm:f>
            <x14:dxf>
              <font>
                <color theme="0"/>
              </font>
              <fill>
                <patternFill>
                  <bgColor theme="0"/>
                </patternFill>
              </fill>
              <border>
                <left/>
                <right/>
                <top/>
                <bottom/>
                <vertical/>
                <horizontal/>
              </border>
            </x14:dxf>
          </x14:cfRule>
          <xm:sqref>B241:C241 C240</xm:sqref>
        </x14:conditionalFormatting>
        <x14:conditionalFormatting xmlns:xm="http://schemas.microsoft.com/office/excel/2006/main">
          <x14:cfRule type="expression" priority="358" id="{41122625-DDBF-43D3-BE47-3145458B49F6}">
            <xm:f>OR('G:\Users\GEC\Documents\LUZ\[Copia de 20200615.xlsx]AUX'!#REF!=TRUE,'G:\Users\GEC\Documents\LUZ\[Copia de 20200615.xlsx]AUX'!#REF!=TRUE)</xm:f>
            <x14:dxf>
              <font>
                <color theme="0"/>
              </font>
              <fill>
                <patternFill>
                  <bgColor theme="0"/>
                </patternFill>
              </fill>
              <border>
                <left/>
                <right/>
                <top/>
                <bottom/>
                <vertical/>
                <horizontal/>
              </border>
            </x14:dxf>
          </x14:cfRule>
          <xm:sqref>K230 B231:C233 B229</xm:sqref>
        </x14:conditionalFormatting>
        <x14:conditionalFormatting xmlns:xm="http://schemas.microsoft.com/office/excel/2006/main">
          <x14:cfRule type="expression" priority="354" id="{E5103DD0-70FE-4A8A-8C1E-88609D97BA88}">
            <xm:f>AND('G:\Users\GEC\Documents\LUZ\[Copia de 20200615.xlsx]DATOS'!#REF!="NO",'G:\Users\GEC\Documents\LUZ\[Copia de 20200615.xlsx]DATOS'!#REF!="NO")</xm:f>
            <x14:dxf>
              <font>
                <color theme="0"/>
              </font>
              <fill>
                <patternFill>
                  <bgColor theme="0"/>
                </patternFill>
              </fill>
              <border>
                <left/>
                <right/>
                <top/>
                <bottom/>
                <vertical/>
                <horizontal/>
              </border>
            </x14:dxf>
          </x14:cfRule>
          <xm:sqref>B254:I254 B236:K237 B253:J253 K243:K245 J238:K239</xm:sqref>
        </x14:conditionalFormatting>
        <x14:conditionalFormatting xmlns:xm="http://schemas.microsoft.com/office/excel/2006/main">
          <x14:cfRule type="expression" priority="353" id="{5D652D94-46D2-445B-9C6C-96FF00CCFC76}">
            <xm:f>OR('G:\Users\GEC\Documents\LUZ\[Copia de 20200615.xlsx]AUX'!#REF!=TRUE,'G:\Users\GEC\Documents\LUZ\[Copia de 20200615.xlsx]AUX'!#REF!=TRUE)</xm:f>
            <x14:dxf>
              <font>
                <color theme="0"/>
              </font>
              <fill>
                <patternFill>
                  <bgColor theme="0"/>
                </patternFill>
              </fill>
              <border>
                <left/>
                <right/>
                <top/>
                <bottom/>
                <vertical/>
                <horizontal/>
              </border>
            </x14:dxf>
          </x14:cfRule>
          <xm:sqref>B254:I254 B253:J253 B236:K237 K243:K245 J238:K239</xm:sqref>
        </x14:conditionalFormatting>
        <x14:conditionalFormatting xmlns:xm="http://schemas.microsoft.com/office/excel/2006/main">
          <x14:cfRule type="expression" priority="352" id="{F1883E38-0EAA-401C-8A54-4E1BDC6C36FE}">
            <xm:f>'G:\Users\GEC\Documents\LUZ\[Copia de 20200615.xlsx]AUX'!#REF!=TRUE</xm:f>
            <x14:dxf>
              <font>
                <color theme="0"/>
              </font>
              <fill>
                <patternFill>
                  <bgColor theme="0"/>
                </patternFill>
              </fill>
              <border>
                <left/>
                <right/>
                <top/>
                <bottom/>
                <vertical/>
                <horizontal/>
              </border>
            </x14:dxf>
          </x14:cfRule>
          <xm:sqref>B254:I254 B236:K237 B253:J253 D229:K229 H228:K228 E241:K241 K243:K245 J238:K240</xm:sqref>
        </x14:conditionalFormatting>
        <x14:conditionalFormatting xmlns:xm="http://schemas.microsoft.com/office/excel/2006/main">
          <x14:cfRule type="expression" priority="350" id="{CDB7D99C-1946-4223-828D-A4F4DC28DD86}">
            <xm:f>OR('G:\Users\GEC\Documents\LUZ\[Copia de 20200615.xlsx]AUX'!#REF!=TRUE,'G:\Users\GEC\Documents\LUZ\[Copia de 20200615.xlsx]AUX'!#REF!=TRUE)</xm:f>
            <x14:dxf>
              <font>
                <color theme="0"/>
              </font>
              <fill>
                <patternFill>
                  <bgColor theme="0"/>
                </patternFill>
              </fill>
              <border>
                <left/>
                <right/>
                <top/>
                <bottom/>
                <vertical/>
                <horizontal/>
              </border>
            </x14:dxf>
          </x14:cfRule>
          <xm:sqref>B223:E223 H228:K228 D229:K229</xm:sqref>
        </x14:conditionalFormatting>
        <x14:conditionalFormatting xmlns:xm="http://schemas.microsoft.com/office/excel/2006/main">
          <x14:cfRule type="expression" priority="349" id="{0DCD3CA4-930C-4091-9D2A-B88072FE32E3}">
            <xm:f>'G:\Users\GEC\Documents\LUZ\[Copia de 20200615.xlsx]AUX'!#REF!=TRUE</xm:f>
            <x14:dxf>
              <font>
                <color theme="0"/>
              </font>
              <fill>
                <patternFill>
                  <bgColor theme="0"/>
                </patternFill>
              </fill>
              <border>
                <left/>
                <right/>
                <top/>
                <bottom/>
                <vertical/>
                <horizontal/>
              </border>
            </x14:dxf>
          </x14:cfRule>
          <xm:sqref>C223:E223</xm:sqref>
        </x14:conditionalFormatting>
        <x14:conditionalFormatting xmlns:xm="http://schemas.microsoft.com/office/excel/2006/main">
          <x14:cfRule type="expression" priority="351" id="{024416AB-BC7B-40D2-A5A1-192E147E3151}">
            <xm:f>AND('G:\Users\GEC\Documents\LUZ\[Copia de 20200615.xlsx]DATOS'!#REF!="NO",'G:\Users\GEC\Documents\LUZ\[Copia de 20200615.xlsx]DATOS'!#REF!="NO")</xm:f>
            <x14:dxf>
              <font>
                <color theme="0"/>
              </font>
              <fill>
                <patternFill>
                  <bgColor theme="0"/>
                </patternFill>
              </fill>
              <border>
                <left/>
                <right/>
                <top/>
                <bottom/>
                <vertical/>
                <horizontal/>
              </border>
            </x14:dxf>
          </x14:cfRule>
          <xm:sqref>C223:E223 D229:K229 H228:K228</xm:sqref>
        </x14:conditionalFormatting>
        <x14:conditionalFormatting xmlns:xm="http://schemas.microsoft.com/office/excel/2006/main">
          <x14:cfRule type="expression" priority="348" id="{10DE5A50-DFD4-4B67-B555-92B48983DAB0}">
            <xm:f>AND('G:\Users\GEC\Documents\LUZ\[Copia de 20200615.xlsx]DATOS'!#REF!="NO",'G:\Users\GEC\Documents\LUZ\[Copia de 20200615.xlsx]DATOS'!#REF!="NO")</xm:f>
            <x14:dxf>
              <font>
                <color theme="0"/>
              </font>
              <fill>
                <patternFill>
                  <bgColor theme="0"/>
                </patternFill>
              </fill>
              <border>
                <left/>
                <right/>
                <top/>
                <bottom/>
                <vertical/>
                <horizontal/>
              </border>
            </x14:dxf>
          </x14:cfRule>
          <xm:sqref>C228:G228 C224:E227</xm:sqref>
        </x14:conditionalFormatting>
        <x14:conditionalFormatting xmlns:xm="http://schemas.microsoft.com/office/excel/2006/main">
          <x14:cfRule type="expression" priority="347" id="{4011817D-1BDE-4D51-AD47-FF07D141814A}">
            <xm:f>OR('G:\Users\GEC\Documents\LUZ\[Copia de 20200615.xlsx]AUX'!#REF!=TRUE,'G:\Users\GEC\Documents\LUZ\[Copia de 20200615.xlsx]AUX'!#REF!=TRUE)</xm:f>
            <x14:dxf>
              <font>
                <color theme="0"/>
              </font>
              <fill>
                <patternFill>
                  <bgColor theme="0"/>
                </patternFill>
              </fill>
              <border>
                <left/>
                <right/>
                <top/>
                <bottom/>
                <vertical/>
                <horizontal/>
              </border>
            </x14:dxf>
          </x14:cfRule>
          <xm:sqref>B228:G228 C224:E225 B226:E227</xm:sqref>
        </x14:conditionalFormatting>
        <x14:conditionalFormatting xmlns:xm="http://schemas.microsoft.com/office/excel/2006/main">
          <x14:cfRule type="expression" priority="346" id="{D3038845-6443-4181-A3A2-BFA13FC313D6}">
            <xm:f>'G:\Users\GEC\Documents\LUZ\[Copia de 20200615.xlsx]AUX'!#REF!=TRUE</xm:f>
            <x14:dxf>
              <font>
                <color theme="0"/>
              </font>
              <fill>
                <patternFill>
                  <bgColor theme="0"/>
                </patternFill>
              </fill>
              <border>
                <left/>
                <right/>
                <top/>
                <bottom/>
                <vertical/>
                <horizontal/>
              </border>
            </x14:dxf>
          </x14:cfRule>
          <xm:sqref>C228:G228 C224:E227</xm:sqref>
        </x14:conditionalFormatting>
        <x14:conditionalFormatting xmlns:xm="http://schemas.microsoft.com/office/excel/2006/main">
          <x14:cfRule type="expression" priority="345" id="{E4CA4315-51D8-4AEF-94D1-097FAD28E8C0}">
            <xm:f>AND('G:\Users\GEC\Documents\LUZ\[Copia de 20200615.xlsx]DATOS'!#REF!="NO",'G:\Users\GEC\Documents\LUZ\[Copia de 20200615.xlsx]DATOS'!#REF!="NO")</xm:f>
            <x14:dxf>
              <font>
                <color theme="0"/>
              </font>
              <fill>
                <patternFill>
                  <bgColor theme="0"/>
                </patternFill>
              </fill>
              <border>
                <left/>
                <right/>
                <top/>
                <bottom/>
                <vertical/>
                <horizontal/>
              </border>
            </x14:dxf>
          </x14:cfRule>
          <xm:sqref>J240:K240 E241:K241</xm:sqref>
        </x14:conditionalFormatting>
        <x14:conditionalFormatting xmlns:xm="http://schemas.microsoft.com/office/excel/2006/main">
          <x14:cfRule type="expression" priority="344" id="{508E8022-9DF1-42FA-A466-B3CE8D99076A}">
            <xm:f>OR('G:\Users\GEC\Documents\LUZ\[Copia de 20200615.xlsx]AUX'!#REF!=TRUE,'G:\Users\GEC\Documents\LUZ\[Copia de 20200615.xlsx]AUX'!#REF!=TRUE)</xm:f>
            <x14:dxf>
              <font>
                <color theme="0"/>
              </font>
              <fill>
                <patternFill>
                  <bgColor theme="0"/>
                </patternFill>
              </fill>
              <border>
                <left/>
                <right/>
                <top/>
                <bottom/>
                <vertical/>
                <horizontal/>
              </border>
            </x14:dxf>
          </x14:cfRule>
          <xm:sqref>J240:K240 E241:K241</xm:sqref>
        </x14:conditionalFormatting>
        <x14:conditionalFormatting xmlns:xm="http://schemas.microsoft.com/office/excel/2006/main">
          <x14:cfRule type="expression" priority="343" id="{503EA634-DC9E-4C95-B08B-A2822A9F858D}">
            <xm:f>'G:\Users\GEC\Documents\LUZ\[Copia de 20200615.xlsx]AUX'!#REF!=TRUE</xm:f>
            <x14:dxf>
              <font>
                <color theme="0"/>
              </font>
              <fill>
                <patternFill>
                  <bgColor theme="0"/>
                </patternFill>
              </fill>
              <border>
                <left/>
                <right/>
                <top/>
                <bottom/>
                <vertical/>
                <horizontal/>
              </border>
            </x14:dxf>
          </x14:cfRule>
          <xm:sqref>D241</xm:sqref>
        </x14:conditionalFormatting>
        <x14:conditionalFormatting xmlns:xm="http://schemas.microsoft.com/office/excel/2006/main">
          <x14:cfRule type="expression" priority="342" id="{028AABA0-08B9-4752-AAEE-1EC1F156405F}">
            <xm:f>AND('G:\Users\GEC\Documents\LUZ\[Copia de 20200615.xlsx]DATOS'!#REF!="NO",'G:\Users\GEC\Documents\LUZ\[Copia de 20200615.xlsx]DATOS'!#REF!="NO")</xm:f>
            <x14:dxf>
              <font>
                <color theme="0"/>
              </font>
              <fill>
                <patternFill>
                  <bgColor theme="0"/>
                </patternFill>
              </fill>
              <border>
                <left/>
                <right/>
                <top/>
                <bottom/>
                <vertical/>
                <horizontal/>
              </border>
            </x14:dxf>
          </x14:cfRule>
          <xm:sqref>D241</xm:sqref>
        </x14:conditionalFormatting>
        <x14:conditionalFormatting xmlns:xm="http://schemas.microsoft.com/office/excel/2006/main">
          <x14:cfRule type="expression" priority="341" id="{88E3AF2B-A769-4271-B0C4-5D7BF03517F0}">
            <xm:f>OR('G:\Users\GEC\Documents\LUZ\[Copia de 20200615.xlsx]AUX'!#REF!=TRUE,'G:\Users\GEC\Documents\LUZ\[Copia de 20200615.xlsx]AUX'!#REF!=TRUE)</xm:f>
            <x14:dxf>
              <font>
                <color theme="0"/>
              </font>
              <fill>
                <patternFill>
                  <bgColor theme="0"/>
                </patternFill>
              </fill>
              <border>
                <left/>
                <right/>
                <top/>
                <bottom/>
                <vertical/>
                <horizontal/>
              </border>
            </x14:dxf>
          </x14:cfRule>
          <xm:sqref>D241</xm:sqref>
        </x14:conditionalFormatting>
        <x14:conditionalFormatting xmlns:xm="http://schemas.microsoft.com/office/excel/2006/main">
          <x14:cfRule type="expression" priority="340" id="{4169CE06-983C-4927-B1B9-0D78EAEE5223}">
            <xm:f>AND('G:\Users\GEC\Documents\LUZ\[Copia de 20200615.xlsx]DATOS'!#REF!="NO",'G:\Users\GEC\Documents\LUZ\[Copia de 20200615.xlsx]DATOS'!#REF!="NO")</xm:f>
            <x14:dxf>
              <font>
                <color theme="0"/>
              </font>
              <fill>
                <patternFill>
                  <bgColor theme="0"/>
                </patternFill>
              </fill>
              <border>
                <left/>
                <right/>
                <top/>
                <bottom/>
                <vertical/>
                <horizontal/>
              </border>
            </x14:dxf>
          </x14:cfRule>
          <xm:sqref>B243:C245 J243:J245</xm:sqref>
        </x14:conditionalFormatting>
        <x14:conditionalFormatting xmlns:xm="http://schemas.microsoft.com/office/excel/2006/main">
          <x14:cfRule type="expression" priority="339" id="{22972076-319A-403E-A4B8-89A985A54628}">
            <xm:f>OR('G:\Users\GEC\Documents\LUZ\[Copia de 20200615.xlsx]AUX'!#REF!=TRUE,'G:\Users\GEC\Documents\LUZ\[Copia de 20200615.xlsx]AUX'!#REF!=TRUE)</xm:f>
            <x14:dxf>
              <font>
                <color theme="0"/>
              </font>
              <fill>
                <patternFill>
                  <bgColor theme="0"/>
                </patternFill>
              </fill>
              <border>
                <left/>
                <right/>
                <top/>
                <bottom/>
                <vertical/>
                <horizontal/>
              </border>
            </x14:dxf>
          </x14:cfRule>
          <xm:sqref>B243:C245 J243:J245</xm:sqref>
        </x14:conditionalFormatting>
        <x14:conditionalFormatting xmlns:xm="http://schemas.microsoft.com/office/excel/2006/main">
          <x14:cfRule type="expression" priority="338" id="{8364AB51-DA7A-4E4C-9565-A566D2D9DE57}">
            <xm:f>'G:\Users\GEC\Documents\LUZ\[Copia de 20200615.xlsx]AUX'!#REF!=TRUE</xm:f>
            <x14:dxf>
              <font>
                <color theme="0"/>
              </font>
              <fill>
                <patternFill>
                  <bgColor theme="0"/>
                </patternFill>
              </fill>
              <border>
                <left/>
                <right/>
                <top/>
                <bottom/>
                <vertical/>
                <horizontal/>
              </border>
            </x14:dxf>
          </x14:cfRule>
          <xm:sqref>B243:C245 J243:J245</xm:sqref>
        </x14:conditionalFormatting>
        <x14:conditionalFormatting xmlns:xm="http://schemas.microsoft.com/office/excel/2006/main">
          <x14:cfRule type="expression" priority="337" id="{EFB07420-331C-4B16-8BD8-7AEE10914A29}">
            <xm:f>AND('G:\Users\GEC\Documents\LUZ\[Copia de 20200615.xlsx]DATOS'!#REF!="NO",'G:\Users\GEC\Documents\LUZ\[Copia de 20200615.xlsx]DATOS'!#REF!="NO")</xm:f>
            <x14:dxf>
              <font>
                <color theme="0"/>
              </font>
              <fill>
                <patternFill>
                  <bgColor theme="0"/>
                </patternFill>
              </fill>
              <border>
                <left/>
                <right/>
                <top/>
                <bottom/>
                <vertical/>
                <horizontal/>
              </border>
            </x14:dxf>
          </x14:cfRule>
          <xm:sqref>B242:K242</xm:sqref>
        </x14:conditionalFormatting>
        <x14:conditionalFormatting xmlns:xm="http://schemas.microsoft.com/office/excel/2006/main">
          <x14:cfRule type="expression" priority="336" id="{24D704DF-8DE2-4A1E-84C4-97FF6D8CAA55}">
            <xm:f>OR('G:\Users\GEC\Documents\LUZ\[Copia de 20200615.xlsx]AUX'!#REF!=TRUE,'G:\Users\GEC\Documents\LUZ\[Copia de 20200615.xlsx]AUX'!#REF!=TRUE)</xm:f>
            <x14:dxf>
              <font>
                <color theme="0"/>
              </font>
              <fill>
                <patternFill>
                  <bgColor theme="0"/>
                </patternFill>
              </fill>
              <border>
                <left/>
                <right/>
                <top/>
                <bottom/>
                <vertical/>
                <horizontal/>
              </border>
            </x14:dxf>
          </x14:cfRule>
          <xm:sqref>B242:K242</xm:sqref>
        </x14:conditionalFormatting>
        <x14:conditionalFormatting xmlns:xm="http://schemas.microsoft.com/office/excel/2006/main">
          <x14:cfRule type="expression" priority="335" id="{1CC468C5-8FF9-427F-982B-335982815C64}">
            <xm:f>'G:\Users\GEC\Documents\LUZ\[Copia de 20200615.xlsx]AUX'!#REF!=TRUE</xm:f>
            <x14:dxf>
              <font>
                <color theme="0"/>
              </font>
              <fill>
                <patternFill>
                  <bgColor theme="0"/>
                </patternFill>
              </fill>
              <border>
                <left/>
                <right/>
                <top/>
                <bottom/>
                <vertical/>
                <horizontal/>
              </border>
            </x14:dxf>
          </x14:cfRule>
          <xm:sqref>B242:K242</xm:sqref>
        </x14:conditionalFormatting>
        <x14:conditionalFormatting xmlns:xm="http://schemas.microsoft.com/office/excel/2006/main">
          <x14:cfRule type="expression" priority="334" id="{0137CCF6-1D92-4630-AA46-E62FCF74A792}">
            <xm:f>AND('G:\Users\GEC\Documents\LUZ\[Copia de 20200615.xlsx]DATOS'!#REF!="NO",'G:\Users\GEC\Documents\LUZ\[Copia de 20200615.xlsx]DATOS'!#REF!="NO")</xm:f>
            <x14:dxf>
              <font>
                <color theme="0"/>
              </font>
              <fill>
                <patternFill>
                  <bgColor theme="0"/>
                </patternFill>
              </fill>
              <border>
                <left/>
                <right/>
                <top/>
                <bottom/>
                <vertical/>
                <horizontal/>
              </border>
            </x14:dxf>
          </x14:cfRule>
          <xm:sqref>B252:K252</xm:sqref>
        </x14:conditionalFormatting>
        <x14:conditionalFormatting xmlns:xm="http://schemas.microsoft.com/office/excel/2006/main">
          <x14:cfRule type="expression" priority="333" id="{15DB6A5A-A42C-4173-8982-5E4F2854CC44}">
            <xm:f>OR('G:\Users\GEC\Documents\LUZ\[Copia de 20200615.xlsx]AUX'!#REF!=TRUE,'G:\Users\GEC\Documents\LUZ\[Copia de 20200615.xlsx]AUX'!#REF!=TRUE)</xm:f>
            <x14:dxf>
              <font>
                <color theme="0"/>
              </font>
              <fill>
                <patternFill>
                  <bgColor theme="0"/>
                </patternFill>
              </fill>
              <border>
                <left/>
                <right/>
                <top/>
                <bottom/>
                <vertical/>
                <horizontal/>
              </border>
            </x14:dxf>
          </x14:cfRule>
          <xm:sqref>B252:K252</xm:sqref>
        </x14:conditionalFormatting>
        <x14:conditionalFormatting xmlns:xm="http://schemas.microsoft.com/office/excel/2006/main">
          <x14:cfRule type="expression" priority="332" id="{99584D50-0D5D-4313-9C04-4E3DA603A9E7}">
            <xm:f>'G:\Users\GEC\Documents\LUZ\[Copia de 20200615.xlsx]AUX'!#REF!=TRUE</xm:f>
            <x14:dxf>
              <font>
                <color theme="0"/>
              </font>
              <fill>
                <patternFill>
                  <bgColor theme="0"/>
                </patternFill>
              </fill>
              <border>
                <left/>
                <right/>
                <top/>
                <bottom/>
                <vertical/>
                <horizontal/>
              </border>
            </x14:dxf>
          </x14:cfRule>
          <xm:sqref>B252:K252</xm:sqref>
        </x14:conditionalFormatting>
        <x14:conditionalFormatting xmlns:xm="http://schemas.microsoft.com/office/excel/2006/main">
          <x14:cfRule type="expression" priority="331" id="{9BDB6509-D615-48F9-927B-E166FEE6E3B8}">
            <xm:f>OR('G:\Users\GEC\Documents\LUZ\[Copia de 20200615.xlsx]AUX'!#REF!=TRUE,'G:\Users\GEC\Documents\LUZ\[Copia de 20200615.xlsx]AUX'!#REF!=TRUE)</xm:f>
            <x14:dxf>
              <font>
                <color theme="0"/>
              </font>
              <fill>
                <patternFill>
                  <bgColor theme="0"/>
                </patternFill>
              </fill>
              <border>
                <left/>
                <right/>
                <top/>
                <bottom/>
                <vertical/>
                <horizontal/>
              </border>
            </x14:dxf>
          </x14:cfRule>
          <xm:sqref>C229</xm:sqref>
        </x14:conditionalFormatting>
        <x14:conditionalFormatting xmlns:xm="http://schemas.microsoft.com/office/excel/2006/main">
          <x14:cfRule type="expression" priority="330" id="{F6D17AB8-E6F5-46CA-9E46-2B45274C235B}">
            <xm:f>'G:\Users\GEC\Documents\LUZ\[Copia de 20200615.xlsx]DATOS'!#REF!="NO"</xm:f>
            <x14:dxf>
              <border>
                <left/>
                <right/>
                <top/>
                <bottom/>
                <vertical/>
                <horizontal/>
              </border>
            </x14:dxf>
          </x14:cfRule>
          <xm:sqref>D232:I233</xm:sqref>
        </x14:conditionalFormatting>
        <x14:conditionalFormatting xmlns:xm="http://schemas.microsoft.com/office/excel/2006/main">
          <x14:cfRule type="expression" priority="329" id="{C1CEF50A-34A8-4370-9A4E-7B121F44147B}">
            <xm:f>OR('G:\Users\GEC\Documents\LUZ\[Copia de 20200615.xlsx]AUX'!#REF!=TRUE,'G:\Users\GEC\Documents\LUZ\[Copia de 20200615.xlsx]AUX'!#REF!=TRUE)</xm:f>
            <x14:dxf>
              <font>
                <color theme="0"/>
              </font>
              <fill>
                <patternFill>
                  <bgColor theme="0"/>
                </patternFill>
              </fill>
              <border>
                <left/>
                <right/>
                <top/>
                <bottom/>
                <vertical/>
                <horizontal/>
              </border>
            </x14:dxf>
          </x14:cfRule>
          <xm:sqref>D231:H231 D232:I233</xm:sqref>
        </x14:conditionalFormatting>
        <x14:conditionalFormatting xmlns:xm="http://schemas.microsoft.com/office/excel/2006/main">
          <x14:cfRule type="expression" priority="328" id="{E13B3280-7D3E-4C08-B965-252D5939C5FF}">
            <xm:f>OR('G:\Users\GEC\Documents\LUZ\[Copia de 20200615.xlsx]AUX'!#REF!=TRUE,'G:\Users\GEC\Documents\LUZ\[Copia de 20200615.xlsx]AUX'!#REF!=TRUE)</xm:f>
            <x14:dxf>
              <font>
                <color theme="0"/>
              </font>
              <fill>
                <patternFill>
                  <bgColor theme="0"/>
                </patternFill>
              </fill>
              <border>
                <left/>
                <right/>
                <top/>
                <bottom/>
                <vertical/>
                <horizontal/>
              </border>
            </x14:dxf>
          </x14:cfRule>
          <xm:sqref>I231</xm:sqref>
        </x14:conditionalFormatting>
        <x14:conditionalFormatting xmlns:xm="http://schemas.microsoft.com/office/excel/2006/main">
          <x14:cfRule type="expression" priority="324" id="{5294548A-9100-402F-8F64-D4CD05DAEA17}">
            <xm:f>OR('G:\Users\GEC\Documents\LUZ\[Copia de 20200615.xlsx]AUX'!#REF!=TRUE,'G:\Users\GEC\Documents\LUZ\[Copia de 20200615.xlsx]AUX'!#REF!=TRUE)</xm:f>
            <x14:dxf>
              <font>
                <color theme="0"/>
              </font>
              <fill>
                <patternFill>
                  <bgColor theme="0"/>
                </patternFill>
              </fill>
              <border>
                <left/>
                <right/>
                <top/>
                <bottom/>
                <vertical/>
                <horizontal/>
              </border>
            </x14:dxf>
          </x14:cfRule>
          <xm:sqref>C230</xm:sqref>
        </x14:conditionalFormatting>
        <x14:conditionalFormatting xmlns:xm="http://schemas.microsoft.com/office/excel/2006/main">
          <x14:cfRule type="expression" priority="323" id="{11A9F794-62E0-4C08-B027-693D311C8D31}">
            <xm:f>AND('G:\Users\GEC\Documents\LUZ\[Copia de 20200615.xlsx]DATOS'!#REF!="NO",'G:\Users\GEC\Documents\LUZ\[Copia de 20200615.xlsx]DATOS'!#REF!="NO")</xm:f>
            <x14:dxf>
              <font>
                <color theme="0"/>
              </font>
              <fill>
                <patternFill>
                  <bgColor theme="0"/>
                </patternFill>
              </fill>
              <border>
                <left/>
                <right/>
                <top/>
                <bottom/>
                <vertical/>
                <horizontal/>
              </border>
            </x14:dxf>
          </x14:cfRule>
          <xm:sqref>K253</xm:sqref>
        </x14:conditionalFormatting>
        <x14:conditionalFormatting xmlns:xm="http://schemas.microsoft.com/office/excel/2006/main">
          <x14:cfRule type="expression" priority="322" id="{6EC50B99-F874-4982-89F1-658163900D81}">
            <xm:f>OR('G:\Users\GEC\Documents\LUZ\[Copia de 20200615.xlsx]AUX'!#REF!=TRUE,'G:\Users\GEC\Documents\LUZ\[Copia de 20200615.xlsx]AUX'!#REF!=TRUE)</xm:f>
            <x14:dxf>
              <font>
                <color theme="0"/>
              </font>
              <fill>
                <patternFill>
                  <bgColor theme="0"/>
                </patternFill>
              </fill>
              <border>
                <left/>
                <right/>
                <top/>
                <bottom/>
                <vertical/>
                <horizontal/>
              </border>
            </x14:dxf>
          </x14:cfRule>
          <xm:sqref>K253</xm:sqref>
        </x14:conditionalFormatting>
        <x14:conditionalFormatting xmlns:xm="http://schemas.microsoft.com/office/excel/2006/main">
          <x14:cfRule type="expression" priority="321" id="{7AF2F06F-999D-4C25-9E23-CACF1A28F6A7}">
            <xm:f>'G:\Users\GEC\Documents\LUZ\[Copia de 20200615.xlsx]AUX'!#REF!=TRUE</xm:f>
            <x14:dxf>
              <font>
                <color theme="0"/>
              </font>
              <fill>
                <patternFill>
                  <bgColor theme="0"/>
                </patternFill>
              </fill>
              <border>
                <left/>
                <right/>
                <top/>
                <bottom/>
                <vertical/>
                <horizontal/>
              </border>
            </x14:dxf>
          </x14:cfRule>
          <xm:sqref>K253</xm:sqref>
        </x14:conditionalFormatting>
        <x14:conditionalFormatting xmlns:xm="http://schemas.microsoft.com/office/excel/2006/main">
          <x14:cfRule type="expression" priority="320" id="{157C7153-33B7-4CB8-89DB-8368F17FAED2}">
            <xm:f>AND('G:\Users\GEC\Documents\LUZ\[Copia de 20200615.xlsx]DATOS'!#REF!="NO",'G:\Users\GEC\Documents\LUZ\[Copia de 20200615.xlsx]DATOS'!#REF!="NO")</xm:f>
            <x14:dxf>
              <font>
                <color theme="0"/>
              </font>
              <fill>
                <patternFill>
                  <bgColor theme="0"/>
                </patternFill>
              </fill>
              <border>
                <left/>
                <right/>
                <top/>
                <bottom/>
                <vertical/>
                <horizontal/>
              </border>
            </x14:dxf>
          </x14:cfRule>
          <xm:sqref>J254</xm:sqref>
        </x14:conditionalFormatting>
        <x14:conditionalFormatting xmlns:xm="http://schemas.microsoft.com/office/excel/2006/main">
          <x14:cfRule type="expression" priority="319" id="{FC5708D8-A00F-4613-8809-EDCCA9CB6D25}">
            <xm:f>OR('G:\Users\GEC\Documents\LUZ\[Copia de 20200615.xlsx]AUX'!#REF!=TRUE,'G:\Users\GEC\Documents\LUZ\[Copia de 20200615.xlsx]AUX'!#REF!=TRUE)</xm:f>
            <x14:dxf>
              <font>
                <color theme="0"/>
              </font>
              <fill>
                <patternFill>
                  <bgColor theme="0"/>
                </patternFill>
              </fill>
              <border>
                <left/>
                <right/>
                <top/>
                <bottom/>
                <vertical/>
                <horizontal/>
              </border>
            </x14:dxf>
          </x14:cfRule>
          <xm:sqref>J254</xm:sqref>
        </x14:conditionalFormatting>
        <x14:conditionalFormatting xmlns:xm="http://schemas.microsoft.com/office/excel/2006/main">
          <x14:cfRule type="expression" priority="318" id="{4A3408EB-AB39-4831-821A-29FD6DB6E7FE}">
            <xm:f>'G:\Users\GEC\Documents\LUZ\[Copia de 20200615.xlsx]AUX'!#REF!=TRUE</xm:f>
            <x14:dxf>
              <font>
                <color theme="0"/>
              </font>
              <fill>
                <patternFill>
                  <bgColor theme="0"/>
                </patternFill>
              </fill>
              <border>
                <left/>
                <right/>
                <top/>
                <bottom/>
                <vertical/>
                <horizontal/>
              </border>
            </x14:dxf>
          </x14:cfRule>
          <xm:sqref>J254</xm:sqref>
        </x14:conditionalFormatting>
        <x14:conditionalFormatting xmlns:xm="http://schemas.microsoft.com/office/excel/2006/main">
          <x14:cfRule type="expression" priority="317" id="{6FA1551A-4E64-4621-B67D-494A15ED31B8}">
            <xm:f>OR('G:\Users\GEC\Documents\LUZ\[Copia de 20200615.xlsx]AUX'!#REF!=TRUE,'G:\Users\GEC\Documents\LUZ\[Copia de 20200615.xlsx]AUX'!#REF!=TRUE)</xm:f>
            <x14:dxf>
              <font>
                <color theme="0"/>
              </font>
              <fill>
                <patternFill>
                  <bgColor theme="0"/>
                </patternFill>
              </fill>
              <border>
                <left/>
                <right/>
                <top/>
                <bottom/>
                <vertical/>
                <horizontal/>
              </border>
            </x14:dxf>
          </x14:cfRule>
          <xm:sqref>H223:H224</xm:sqref>
        </x14:conditionalFormatting>
        <x14:conditionalFormatting xmlns:xm="http://schemas.microsoft.com/office/excel/2006/main">
          <x14:cfRule type="expression" priority="316" id="{19175A18-A490-4A42-B648-D43E629B957C}">
            <xm:f>OR('G:\Users\GEC\Documents\LUZ\[Copia de 20200615.xlsx]AUX'!#REF!=TRUE,'G:\Users\GEC\Documents\LUZ\[Copia de 20200615.xlsx]AUX'!#REF!=TRUE)</xm:f>
            <x14:dxf>
              <font>
                <color theme="0"/>
              </font>
              <fill>
                <patternFill>
                  <bgColor theme="0"/>
                </patternFill>
              </fill>
              <border>
                <left/>
                <right/>
                <top/>
                <bottom/>
                <vertical/>
                <horizontal/>
              </border>
            </x14:dxf>
          </x14:cfRule>
          <xm:sqref>F223</xm:sqref>
        </x14:conditionalFormatting>
        <x14:conditionalFormatting xmlns:xm="http://schemas.microsoft.com/office/excel/2006/main">
          <x14:cfRule type="expression" priority="315" id="{AA774715-DE38-4CFC-86B3-A2C5349BB80C}">
            <xm:f>OR('G:\Users\GEC\Documents\LUZ\[Copia de 20200615.xlsx]AUX'!#REF!=TRUE,'G:\Users\GEC\Documents\LUZ\[Copia de 20200615.xlsx]AUX'!#REF!=TRUE)</xm:f>
            <x14:dxf>
              <font>
                <color theme="0"/>
              </font>
              <fill>
                <patternFill>
                  <bgColor theme="0"/>
                </patternFill>
              </fill>
              <border>
                <left/>
                <right/>
                <top/>
                <bottom/>
                <vertical/>
                <horizontal/>
              </border>
            </x14:dxf>
          </x14:cfRule>
          <xm:sqref>F224:F227</xm:sqref>
        </x14:conditionalFormatting>
        <x14:conditionalFormatting xmlns:xm="http://schemas.microsoft.com/office/excel/2006/main">
          <x14:cfRule type="expression" priority="314" id="{D51E8797-B4FE-47E8-96AC-1535FAA5BF7B}">
            <xm:f>OR('G:\Users\GEC\Documents\LUZ\[Copia de 20200615.xlsx]AUX'!#REF!=TRUE,'G:\Users\GEC\Documents\LUZ\[Copia de 20200615.xlsx]AUX'!#REF!=TRUE)</xm:f>
            <x14:dxf>
              <font>
                <color theme="0"/>
              </font>
              <fill>
                <patternFill>
                  <bgColor theme="0"/>
                </patternFill>
              </fill>
              <border>
                <left/>
                <right/>
                <top/>
                <bottom/>
                <vertical/>
                <horizontal/>
              </border>
            </x14:dxf>
          </x14:cfRule>
          <xm:sqref>H227</xm:sqref>
        </x14:conditionalFormatting>
        <x14:conditionalFormatting xmlns:xm="http://schemas.microsoft.com/office/excel/2006/main">
          <x14:cfRule type="expression" priority="313" id="{08076BC0-0595-4EE6-9E09-6FCAD2F94BBC}">
            <xm:f>OR('G:\Users\GEC\Documents\LUZ\[Copia de 20200615.xlsx]AUX'!#REF!=TRUE,'G:\Users\GEC\Documents\LUZ\[Copia de 20200615.xlsx]AUX'!#REF!=TRUE)</xm:f>
            <x14:dxf>
              <font>
                <color theme="0"/>
              </font>
              <fill>
                <patternFill>
                  <bgColor theme="0"/>
                </patternFill>
              </fill>
              <border>
                <left/>
                <right/>
                <top/>
                <bottom/>
                <vertical/>
                <horizontal/>
              </border>
            </x14:dxf>
          </x14:cfRule>
          <xm:sqref>H225</xm:sqref>
        </x14:conditionalFormatting>
        <x14:conditionalFormatting xmlns:xm="http://schemas.microsoft.com/office/excel/2006/main">
          <x14:cfRule type="expression" priority="312" id="{DA66EBAA-6943-4126-AAF5-5322E9CB5A0F}">
            <xm:f>'G:\Users\GEC\Documents\LUZ\[Copia de 20200615.xlsx]DATOS'!#REF!="NO"</xm:f>
            <x14:dxf>
              <font>
                <color theme="0"/>
              </font>
              <fill>
                <patternFill>
                  <bgColor theme="0"/>
                </patternFill>
              </fill>
            </x14:dxf>
          </x14:cfRule>
          <xm:sqref>C246:K246</xm:sqref>
        </x14:conditionalFormatting>
        <x14:conditionalFormatting xmlns:xm="http://schemas.microsoft.com/office/excel/2006/main">
          <x14:cfRule type="expression" priority="311" id="{0AFBA0C4-43F0-448C-8B60-AD8003D826CD}">
            <xm:f>AND('G:\Users\GEC\Documents\LUZ\[Copia de 20200615.xlsx]DATOS'!#REF!="NO",'G:\Users\GEC\Documents\LUZ\[Copia de 20200615.xlsx]DATOS'!#REF!="NO")</xm:f>
            <x14:dxf>
              <font>
                <color theme="0"/>
              </font>
              <fill>
                <patternFill>
                  <bgColor theme="0"/>
                </patternFill>
              </fill>
              <border>
                <left/>
                <right/>
                <top/>
                <bottom/>
                <vertical/>
                <horizontal/>
              </border>
            </x14:dxf>
          </x14:cfRule>
          <xm:sqref>C249:I249 K249 B250:K250 B246:K247 H248:I248 B248:E248</xm:sqref>
        </x14:conditionalFormatting>
        <x14:conditionalFormatting xmlns:xm="http://schemas.microsoft.com/office/excel/2006/main">
          <x14:cfRule type="expression" priority="310" id="{A17E6C9E-F4AB-46D9-BF17-55B69E5AFE87}">
            <xm:f>OR('G:\Users\GEC\Documents\LUZ\[Copia de 20200615.xlsx]AUX'!#REF!=TRUE,'G:\Users\GEC\Documents\LUZ\[Copia de 20200615.xlsx]AUX'!#REF!=TRUE)</xm:f>
            <x14:dxf>
              <font>
                <color theme="0"/>
              </font>
              <fill>
                <patternFill>
                  <bgColor theme="0"/>
                </patternFill>
              </fill>
              <border>
                <left/>
                <right/>
                <top/>
                <bottom/>
                <vertical/>
                <horizontal/>
              </border>
            </x14:dxf>
          </x14:cfRule>
          <xm:sqref>C249:I249 K249 B250:K250 B246:K247 H248:I248 B248:E248</xm:sqref>
        </x14:conditionalFormatting>
        <x14:conditionalFormatting xmlns:xm="http://schemas.microsoft.com/office/excel/2006/main">
          <x14:cfRule type="expression" priority="309" id="{2F928EB4-01CF-4799-B788-1CF56DF59865}">
            <xm:f>'G:\Users\GEC\Documents\LUZ\[Copia de 20200615.xlsx]AUX'!#REF!=TRUE</xm:f>
            <x14:dxf>
              <font>
                <color theme="0"/>
              </font>
              <fill>
                <patternFill>
                  <bgColor theme="0"/>
                </patternFill>
              </fill>
              <border>
                <left/>
                <right/>
                <top/>
                <bottom/>
                <vertical/>
                <horizontal/>
              </border>
            </x14:dxf>
          </x14:cfRule>
          <xm:sqref>C249:I249 K249 B250:K250 B246:K247 H248:I248 B248:E248</xm:sqref>
        </x14:conditionalFormatting>
        <x14:conditionalFormatting xmlns:xm="http://schemas.microsoft.com/office/excel/2006/main">
          <x14:cfRule type="expression" priority="308" id="{C5534A97-BA00-46E8-B226-13B6EBEC7CEC}">
            <xm:f>AND('G:\Users\GEC\Documents\LUZ\[Copia de 20200615.xlsx]DATOS'!#REF!="NO",'G:\Users\GEC\Documents\LUZ\[Copia de 20200615.xlsx]DATOS'!#REF!="NO")</xm:f>
            <x14:dxf>
              <font>
                <color theme="0"/>
              </font>
              <fill>
                <patternFill>
                  <bgColor theme="0"/>
                </patternFill>
              </fill>
              <border>
                <left/>
                <right/>
                <top/>
                <bottom/>
                <vertical/>
                <horizontal/>
              </border>
            </x14:dxf>
          </x14:cfRule>
          <xm:sqref>K254</xm:sqref>
        </x14:conditionalFormatting>
        <x14:conditionalFormatting xmlns:xm="http://schemas.microsoft.com/office/excel/2006/main">
          <x14:cfRule type="expression" priority="307" id="{84DF50DE-B833-4348-8F3D-6DCAC8561431}">
            <xm:f>OR('G:\Users\GEC\Documents\LUZ\[Copia de 20200615.xlsx]AUX'!#REF!=TRUE,'G:\Users\GEC\Documents\LUZ\[Copia de 20200615.xlsx]AUX'!#REF!=TRUE)</xm:f>
            <x14:dxf>
              <font>
                <color theme="0"/>
              </font>
              <fill>
                <patternFill>
                  <bgColor theme="0"/>
                </patternFill>
              </fill>
              <border>
                <left/>
                <right/>
                <top/>
                <bottom/>
                <vertical/>
                <horizontal/>
              </border>
            </x14:dxf>
          </x14:cfRule>
          <xm:sqref>K254</xm:sqref>
        </x14:conditionalFormatting>
        <x14:conditionalFormatting xmlns:xm="http://schemas.microsoft.com/office/excel/2006/main">
          <x14:cfRule type="expression" priority="306" id="{4FB52D7A-B5C8-44E6-B536-5B892C256AD6}">
            <xm:f>'G:\Users\GEC\Documents\LUZ\[Copia de 20200615.xlsx]AUX'!#REF!=TRUE</xm:f>
            <x14:dxf>
              <font>
                <color theme="0"/>
              </font>
              <fill>
                <patternFill>
                  <bgColor theme="0"/>
                </patternFill>
              </fill>
              <border>
                <left/>
                <right/>
                <top/>
                <bottom/>
                <vertical/>
                <horizontal/>
              </border>
            </x14:dxf>
          </x14:cfRule>
          <xm:sqref>K254</xm:sqref>
        </x14:conditionalFormatting>
        <x14:conditionalFormatting xmlns:xm="http://schemas.microsoft.com/office/excel/2006/main">
          <x14:cfRule type="expression" priority="305" id="{611A76C7-580C-4F40-A263-22214A80755E}">
            <xm:f>AND('G:\Users\GEC\Documents\LUZ\[Copia de 20200615.xlsx]DATOS'!#REF!="NO",'G:\Users\GEC\Documents\LUZ\[Copia de 20200615.xlsx]DATOS'!#REF!="NO")</xm:f>
            <x14:dxf>
              <font>
                <color theme="0"/>
              </font>
              <fill>
                <patternFill>
                  <bgColor theme="0"/>
                </patternFill>
              </fill>
              <border>
                <left/>
                <right/>
                <top/>
                <bottom/>
                <vertical/>
                <horizontal/>
              </border>
            </x14:dxf>
          </x14:cfRule>
          <xm:sqref>F243:I245</xm:sqref>
        </x14:conditionalFormatting>
        <x14:conditionalFormatting xmlns:xm="http://schemas.microsoft.com/office/excel/2006/main">
          <x14:cfRule type="expression" priority="304" id="{C9DF6EE5-CAC0-4061-9145-BD1DBA4BDBD6}">
            <xm:f>OR('G:\Users\GEC\Documents\LUZ\[Copia de 20200615.xlsx]AUX'!#REF!=TRUE,'G:\Users\GEC\Documents\LUZ\[Copia de 20200615.xlsx]AUX'!#REF!=TRUE)</xm:f>
            <x14:dxf>
              <font>
                <color theme="0"/>
              </font>
              <fill>
                <patternFill>
                  <bgColor theme="0"/>
                </patternFill>
              </fill>
              <border>
                <left/>
                <right/>
                <top/>
                <bottom/>
                <vertical/>
                <horizontal/>
              </border>
            </x14:dxf>
          </x14:cfRule>
          <xm:sqref>F243:I245</xm:sqref>
        </x14:conditionalFormatting>
        <x14:conditionalFormatting xmlns:xm="http://schemas.microsoft.com/office/excel/2006/main">
          <x14:cfRule type="expression" priority="303" id="{EB6B3C9A-EE04-4600-87D0-58AC0B100443}">
            <xm:f>'G:\Users\GEC\Documents\LUZ\[Copia de 20200615.xlsx]AUX'!#REF!=TRUE</xm:f>
            <x14:dxf>
              <font>
                <color theme="0"/>
              </font>
              <fill>
                <patternFill>
                  <bgColor theme="0"/>
                </patternFill>
              </fill>
              <border>
                <left/>
                <right/>
                <top/>
                <bottom/>
                <vertical/>
                <horizontal/>
              </border>
            </x14:dxf>
          </x14:cfRule>
          <xm:sqref>F243:I245</xm:sqref>
        </x14:conditionalFormatting>
        <x14:conditionalFormatting xmlns:xm="http://schemas.microsoft.com/office/excel/2006/main">
          <x14:cfRule type="expression" priority="302" id="{0C7F4D25-B165-44CC-9E47-797BC2C379D3}">
            <xm:f>AND('G:\Users\GEC\Documents\LUZ\[Copia de 20200615.xlsx]DATOS'!#REF!="NO",'G:\Users\GEC\Documents\LUZ\[Copia de 20200615.xlsx]DATOS'!#REF!="NO")</xm:f>
            <x14:dxf>
              <font>
                <color theme="0"/>
              </font>
              <fill>
                <patternFill>
                  <bgColor theme="0"/>
                </patternFill>
              </fill>
              <border>
                <left/>
                <right/>
                <top/>
                <bottom/>
                <vertical/>
                <horizontal/>
              </border>
            </x14:dxf>
          </x14:cfRule>
          <xm:sqref>E243:E245</xm:sqref>
        </x14:conditionalFormatting>
        <x14:conditionalFormatting xmlns:xm="http://schemas.microsoft.com/office/excel/2006/main">
          <x14:cfRule type="expression" priority="301" id="{76472D79-EFBE-4F06-B23C-A5376EC3CC57}">
            <xm:f>OR('G:\Users\GEC\Documents\LUZ\[Copia de 20200615.xlsx]AUX'!#REF!=TRUE,'G:\Users\GEC\Documents\LUZ\[Copia de 20200615.xlsx]AUX'!#REF!=TRUE)</xm:f>
            <x14:dxf>
              <font>
                <color theme="0"/>
              </font>
              <fill>
                <patternFill>
                  <bgColor theme="0"/>
                </patternFill>
              </fill>
              <border>
                <left/>
                <right/>
                <top/>
                <bottom/>
                <vertical/>
                <horizontal/>
              </border>
            </x14:dxf>
          </x14:cfRule>
          <xm:sqref>E243:E245</xm:sqref>
        </x14:conditionalFormatting>
        <x14:conditionalFormatting xmlns:xm="http://schemas.microsoft.com/office/excel/2006/main">
          <x14:cfRule type="expression" priority="300" id="{F998CB63-7BAD-46B0-AB75-E78D60B1B098}">
            <xm:f>'G:\Users\GEC\Documents\LUZ\[Copia de 20200615.xlsx]AUX'!#REF!=TRUE</xm:f>
            <x14:dxf>
              <font>
                <color theme="0"/>
              </font>
              <fill>
                <patternFill>
                  <bgColor theme="0"/>
                </patternFill>
              </fill>
              <border>
                <left/>
                <right/>
                <top/>
                <bottom/>
                <vertical/>
                <horizontal/>
              </border>
            </x14:dxf>
          </x14:cfRule>
          <xm:sqref>E243:E245</xm:sqref>
        </x14:conditionalFormatting>
        <x14:conditionalFormatting xmlns:xm="http://schemas.microsoft.com/office/excel/2006/main">
          <x14:cfRule type="expression" priority="299" id="{CA2ED0B3-7DB8-4B26-9D5F-D64010EAD7F7}">
            <xm:f>AND('G:\Users\GEC\Documents\LUZ\[Copia de 20200615.xlsx]DATOS'!#REF!="NO",'G:\Users\GEC\Documents\LUZ\[Copia de 20200615.xlsx]DATOS'!#REF!="NO")</xm:f>
            <x14:dxf>
              <font>
                <color theme="0"/>
              </font>
              <fill>
                <patternFill>
                  <bgColor theme="0"/>
                </patternFill>
              </fill>
              <border>
                <left/>
                <right/>
                <top/>
                <bottom/>
                <vertical/>
                <horizontal/>
              </border>
            </x14:dxf>
          </x14:cfRule>
          <xm:sqref>D243:D245</xm:sqref>
        </x14:conditionalFormatting>
        <x14:conditionalFormatting xmlns:xm="http://schemas.microsoft.com/office/excel/2006/main">
          <x14:cfRule type="expression" priority="298" id="{1EAEF51C-FB46-496D-B987-8122FF343AB9}">
            <xm:f>OR('G:\Users\GEC\Documents\LUZ\[Copia de 20200615.xlsx]AUX'!#REF!=TRUE,'G:\Users\GEC\Documents\LUZ\[Copia de 20200615.xlsx]AUX'!#REF!=TRUE)</xm:f>
            <x14:dxf>
              <font>
                <color theme="0"/>
              </font>
              <fill>
                <patternFill>
                  <bgColor theme="0"/>
                </patternFill>
              </fill>
              <border>
                <left/>
                <right/>
                <top/>
                <bottom/>
                <vertical/>
                <horizontal/>
              </border>
            </x14:dxf>
          </x14:cfRule>
          <xm:sqref>D243:D245</xm:sqref>
        </x14:conditionalFormatting>
        <x14:conditionalFormatting xmlns:xm="http://schemas.microsoft.com/office/excel/2006/main">
          <x14:cfRule type="expression" priority="297" id="{18F54459-D455-4A4B-AC44-69117ADCB40F}">
            <xm:f>'G:\Users\GEC\Documents\LUZ\[Copia de 20200615.xlsx]AUX'!#REF!=TRUE</xm:f>
            <x14:dxf>
              <font>
                <color theme="0"/>
              </font>
              <fill>
                <patternFill>
                  <bgColor theme="0"/>
                </patternFill>
              </fill>
              <border>
                <left/>
                <right/>
                <top/>
                <bottom/>
                <vertical/>
                <horizontal/>
              </border>
            </x14:dxf>
          </x14:cfRule>
          <xm:sqref>D243:D245</xm:sqref>
        </x14:conditionalFormatting>
        <x14:conditionalFormatting xmlns:xm="http://schemas.microsoft.com/office/excel/2006/main">
          <x14:cfRule type="expression" priority="296" id="{E32B63FA-D3A3-431A-9A36-BD23E8E86FE5}">
            <xm:f>AND('G:\Users\GEC\Documents\LUZ\[Copia de 20200615.xlsx]DATOS'!#REF!="NO",'G:\Users\GEC\Documents\LUZ\[Copia de 20200615.xlsx]DATOS'!#REF!="NO")</xm:f>
            <x14:dxf>
              <font>
                <color theme="0"/>
              </font>
              <fill>
                <patternFill>
                  <bgColor theme="0"/>
                </patternFill>
              </fill>
              <border>
                <left/>
                <right/>
                <top/>
                <bottom/>
                <vertical/>
                <horizontal/>
              </border>
            </x14:dxf>
          </x14:cfRule>
          <xm:sqref>F238:H239</xm:sqref>
        </x14:conditionalFormatting>
        <x14:conditionalFormatting xmlns:xm="http://schemas.microsoft.com/office/excel/2006/main">
          <x14:cfRule type="expression" priority="295" id="{163B3B4D-B9A7-426A-8D88-E35EF95BAB24}">
            <xm:f>OR('G:\Users\GEC\Documents\LUZ\[Copia de 20200615.xlsx]AUX'!#REF!=TRUE,'G:\Users\GEC\Documents\LUZ\[Copia de 20200615.xlsx]AUX'!#REF!=TRUE)</xm:f>
            <x14:dxf>
              <font>
                <color theme="0"/>
              </font>
              <fill>
                <patternFill>
                  <bgColor theme="0"/>
                </patternFill>
              </fill>
              <border>
                <left/>
                <right/>
                <top/>
                <bottom/>
                <vertical/>
                <horizontal/>
              </border>
            </x14:dxf>
          </x14:cfRule>
          <xm:sqref>F238:H239</xm:sqref>
        </x14:conditionalFormatting>
        <x14:conditionalFormatting xmlns:xm="http://schemas.microsoft.com/office/excel/2006/main">
          <x14:cfRule type="expression" priority="294" id="{DDB2E265-95EF-44B6-8CBE-13D4324757C9}">
            <xm:f>'G:\Users\GEC\Documents\LUZ\[Copia de 20200615.xlsx]AUX'!#REF!=TRUE</xm:f>
            <x14:dxf>
              <font>
                <color theme="0"/>
              </font>
              <fill>
                <patternFill>
                  <bgColor theme="0"/>
                </patternFill>
              </fill>
              <border>
                <left/>
                <right/>
                <top/>
                <bottom/>
                <vertical/>
                <horizontal/>
              </border>
            </x14:dxf>
          </x14:cfRule>
          <xm:sqref>G240:H240 E238:H239</xm:sqref>
        </x14:conditionalFormatting>
        <x14:conditionalFormatting xmlns:xm="http://schemas.microsoft.com/office/excel/2006/main">
          <x14:cfRule type="expression" priority="293" id="{3353B7D4-3CFA-4E23-818E-189006688439}">
            <xm:f>AND('G:\Users\GEC\Documents\LUZ\[Copia de 20200615.xlsx]DATOS'!#REF!="NO",'G:\Users\GEC\Documents\LUZ\[Copia de 20200615.xlsx]DATOS'!#REF!="NO")</xm:f>
            <x14:dxf>
              <font>
                <color theme="0"/>
              </font>
              <fill>
                <patternFill>
                  <bgColor theme="0"/>
                </patternFill>
              </fill>
              <border>
                <left/>
                <right/>
                <top/>
                <bottom/>
                <vertical/>
                <horizontal/>
              </border>
            </x14:dxf>
          </x14:cfRule>
          <xm:sqref>G240:H240</xm:sqref>
        </x14:conditionalFormatting>
        <x14:conditionalFormatting xmlns:xm="http://schemas.microsoft.com/office/excel/2006/main">
          <x14:cfRule type="expression" priority="292" id="{39848F45-0FF0-4111-BE94-CFF415E76424}">
            <xm:f>OR('G:\Users\GEC\Documents\LUZ\[Copia de 20200615.xlsx]AUX'!#REF!=TRUE,'G:\Users\GEC\Documents\LUZ\[Copia de 20200615.xlsx]AUX'!#REF!=TRUE)</xm:f>
            <x14:dxf>
              <font>
                <color theme="0"/>
              </font>
              <fill>
                <patternFill>
                  <bgColor theme="0"/>
                </patternFill>
              </fill>
              <border>
                <left/>
                <right/>
                <top/>
                <bottom/>
                <vertical/>
                <horizontal/>
              </border>
            </x14:dxf>
          </x14:cfRule>
          <xm:sqref>G240:H240</xm:sqref>
        </x14:conditionalFormatting>
        <x14:conditionalFormatting xmlns:xm="http://schemas.microsoft.com/office/excel/2006/main">
          <x14:cfRule type="expression" priority="291" id="{B778F612-5A13-401B-910D-D2AFB5F08819}">
            <xm:f>AND('G:\Users\GEC\Documents\LUZ\[Copia de 20200615.xlsx]DATOS'!#REF!="NO",'G:\Users\GEC\Documents\LUZ\[Copia de 20200615.xlsx]DATOS'!#REF!="NO")</xm:f>
            <x14:dxf>
              <font>
                <color theme="0"/>
              </font>
              <fill>
                <patternFill>
                  <bgColor theme="0"/>
                </patternFill>
              </fill>
              <border>
                <left/>
                <right/>
                <top/>
                <bottom/>
                <vertical/>
                <horizontal/>
              </border>
            </x14:dxf>
          </x14:cfRule>
          <xm:sqref>E240:F240</xm:sqref>
        </x14:conditionalFormatting>
        <x14:conditionalFormatting xmlns:xm="http://schemas.microsoft.com/office/excel/2006/main">
          <x14:cfRule type="expression" priority="290" id="{A84852B7-04C8-4B20-849D-DC53D6E9D39A}">
            <xm:f>OR('G:\Users\GEC\Documents\LUZ\[Copia de 20200615.xlsx]AUX'!#REF!=TRUE,'G:\Users\GEC\Documents\LUZ\[Copia de 20200615.xlsx]AUX'!#REF!=TRUE)</xm:f>
            <x14:dxf>
              <font>
                <color theme="0"/>
              </font>
              <fill>
                <patternFill>
                  <bgColor theme="0"/>
                </patternFill>
              </fill>
              <border>
                <left/>
                <right/>
                <top/>
                <bottom/>
                <vertical/>
                <horizontal/>
              </border>
            </x14:dxf>
          </x14:cfRule>
          <xm:sqref>E240:F240</xm:sqref>
        </x14:conditionalFormatting>
        <x14:conditionalFormatting xmlns:xm="http://schemas.microsoft.com/office/excel/2006/main">
          <x14:cfRule type="expression" priority="289" id="{97915F0F-9821-42D7-AB1D-77B054D5B7D7}">
            <xm:f>'G:\Users\GEC\Documents\LUZ\[Copia de 20200615.xlsx]AUX'!#REF!=TRUE</xm:f>
            <x14:dxf>
              <font>
                <color theme="0"/>
              </font>
              <fill>
                <patternFill>
                  <bgColor theme="0"/>
                </patternFill>
              </fill>
              <border>
                <left/>
                <right/>
                <top/>
                <bottom/>
                <vertical/>
                <horizontal/>
              </border>
            </x14:dxf>
          </x14:cfRule>
          <xm:sqref>E240:F240</xm:sqref>
        </x14:conditionalFormatting>
        <x14:conditionalFormatting xmlns:xm="http://schemas.microsoft.com/office/excel/2006/main">
          <x14:cfRule type="expression" priority="288" id="{01073E89-B67C-43F5-A8D6-B74FE559B798}">
            <xm:f>AND('G:\Users\GEC\Documents\LUZ\[Copia de 20200615.xlsx]DATOS'!#REF!="NO",'G:\Users\GEC\Documents\LUZ\[Copia de 20200615.xlsx]DATOS'!#REF!="NO")</xm:f>
            <x14:dxf>
              <font>
                <color theme="0"/>
              </font>
              <fill>
                <patternFill>
                  <bgColor theme="0"/>
                </patternFill>
              </fill>
              <border>
                <left/>
                <right/>
                <top/>
                <bottom/>
                <vertical/>
                <horizontal/>
              </border>
            </x14:dxf>
          </x14:cfRule>
          <xm:sqref>E238:E239</xm:sqref>
        </x14:conditionalFormatting>
        <x14:conditionalFormatting xmlns:xm="http://schemas.microsoft.com/office/excel/2006/main">
          <x14:cfRule type="expression" priority="287" id="{AEDF9F95-0132-4A6F-B51E-4ED53DAEF54B}">
            <xm:f>OR('G:\Users\GEC\Documents\LUZ\[Copia de 20200615.xlsx]AUX'!#REF!=TRUE,'G:\Users\GEC\Documents\LUZ\[Copia de 20200615.xlsx]AUX'!#REF!=TRUE)</xm:f>
            <x14:dxf>
              <font>
                <color theme="0"/>
              </font>
              <fill>
                <patternFill>
                  <bgColor theme="0"/>
                </patternFill>
              </fill>
              <border>
                <left/>
                <right/>
                <top/>
                <bottom/>
                <vertical/>
                <horizontal/>
              </border>
            </x14:dxf>
          </x14:cfRule>
          <xm:sqref>E238:E239</xm:sqref>
        </x14:conditionalFormatting>
        <x14:conditionalFormatting xmlns:xm="http://schemas.microsoft.com/office/excel/2006/main">
          <x14:cfRule type="expression" priority="284" id="{836B6908-AE72-49B0-AB91-9B8621772E5F}">
            <xm:f>'G:\Users\GEC\Documents\LUZ\[Copia de 20200615.xlsx]AUX'!#REF!=TRUE</xm:f>
            <x14:dxf>
              <font>
                <color theme="0"/>
              </font>
              <fill>
                <patternFill>
                  <bgColor theme="0"/>
                </patternFill>
              </fill>
              <border>
                <left/>
                <right/>
                <top/>
                <bottom/>
                <vertical/>
                <horizontal/>
              </border>
            </x14:dxf>
          </x14:cfRule>
          <xm:sqref>D240</xm:sqref>
        </x14:conditionalFormatting>
        <x14:conditionalFormatting xmlns:xm="http://schemas.microsoft.com/office/excel/2006/main">
          <x14:cfRule type="expression" priority="286" id="{5DE29785-6471-4193-A47A-5EDA7DCA692C}">
            <xm:f>AND('G:\Users\GEC\Documents\LUZ\[Copia de 20200615.xlsx]DATOS'!#REF!="NO",'G:\Users\GEC\Documents\LUZ\[Copia de 20200615.xlsx]DATOS'!#REF!="NO")</xm:f>
            <x14:dxf>
              <font>
                <color theme="0"/>
              </font>
              <fill>
                <patternFill>
                  <bgColor theme="0"/>
                </patternFill>
              </fill>
              <border>
                <left/>
                <right/>
                <top/>
                <bottom/>
                <vertical/>
                <horizontal/>
              </border>
            </x14:dxf>
          </x14:cfRule>
          <xm:sqref>D240</xm:sqref>
        </x14:conditionalFormatting>
        <x14:conditionalFormatting xmlns:xm="http://schemas.microsoft.com/office/excel/2006/main">
          <x14:cfRule type="expression" priority="285" id="{D80070A5-0286-4257-8A21-5A8C4EBAADC9}">
            <xm:f>OR('G:\Users\GEC\Documents\LUZ\[Copia de 20200615.xlsx]AUX'!#REF!=TRUE,'G:\Users\GEC\Documents\LUZ\[Copia de 20200615.xlsx]AUX'!#REF!=TRUE)</xm:f>
            <x14:dxf>
              <font>
                <color theme="0"/>
              </font>
              <fill>
                <patternFill>
                  <bgColor theme="0"/>
                </patternFill>
              </fill>
              <border>
                <left/>
                <right/>
                <top/>
                <bottom/>
                <vertical/>
                <horizontal/>
              </border>
            </x14:dxf>
          </x14:cfRule>
          <xm:sqref>D240</xm:sqref>
        </x14:conditionalFormatting>
        <x14:conditionalFormatting xmlns:xm="http://schemas.microsoft.com/office/excel/2006/main">
          <x14:cfRule type="expression" priority="283" id="{74F289FC-A2AF-4EDF-9B0F-F93DBD87D3AD}">
            <xm:f>AND('G:\Users\GEC\Documents\LUZ\[Copia de 20200615.xlsx]DATOS'!#REF!="NO",'G:\Users\GEC\Documents\LUZ\[Copia de 20200615.xlsx]DATOS'!#REF!="NO")</xm:f>
            <x14:dxf>
              <font>
                <color theme="0"/>
              </font>
              <fill>
                <patternFill>
                  <bgColor theme="0"/>
                </patternFill>
              </fill>
              <border>
                <left/>
                <right/>
                <top/>
                <bottom/>
                <vertical/>
                <horizontal/>
              </border>
            </x14:dxf>
          </x14:cfRule>
          <xm:sqref>D238:D239</xm:sqref>
        </x14:conditionalFormatting>
        <x14:conditionalFormatting xmlns:xm="http://schemas.microsoft.com/office/excel/2006/main">
          <x14:cfRule type="expression" priority="282" id="{5CFE63DE-777F-44E8-8C97-215AB1E53A35}">
            <xm:f>OR('G:\Users\GEC\Documents\LUZ\[Copia de 20200615.xlsx]AUX'!#REF!=TRUE,'G:\Users\GEC\Documents\LUZ\[Copia de 20200615.xlsx]AUX'!#REF!=TRUE)</xm:f>
            <x14:dxf>
              <font>
                <color theme="0"/>
              </font>
              <fill>
                <patternFill>
                  <bgColor theme="0"/>
                </patternFill>
              </fill>
              <border>
                <left/>
                <right/>
                <top/>
                <bottom/>
                <vertical/>
                <horizontal/>
              </border>
            </x14:dxf>
          </x14:cfRule>
          <xm:sqref>D238:D239</xm:sqref>
        </x14:conditionalFormatting>
        <x14:conditionalFormatting xmlns:xm="http://schemas.microsoft.com/office/excel/2006/main">
          <x14:cfRule type="expression" priority="281" id="{39584995-AC2E-44EA-8A8E-537E2E833616}">
            <xm:f>'G:\Users\GEC\Documents\LUZ\[Copia de 20200615.xlsx]AUX'!#REF!=TRUE</xm:f>
            <x14:dxf>
              <font>
                <color theme="0"/>
              </font>
              <fill>
                <patternFill>
                  <bgColor theme="0"/>
                </patternFill>
              </fill>
              <border>
                <left/>
                <right/>
                <top/>
                <bottom/>
                <vertical/>
                <horizontal/>
              </border>
            </x14:dxf>
          </x14:cfRule>
          <xm:sqref>D238:D239</xm:sqref>
        </x14:conditionalFormatting>
        <x14:conditionalFormatting xmlns:xm="http://schemas.microsoft.com/office/excel/2006/main">
          <x14:cfRule type="expression" priority="280" id="{0E3BFE36-3D76-4286-9DAB-5B22A5C8AD92}">
            <xm:f>AND('G:\Users\GEC\Documents\LUZ\[Copia de 20200615.xlsx]DATOS'!#REF!="NO",'G:\Users\GEC\Documents\LUZ\[Copia de 20200615.xlsx]DATOS'!#REF!="NO")</xm:f>
            <x14:dxf>
              <font>
                <color theme="0"/>
              </font>
              <fill>
                <patternFill>
                  <bgColor theme="0"/>
                </patternFill>
              </fill>
              <border>
                <left/>
                <right/>
                <top/>
                <bottom/>
                <vertical/>
                <horizontal/>
              </border>
            </x14:dxf>
          </x14:cfRule>
          <xm:sqref>I238:I240</xm:sqref>
        </x14:conditionalFormatting>
        <x14:conditionalFormatting xmlns:xm="http://schemas.microsoft.com/office/excel/2006/main">
          <x14:cfRule type="expression" priority="279" id="{CB842C87-83D0-4F5B-8DBC-3D4421909C4B}">
            <xm:f>OR('G:\Users\GEC\Documents\LUZ\[Copia de 20200615.xlsx]AUX'!#REF!=TRUE,'G:\Users\GEC\Documents\LUZ\[Copia de 20200615.xlsx]AUX'!#REF!=TRUE)</xm:f>
            <x14:dxf>
              <font>
                <color theme="0"/>
              </font>
              <fill>
                <patternFill>
                  <bgColor theme="0"/>
                </patternFill>
              </fill>
              <border>
                <left/>
                <right/>
                <top/>
                <bottom/>
                <vertical/>
                <horizontal/>
              </border>
            </x14:dxf>
          </x14:cfRule>
          <xm:sqref>I238:I240</xm:sqref>
        </x14:conditionalFormatting>
        <x14:conditionalFormatting xmlns:xm="http://schemas.microsoft.com/office/excel/2006/main">
          <x14:cfRule type="expression" priority="278" id="{ADCBCF58-4914-4FE7-9F3C-09BE95064B91}">
            <xm:f>'G:\Users\GEC\Documents\LUZ\[Copia de 20200615.xlsx]AUX'!#REF!=TRUE</xm:f>
            <x14:dxf>
              <font>
                <color theme="0"/>
              </font>
              <fill>
                <patternFill>
                  <bgColor theme="0"/>
                </patternFill>
              </fill>
              <border>
                <left/>
                <right/>
                <top/>
                <bottom/>
                <vertical/>
                <horizontal/>
              </border>
            </x14:dxf>
          </x14:cfRule>
          <xm:sqref>I238:I240</xm:sqref>
        </x14:conditionalFormatting>
        <x14:conditionalFormatting xmlns:xm="http://schemas.microsoft.com/office/excel/2006/main">
          <x14:cfRule type="expression" priority="277" id="{347CACCD-C630-4095-9406-62EF2C0091C0}">
            <xm:f>AND('G:\Users\GEC\Documents\LUZ\[Copia de 20200615.xlsx]DATOS'!#REF!="NO",'G:\Users\GEC\Documents\LUZ\[Copia de 20200615.xlsx]DATOS'!#REF!="NO")</xm:f>
            <x14:dxf>
              <font>
                <color theme="0"/>
              </font>
              <fill>
                <patternFill>
                  <bgColor theme="0"/>
                </patternFill>
              </fill>
              <border>
                <left/>
                <right/>
                <top/>
                <bottom/>
                <vertical/>
                <horizontal/>
              </border>
            </x14:dxf>
          </x14:cfRule>
          <xm:sqref>I251:K251 B251:D251</xm:sqref>
        </x14:conditionalFormatting>
        <x14:conditionalFormatting xmlns:xm="http://schemas.microsoft.com/office/excel/2006/main">
          <x14:cfRule type="expression" priority="276" id="{416B635C-289A-4D9C-95A0-D4BCADC6DB7F}">
            <xm:f>OR('G:\Users\GEC\Documents\LUZ\[Copia de 20200615.xlsx]AUX'!#REF!=TRUE,'G:\Users\GEC\Documents\LUZ\[Copia de 20200615.xlsx]AUX'!#REF!=TRUE)</xm:f>
            <x14:dxf>
              <font>
                <color theme="0"/>
              </font>
              <fill>
                <patternFill>
                  <bgColor theme="0"/>
                </patternFill>
              </fill>
              <border>
                <left/>
                <right/>
                <top/>
                <bottom/>
                <vertical/>
                <horizontal/>
              </border>
            </x14:dxf>
          </x14:cfRule>
          <xm:sqref>I251:K251 B251:D251</xm:sqref>
        </x14:conditionalFormatting>
        <x14:conditionalFormatting xmlns:xm="http://schemas.microsoft.com/office/excel/2006/main">
          <x14:cfRule type="expression" priority="275" id="{0CBEF910-40B9-449A-B7F6-6150C25D30BD}">
            <xm:f>'G:\Users\GEC\Documents\LUZ\[Copia de 20200615.xlsx]AUX'!#REF!=TRUE</xm:f>
            <x14:dxf>
              <font>
                <color theme="0"/>
              </font>
              <fill>
                <patternFill>
                  <bgColor theme="0"/>
                </patternFill>
              </fill>
              <border>
                <left/>
                <right/>
                <top/>
                <bottom/>
                <vertical/>
                <horizontal/>
              </border>
            </x14:dxf>
          </x14:cfRule>
          <xm:sqref>I251:K251 B251:D251</xm:sqref>
        </x14:conditionalFormatting>
        <x14:conditionalFormatting xmlns:xm="http://schemas.microsoft.com/office/excel/2006/main">
          <x14:cfRule type="expression" priority="274" id="{51333284-56A7-43F9-8441-B6C5A1DFF7A7}">
            <xm:f>AND('G:\Users\GEC\Documents\LUZ\[Copia de 20200615.xlsx]DATOS'!#REF!="NO",'G:\Users\GEC\Documents\LUZ\[Copia de 20200615.xlsx]DATOS'!#REF!="NO")</xm:f>
            <x14:dxf>
              <font>
                <color theme="0"/>
              </font>
              <fill>
                <patternFill>
                  <bgColor theme="0"/>
                </patternFill>
              </fill>
              <border>
                <left/>
                <right/>
                <top/>
                <bottom/>
                <vertical/>
                <horizontal/>
              </border>
            </x14:dxf>
          </x14:cfRule>
          <xm:sqref>I214:J214 B214:D214</xm:sqref>
        </x14:conditionalFormatting>
        <x14:conditionalFormatting xmlns:xm="http://schemas.microsoft.com/office/excel/2006/main">
          <x14:cfRule type="expression" priority="273" id="{B23CA9DE-E6F8-4135-BB14-09D93B8A1F4A}">
            <xm:f>OR('G:\Users\GEC\Documents\LUZ\[Copia de 20200615.xlsx]AUX'!#REF!=TRUE,'G:\Users\GEC\Documents\LUZ\[Copia de 20200615.xlsx]AUX'!#REF!=TRUE)</xm:f>
            <x14:dxf>
              <font>
                <color theme="0"/>
              </font>
              <fill>
                <patternFill>
                  <bgColor theme="0"/>
                </patternFill>
              </fill>
              <border>
                <left/>
                <right/>
                <top/>
                <bottom/>
                <vertical/>
                <horizontal/>
              </border>
            </x14:dxf>
          </x14:cfRule>
          <xm:sqref>I214:J214 B214:D214</xm:sqref>
        </x14:conditionalFormatting>
        <x14:conditionalFormatting xmlns:xm="http://schemas.microsoft.com/office/excel/2006/main">
          <x14:cfRule type="expression" priority="272" id="{E6146725-7C5C-4AD9-B41D-98B53D4008CE}">
            <xm:f>'G:\Users\GEC\Documents\LUZ\[Copia de 20200615.xlsx]AUX'!#REF!=TRUE</xm:f>
            <x14:dxf>
              <font>
                <color theme="0"/>
              </font>
              <fill>
                <patternFill>
                  <bgColor theme="0"/>
                </patternFill>
              </fill>
              <border>
                <left/>
                <right/>
                <top/>
                <bottom/>
                <vertical/>
                <horizontal/>
              </border>
            </x14:dxf>
          </x14:cfRule>
          <xm:sqref>I214:J214 B214:D214</xm:sqref>
        </x14:conditionalFormatting>
        <x14:conditionalFormatting xmlns:xm="http://schemas.microsoft.com/office/excel/2006/main">
          <x14:cfRule type="expression" priority="271" id="{FA4949F3-5D13-4C9D-9C2D-29ABAB9C7BA3}">
            <xm:f>AND('G:\Users\GEC\Documents\LUZ\[Copia de 20200615.xlsx]DATOS'!#REF!="NO",'G:\Users\GEC\Documents\LUZ\[Copia de 20200615.xlsx]DATOS'!#REF!="NO")</xm:f>
            <x14:dxf>
              <font>
                <color theme="0"/>
              </font>
              <fill>
                <patternFill>
                  <bgColor theme="0"/>
                </patternFill>
              </fill>
              <border>
                <left/>
                <right/>
                <top/>
                <bottom/>
                <vertical/>
                <horizontal/>
              </border>
            </x14:dxf>
          </x14:cfRule>
          <xm:sqref>I178:J178 B178:D178</xm:sqref>
        </x14:conditionalFormatting>
        <x14:conditionalFormatting xmlns:xm="http://schemas.microsoft.com/office/excel/2006/main">
          <x14:cfRule type="expression" priority="270" id="{4D34612C-201C-45D1-8609-967A884C0A16}">
            <xm:f>OR('G:\Users\GEC\Documents\LUZ\[Copia de 20200615.xlsx]AUX'!#REF!=TRUE,'G:\Users\GEC\Documents\LUZ\[Copia de 20200615.xlsx]AUX'!#REF!=TRUE)</xm:f>
            <x14:dxf>
              <font>
                <color theme="0"/>
              </font>
              <fill>
                <patternFill>
                  <bgColor theme="0"/>
                </patternFill>
              </fill>
              <border>
                <left/>
                <right/>
                <top/>
                <bottom/>
                <vertical/>
                <horizontal/>
              </border>
            </x14:dxf>
          </x14:cfRule>
          <xm:sqref>I178:J178 B178:D178</xm:sqref>
        </x14:conditionalFormatting>
        <x14:conditionalFormatting xmlns:xm="http://schemas.microsoft.com/office/excel/2006/main">
          <x14:cfRule type="expression" priority="269" id="{58B33D62-F308-48CD-AF50-EEB327C2BBF1}">
            <xm:f>'G:\Users\GEC\Documents\LUZ\[Copia de 20200615.xlsx]AUX'!#REF!=TRUE</xm:f>
            <x14:dxf>
              <font>
                <color theme="0"/>
              </font>
              <fill>
                <patternFill>
                  <bgColor theme="0"/>
                </patternFill>
              </fill>
              <border>
                <left/>
                <right/>
                <top/>
                <bottom/>
                <vertical/>
                <horizontal/>
              </border>
            </x14:dxf>
          </x14:cfRule>
          <xm:sqref>I178:J178 B178:D178</xm:sqref>
        </x14:conditionalFormatting>
        <x14:conditionalFormatting xmlns:xm="http://schemas.microsoft.com/office/excel/2006/main">
          <x14:cfRule type="expression" priority="268" id="{65BFF76F-4A8F-457F-8284-69B5D4FD5974}">
            <xm:f>AND('G:\Users\GEC\Documents\LUZ\[Copia de 20200615.xlsx]DATOS'!#REF!="NO",'G:\Users\GEC\Documents\LUZ\[Copia de 20200615.xlsx]DATOS'!#REF!="NO")</xm:f>
            <x14:dxf>
              <font>
                <color theme="0"/>
              </font>
              <fill>
                <patternFill>
                  <bgColor theme="0"/>
                </patternFill>
              </fill>
              <border>
                <left/>
                <right/>
                <top/>
                <bottom/>
                <vertical/>
                <horizontal/>
              </border>
            </x14:dxf>
          </x14:cfRule>
          <xm:sqref>I140:J140 B140:D140</xm:sqref>
        </x14:conditionalFormatting>
        <x14:conditionalFormatting xmlns:xm="http://schemas.microsoft.com/office/excel/2006/main">
          <x14:cfRule type="expression" priority="267" id="{CE14495F-EAA3-4141-B4BA-2AC373A14420}">
            <xm:f>OR('G:\Users\GEC\Documents\LUZ\[Copia de 20200615.xlsx]AUX'!#REF!=TRUE,'G:\Users\GEC\Documents\LUZ\[Copia de 20200615.xlsx]AUX'!#REF!=TRUE)</xm:f>
            <x14:dxf>
              <font>
                <color theme="0"/>
              </font>
              <fill>
                <patternFill>
                  <bgColor theme="0"/>
                </patternFill>
              </fill>
              <border>
                <left/>
                <right/>
                <top/>
                <bottom/>
                <vertical/>
                <horizontal/>
              </border>
            </x14:dxf>
          </x14:cfRule>
          <xm:sqref>I140:J140 B140:D140</xm:sqref>
        </x14:conditionalFormatting>
        <x14:conditionalFormatting xmlns:xm="http://schemas.microsoft.com/office/excel/2006/main">
          <x14:cfRule type="expression" priority="266" id="{8AF7A013-5D07-45BC-BB64-34DE49CFC15F}">
            <xm:f>'G:\Users\GEC\Documents\LUZ\[Copia de 20200615.xlsx]AUX'!#REF!=TRUE</xm:f>
            <x14:dxf>
              <font>
                <color theme="0"/>
              </font>
              <fill>
                <patternFill>
                  <bgColor theme="0"/>
                </patternFill>
              </fill>
              <border>
                <left/>
                <right/>
                <top/>
                <bottom/>
                <vertical/>
                <horizontal/>
              </border>
            </x14:dxf>
          </x14:cfRule>
          <xm:sqref>I140:J140 B140:D140</xm:sqref>
        </x14:conditionalFormatting>
        <x14:conditionalFormatting xmlns:xm="http://schemas.microsoft.com/office/excel/2006/main">
          <x14:cfRule type="expression" priority="265" id="{4B12B79E-53DF-498C-AE14-373A4A198A95}">
            <xm:f>AND('G:\Users\GEC\Documents\LUZ\[Copia de 20200615.xlsx]DATOS'!#REF!="NO",'G:\Users\GEC\Documents\LUZ\[Copia de 20200615.xlsx]DATOS'!#REF!="NO")</xm:f>
            <x14:dxf>
              <font>
                <color theme="0"/>
              </font>
              <fill>
                <patternFill>
                  <bgColor theme="0"/>
                </patternFill>
              </fill>
              <border>
                <left/>
                <right/>
                <top/>
                <bottom/>
                <vertical/>
                <horizontal/>
              </border>
            </x14:dxf>
          </x14:cfRule>
          <xm:sqref>I103:K103 B103:E103</xm:sqref>
        </x14:conditionalFormatting>
        <x14:conditionalFormatting xmlns:xm="http://schemas.microsoft.com/office/excel/2006/main">
          <x14:cfRule type="expression" priority="264" id="{02C67BFD-5834-4681-A252-389ABBD7D707}">
            <xm:f>OR('G:\Users\GEC\Documents\LUZ\[Copia de 20200615.xlsx]AUX'!#REF!=TRUE,'G:\Users\GEC\Documents\LUZ\[Copia de 20200615.xlsx]AUX'!#REF!=TRUE)</xm:f>
            <x14:dxf>
              <font>
                <color theme="0"/>
              </font>
              <fill>
                <patternFill>
                  <bgColor theme="0"/>
                </patternFill>
              </fill>
              <border>
                <left/>
                <right/>
                <top/>
                <bottom/>
                <vertical/>
                <horizontal/>
              </border>
            </x14:dxf>
          </x14:cfRule>
          <xm:sqref>I103:K103 B103:E103</xm:sqref>
        </x14:conditionalFormatting>
        <x14:conditionalFormatting xmlns:xm="http://schemas.microsoft.com/office/excel/2006/main">
          <x14:cfRule type="expression" priority="263" id="{ED29A72F-C238-4D40-8A8F-E4A1037D31F7}">
            <xm:f>'G:\Users\GEC\Documents\LUZ\[Copia de 20200615.xlsx]AUX'!#REF!=TRUE</xm:f>
            <x14:dxf>
              <font>
                <color theme="0"/>
              </font>
              <fill>
                <patternFill>
                  <bgColor theme="0"/>
                </patternFill>
              </fill>
              <border>
                <left/>
                <right/>
                <top/>
                <bottom/>
                <vertical/>
                <horizontal/>
              </border>
            </x14:dxf>
          </x14:cfRule>
          <xm:sqref>I103:K103 B103:E103</xm:sqref>
        </x14:conditionalFormatting>
        <x14:conditionalFormatting xmlns:xm="http://schemas.microsoft.com/office/excel/2006/main">
          <x14:cfRule type="expression" priority="262" id="{F288C9F9-7806-45FF-A435-30C4D0266971}">
            <xm:f>AND('G:\Users\GEC\Documents\LUZ\[Copia de 20200615.xlsx]DATOS'!#REF!="NO",'G:\Users\GEC\Documents\LUZ\[Copia de 20200615.xlsx]DATOS'!#REF!="NO")</xm:f>
            <x14:dxf>
              <font>
                <color theme="0"/>
              </font>
              <fill>
                <patternFill>
                  <bgColor theme="0"/>
                </patternFill>
              </fill>
              <border>
                <left/>
                <right/>
                <top/>
                <bottom/>
                <vertical/>
                <horizontal/>
              </border>
            </x14:dxf>
          </x14:cfRule>
          <xm:sqref>B67:D67</xm:sqref>
        </x14:conditionalFormatting>
        <x14:conditionalFormatting xmlns:xm="http://schemas.microsoft.com/office/excel/2006/main">
          <x14:cfRule type="expression" priority="261" id="{FD8DD793-C5A1-4719-981E-C1EB2BA9D399}">
            <xm:f>OR('G:\Users\GEC\Documents\LUZ\[Copia de 20200615.xlsx]AUX'!#REF!=TRUE,'G:\Users\GEC\Documents\LUZ\[Copia de 20200615.xlsx]AUX'!#REF!=TRUE)</xm:f>
            <x14:dxf>
              <font>
                <color theme="0"/>
              </font>
              <fill>
                <patternFill>
                  <bgColor theme="0"/>
                </patternFill>
              </fill>
              <border>
                <left/>
                <right/>
                <top/>
                <bottom/>
                <vertical/>
                <horizontal/>
              </border>
            </x14:dxf>
          </x14:cfRule>
          <xm:sqref>B67:D67</xm:sqref>
        </x14:conditionalFormatting>
        <x14:conditionalFormatting xmlns:xm="http://schemas.microsoft.com/office/excel/2006/main">
          <x14:cfRule type="expression" priority="260" id="{0F05B603-CF94-429F-8958-17A732D082ED}">
            <xm:f>'G:\Users\GEC\Documents\LUZ\[Copia de 20200615.xlsx]AUX'!#REF!=TRUE</xm:f>
            <x14:dxf>
              <font>
                <color theme="0"/>
              </font>
              <fill>
                <patternFill>
                  <bgColor theme="0"/>
                </patternFill>
              </fill>
              <border>
                <left/>
                <right/>
                <top/>
                <bottom/>
                <vertical/>
                <horizontal/>
              </border>
            </x14:dxf>
          </x14:cfRule>
          <xm:sqref>B67:D67</xm:sqref>
        </x14:conditionalFormatting>
        <x14:conditionalFormatting xmlns:xm="http://schemas.microsoft.com/office/excel/2006/main">
          <x14:cfRule type="expression" priority="247" id="{CB2FF8B0-342D-457B-B9DC-2107A2384643}">
            <xm:f>AND('G:\Users\GEC\Documents\LUZ\[Copia de 20200615.xlsx]DATOS'!#REF!="NO",'G:\Users\GEC\Documents\LUZ\[Copia de 20200615.xlsx]DATOS'!#REF!="NO")</xm:f>
            <x14:dxf>
              <font>
                <color theme="0"/>
              </font>
              <fill>
                <patternFill>
                  <bgColor theme="0"/>
                </patternFill>
              </fill>
              <border>
                <left/>
                <right/>
                <top/>
                <bottom/>
                <vertical/>
                <horizontal/>
              </border>
            </x14:dxf>
          </x14:cfRule>
          <xm:sqref>K100</xm:sqref>
        </x14:conditionalFormatting>
        <x14:conditionalFormatting xmlns:xm="http://schemas.microsoft.com/office/excel/2006/main">
          <x14:cfRule type="expression" priority="246" id="{B22D6D1D-38D9-4290-B52A-E29CFC5C9080}">
            <xm:f>OR('G:\Users\GEC\Documents\LUZ\[Copia de 20200615.xlsx]AUX'!#REF!=TRUE,'G:\Users\GEC\Documents\LUZ\[Copia de 20200615.xlsx]AUX'!#REF!=TRUE)</xm:f>
            <x14:dxf>
              <font>
                <color theme="0"/>
              </font>
              <fill>
                <patternFill>
                  <bgColor theme="0"/>
                </patternFill>
              </fill>
              <border>
                <left/>
                <right/>
                <top/>
                <bottom/>
                <vertical/>
                <horizontal/>
              </border>
            </x14:dxf>
          </x14:cfRule>
          <xm:sqref>K100</xm:sqref>
        </x14:conditionalFormatting>
        <x14:conditionalFormatting xmlns:xm="http://schemas.microsoft.com/office/excel/2006/main">
          <x14:cfRule type="expression" priority="245" id="{8EAA87C0-83A1-44DE-BB04-3B1D664D60C8}">
            <xm:f>'G:\Users\GEC\Documents\LUZ\[Copia de 20200615.xlsx]AUX'!#REF!=TRUE</xm:f>
            <x14:dxf>
              <font>
                <color theme="0"/>
              </font>
              <fill>
                <patternFill>
                  <bgColor theme="0"/>
                </patternFill>
              </fill>
              <border>
                <left/>
                <right/>
                <top/>
                <bottom/>
                <vertical/>
                <horizontal/>
              </border>
            </x14:dxf>
          </x14:cfRule>
          <xm:sqref>K100</xm:sqref>
        </x14:conditionalFormatting>
        <x14:conditionalFormatting xmlns:xm="http://schemas.microsoft.com/office/excel/2006/main">
          <x14:cfRule type="expression" priority="256" id="{76F0EF83-2799-4828-AE02-2237C4727086}">
            <xm:f>AND('G:\Users\GEC\Documents\LUZ\[Copia de 20200615.xlsx]DATOS'!#REF!="NO",'G:\Users\GEC\Documents\LUZ\[Copia de 20200615.xlsx]DATOS'!#REF!="NO")</xm:f>
            <x14:dxf>
              <font>
                <color theme="0"/>
              </font>
              <fill>
                <patternFill>
                  <bgColor theme="0"/>
                </patternFill>
              </fill>
              <border>
                <left/>
                <right/>
                <top/>
                <bottom/>
                <vertical/>
                <horizontal/>
              </border>
            </x14:dxf>
          </x14:cfRule>
          <xm:sqref>K248</xm:sqref>
        </x14:conditionalFormatting>
        <x14:conditionalFormatting xmlns:xm="http://schemas.microsoft.com/office/excel/2006/main">
          <x14:cfRule type="expression" priority="255" id="{1C24DDDF-BDBD-4201-9D8D-323A189E6D61}">
            <xm:f>OR('G:\Users\GEC\Documents\LUZ\[Copia de 20200615.xlsx]AUX'!#REF!=TRUE,'G:\Users\GEC\Documents\LUZ\[Copia de 20200615.xlsx]AUX'!#REF!=TRUE)</xm:f>
            <x14:dxf>
              <font>
                <color theme="0"/>
              </font>
              <fill>
                <patternFill>
                  <bgColor theme="0"/>
                </patternFill>
              </fill>
              <border>
                <left/>
                <right/>
                <top/>
                <bottom/>
                <vertical/>
                <horizontal/>
              </border>
            </x14:dxf>
          </x14:cfRule>
          <xm:sqref>K248</xm:sqref>
        </x14:conditionalFormatting>
        <x14:conditionalFormatting xmlns:xm="http://schemas.microsoft.com/office/excel/2006/main">
          <x14:cfRule type="expression" priority="254" id="{F5EE1B88-DDD7-4A50-A705-EDECE9F0AB55}">
            <xm:f>'G:\Users\GEC\Documents\LUZ\[Copia de 20200615.xlsx]AUX'!#REF!=TRUE</xm:f>
            <x14:dxf>
              <font>
                <color theme="0"/>
              </font>
              <fill>
                <patternFill>
                  <bgColor theme="0"/>
                </patternFill>
              </fill>
              <border>
                <left/>
                <right/>
                <top/>
                <bottom/>
                <vertical/>
                <horizontal/>
              </border>
            </x14:dxf>
          </x14:cfRule>
          <xm:sqref>K248</xm:sqref>
        </x14:conditionalFormatting>
        <x14:conditionalFormatting xmlns:xm="http://schemas.microsoft.com/office/excel/2006/main">
          <x14:cfRule type="expression" priority="253" id="{DE3F283E-C0A1-4243-927B-DFF56F1193B8}">
            <xm:f>AND('G:\Users\GEC\Documents\LUZ\[Copia de 20200615.xlsx]DATOS'!#REF!="NO",'G:\Users\GEC\Documents\LUZ\[Copia de 20200615.xlsx]DATOS'!#REF!="NO")</xm:f>
            <x14:dxf>
              <font>
                <color theme="0"/>
              </font>
              <fill>
                <patternFill>
                  <bgColor theme="0"/>
                </patternFill>
              </fill>
              <border>
                <left/>
                <right/>
                <top/>
                <bottom/>
                <vertical/>
                <horizontal/>
              </border>
            </x14:dxf>
          </x14:cfRule>
          <xm:sqref>K211</xm:sqref>
        </x14:conditionalFormatting>
        <x14:conditionalFormatting xmlns:xm="http://schemas.microsoft.com/office/excel/2006/main">
          <x14:cfRule type="expression" priority="252" id="{1765FD58-0FC7-40D7-9F33-2F8A79C1652D}">
            <xm:f>OR('G:\Users\GEC\Documents\LUZ\[Copia de 20200615.xlsx]AUX'!#REF!=TRUE,'G:\Users\GEC\Documents\LUZ\[Copia de 20200615.xlsx]AUX'!#REF!=TRUE)</xm:f>
            <x14:dxf>
              <font>
                <color theme="0"/>
              </font>
              <fill>
                <patternFill>
                  <bgColor theme="0"/>
                </patternFill>
              </fill>
              <border>
                <left/>
                <right/>
                <top/>
                <bottom/>
                <vertical/>
                <horizontal/>
              </border>
            </x14:dxf>
          </x14:cfRule>
          <xm:sqref>K211</xm:sqref>
        </x14:conditionalFormatting>
        <x14:conditionalFormatting xmlns:xm="http://schemas.microsoft.com/office/excel/2006/main">
          <x14:cfRule type="expression" priority="251" id="{73F8E227-A1D5-416A-81C4-49D31AC1E7C7}">
            <xm:f>'G:\Users\GEC\Documents\LUZ\[Copia de 20200615.xlsx]AUX'!#REF!=TRUE</xm:f>
            <x14:dxf>
              <font>
                <color theme="0"/>
              </font>
              <fill>
                <patternFill>
                  <bgColor theme="0"/>
                </patternFill>
              </fill>
              <border>
                <left/>
                <right/>
                <top/>
                <bottom/>
                <vertical/>
                <horizontal/>
              </border>
            </x14:dxf>
          </x14:cfRule>
          <xm:sqref>K211</xm:sqref>
        </x14:conditionalFormatting>
        <x14:conditionalFormatting xmlns:xm="http://schemas.microsoft.com/office/excel/2006/main">
          <x14:cfRule type="expression" priority="250" id="{FAE1FE34-4018-4777-8EB3-7EE6328A4F0E}">
            <xm:f>AND('G:\Users\GEC\Documents\LUZ\[Copia de 20200615.xlsx]DATOS'!#REF!="NO",'G:\Users\GEC\Documents\LUZ\[Copia de 20200615.xlsx]DATOS'!#REF!="NO")</xm:f>
            <x14:dxf>
              <font>
                <color theme="0"/>
              </font>
              <fill>
                <patternFill>
                  <bgColor theme="0"/>
                </patternFill>
              </fill>
              <border>
                <left/>
                <right/>
                <top/>
                <bottom/>
                <vertical/>
                <horizontal/>
              </border>
            </x14:dxf>
          </x14:cfRule>
          <xm:sqref>K137</xm:sqref>
        </x14:conditionalFormatting>
        <x14:conditionalFormatting xmlns:xm="http://schemas.microsoft.com/office/excel/2006/main">
          <x14:cfRule type="expression" priority="249" id="{4312F449-7132-4D27-A923-7260279CAB4F}">
            <xm:f>OR('G:\Users\GEC\Documents\LUZ\[Copia de 20200615.xlsx]AUX'!#REF!=TRUE,'G:\Users\GEC\Documents\LUZ\[Copia de 20200615.xlsx]AUX'!#REF!=TRUE)</xm:f>
            <x14:dxf>
              <font>
                <color theme="0"/>
              </font>
              <fill>
                <patternFill>
                  <bgColor theme="0"/>
                </patternFill>
              </fill>
              <border>
                <left/>
                <right/>
                <top/>
                <bottom/>
                <vertical/>
                <horizontal/>
              </border>
            </x14:dxf>
          </x14:cfRule>
          <xm:sqref>K137</xm:sqref>
        </x14:conditionalFormatting>
        <x14:conditionalFormatting xmlns:xm="http://schemas.microsoft.com/office/excel/2006/main">
          <x14:cfRule type="expression" priority="248" id="{9630614D-CDEA-4F5F-8F05-43A953AC699A}">
            <xm:f>'G:\Users\GEC\Documents\LUZ\[Copia de 20200615.xlsx]AUX'!#REF!=TRUE</xm:f>
            <x14:dxf>
              <font>
                <color theme="0"/>
              </font>
              <fill>
                <patternFill>
                  <bgColor theme="0"/>
                </patternFill>
              </fill>
              <border>
                <left/>
                <right/>
                <top/>
                <bottom/>
                <vertical/>
                <horizontal/>
              </border>
            </x14:dxf>
          </x14:cfRule>
          <xm:sqref>K137</xm:sqref>
        </x14:conditionalFormatting>
        <x14:conditionalFormatting xmlns:xm="http://schemas.microsoft.com/office/excel/2006/main">
          <x14:cfRule type="expression" priority="244" id="{24873EA9-AD53-4AB9-8343-B36BAE108AC7}">
            <xm:f>AND('G:\Users\GEC\Documents\LUZ\[Copia de 20200615.xlsx]DATOS'!#REF!="NO",'G:\Users\GEC\Documents\LUZ\[Copia de 20200615.xlsx]DATOS'!#REF!="NO")</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243" id="{038E6722-843D-4971-94C0-BF9C500E80AE}">
            <xm:f>OR('G:\Users\GEC\Documents\LUZ\[Copia de 20200615.xlsx]AUX'!#REF!=TRUE,'G:\Users\GEC\Documents\LUZ\[Copia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242" id="{812CF7A3-B7DA-448B-B051-A1FFDEDFA48A}">
            <xm:f>'G:\Users\GEC\Documents\LUZ\[Copia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241" id="{FC298A3D-79C4-4F38-9F96-EF1F7F14631D}">
            <xm:f>AND('G:\Users\GEC\Documents\LUZ\[Copia de 20200615.xlsx]DATOS'!#REF!="NO",'G:\Users\GEC\Documents\LUZ\[Copia de 20200615.xlsx]DATOS'!#REF!="NO")</xm:f>
            <x14:dxf>
              <font>
                <color theme="0"/>
              </font>
              <fill>
                <patternFill>
                  <bgColor theme="0"/>
                </patternFill>
              </fill>
              <border>
                <left/>
                <right/>
                <top/>
                <bottom/>
                <vertical/>
                <horizontal/>
              </border>
            </x14:dxf>
          </x14:cfRule>
          <xm:sqref>C275:C276</xm:sqref>
        </x14:conditionalFormatting>
        <x14:conditionalFormatting xmlns:xm="http://schemas.microsoft.com/office/excel/2006/main">
          <x14:cfRule type="expression" priority="240" id="{9A3CE19C-CABA-4011-93FB-3B5565B7197F}">
            <xm:f>OR('G:\Users\GEC\Documents\LUZ\[Copia de 20200615.xlsx]AUX'!#REF!=TRUE,'G:\Users\GEC\Documents\LUZ\[Copia de 20200615.xlsx]AUX'!#REF!=TRUE)</xm:f>
            <x14:dxf>
              <font>
                <color theme="0"/>
              </font>
              <fill>
                <patternFill>
                  <bgColor theme="0"/>
                </patternFill>
              </fill>
              <border>
                <left/>
                <right/>
                <top/>
                <bottom/>
                <vertical/>
                <horizontal/>
              </border>
            </x14:dxf>
          </x14:cfRule>
          <xm:sqref>C275:C276</xm:sqref>
        </x14:conditionalFormatting>
        <x14:conditionalFormatting xmlns:xm="http://schemas.microsoft.com/office/excel/2006/main">
          <x14:cfRule type="expression" priority="239" id="{B8BBEA86-30CA-4904-9471-F9936877EC22}">
            <xm:f>'G:\Users\GEC\Documents\LUZ\[Copia de 20200615.xlsx]AUX'!#REF!=TRUE</xm:f>
            <x14:dxf>
              <font>
                <color theme="0"/>
              </font>
              <fill>
                <patternFill>
                  <bgColor theme="0"/>
                </patternFill>
              </fill>
              <border>
                <left/>
                <right/>
                <top/>
                <bottom/>
                <vertical/>
                <horizontal/>
              </border>
            </x14:dxf>
          </x14:cfRule>
          <xm:sqref>B278:C278 C275:C277</xm:sqref>
        </x14:conditionalFormatting>
        <x14:conditionalFormatting xmlns:xm="http://schemas.microsoft.com/office/excel/2006/main">
          <x14:cfRule type="expression" priority="238" id="{F7680723-DAB0-4461-B896-F342C858A468}">
            <xm:f>AND('G:\Users\GEC\Documents\LUZ\[Copia de 20200615.xlsx]DATOS'!#REF!="NO",'G:\Users\GEC\Documents\LUZ\[Copia de 20200615.xlsx]DATOS'!#REF!="NO")</xm:f>
            <x14:dxf>
              <font>
                <color theme="0"/>
              </font>
              <fill>
                <patternFill>
                  <bgColor theme="0"/>
                </patternFill>
              </fill>
              <border>
                <left/>
                <right/>
                <top/>
                <bottom/>
                <vertical/>
                <horizontal/>
              </border>
            </x14:dxf>
          </x14:cfRule>
          <xm:sqref>B278:C278 C277</xm:sqref>
        </x14:conditionalFormatting>
        <x14:conditionalFormatting xmlns:xm="http://schemas.microsoft.com/office/excel/2006/main">
          <x14:cfRule type="expression" priority="237" id="{BA3B8D61-3053-4FDB-AF93-F202ED30FD17}">
            <xm:f>OR('G:\Users\GEC\Documents\LUZ\[Copia de 20200615.xlsx]AUX'!#REF!=TRUE,'G:\Users\GEC\Documents\LUZ\[Copia de 20200615.xlsx]AUX'!#REF!=TRUE)</xm:f>
            <x14:dxf>
              <font>
                <color theme="0"/>
              </font>
              <fill>
                <patternFill>
                  <bgColor theme="0"/>
                </patternFill>
              </fill>
              <border>
                <left/>
                <right/>
                <top/>
                <bottom/>
                <vertical/>
                <horizontal/>
              </border>
            </x14:dxf>
          </x14:cfRule>
          <xm:sqref>B278:C278 C277</xm:sqref>
        </x14:conditionalFormatting>
        <x14:conditionalFormatting xmlns:xm="http://schemas.microsoft.com/office/excel/2006/main">
          <x14:cfRule type="expression" priority="236" id="{9FA167AF-564F-493A-9172-C468668E0694}">
            <xm:f>OR('G:\Users\GEC\Documents\LUZ\[Copia de 20200615.xlsx]AUX'!#REF!=TRUE,'G:\Users\GEC\Documents\LUZ\[Copia de 20200615.xlsx]AUX'!#REF!=TRUE)</xm:f>
            <x14:dxf>
              <font>
                <color theme="0"/>
              </font>
              <fill>
                <patternFill>
                  <bgColor theme="0"/>
                </patternFill>
              </fill>
              <border>
                <left/>
                <right/>
                <top/>
                <bottom/>
                <vertical/>
                <horizontal/>
              </border>
            </x14:dxf>
          </x14:cfRule>
          <xm:sqref>K267 B268:C270 B266</xm:sqref>
        </x14:conditionalFormatting>
        <x14:conditionalFormatting xmlns:xm="http://schemas.microsoft.com/office/excel/2006/main">
          <x14:cfRule type="expression" priority="235" id="{0BC8AAF8-0793-4DB8-9F1E-3071FC15E727}">
            <xm:f>AND('G:\Users\GEC\Documents\LUZ\[Copia de 20200615.xlsx]DATOS'!#REF!="NO",'G:\Users\GEC\Documents\LUZ\[Copia de 20200615.xlsx]DATOS'!#REF!="NO")</xm:f>
            <x14:dxf>
              <font>
                <color theme="0"/>
              </font>
              <fill>
                <patternFill>
                  <bgColor theme="0"/>
                </patternFill>
              </fill>
              <border>
                <left/>
                <right/>
                <top/>
                <bottom/>
                <vertical/>
                <horizontal/>
              </border>
            </x14:dxf>
          </x14:cfRule>
          <xm:sqref>B291:I291 B273:K274 B290:J290 K280:K282 J275:K276</xm:sqref>
        </x14:conditionalFormatting>
        <x14:conditionalFormatting xmlns:xm="http://schemas.microsoft.com/office/excel/2006/main">
          <x14:cfRule type="expression" priority="234" id="{4817B931-9BD5-4C18-9F7F-5397F253AA98}">
            <xm:f>OR('G:\Users\GEC\Documents\LUZ\[Copia de 20200615.xlsx]AUX'!#REF!=TRUE,'G:\Users\GEC\Documents\LUZ\[Copia de 20200615.xlsx]AUX'!#REF!=TRUE)</xm:f>
            <x14:dxf>
              <font>
                <color theme="0"/>
              </font>
              <fill>
                <patternFill>
                  <bgColor theme="0"/>
                </patternFill>
              </fill>
              <border>
                <left/>
                <right/>
                <top/>
                <bottom/>
                <vertical/>
                <horizontal/>
              </border>
            </x14:dxf>
          </x14:cfRule>
          <xm:sqref>B291:I291 B290:J290 B273:K274 K280:K282 J275:K276</xm:sqref>
        </x14:conditionalFormatting>
        <x14:conditionalFormatting xmlns:xm="http://schemas.microsoft.com/office/excel/2006/main">
          <x14:cfRule type="expression" priority="233" id="{A54C4B4C-3161-4F78-B986-AAF73C45336A}">
            <xm:f>'G:\Users\GEC\Documents\LUZ\[Copia de 20200615.xlsx]AUX'!#REF!=TRUE</xm:f>
            <x14:dxf>
              <font>
                <color theme="0"/>
              </font>
              <fill>
                <patternFill>
                  <bgColor theme="0"/>
                </patternFill>
              </fill>
              <border>
                <left/>
                <right/>
                <top/>
                <bottom/>
                <vertical/>
                <horizontal/>
              </border>
            </x14:dxf>
          </x14:cfRule>
          <xm:sqref>B291:I291 B273:K274 B290:J290 F266:K266 H265:K265 E278:K278 K280:K282 J275:K277</xm:sqref>
        </x14:conditionalFormatting>
        <x14:conditionalFormatting xmlns:xm="http://schemas.microsoft.com/office/excel/2006/main">
          <x14:cfRule type="expression" priority="231" id="{5B33A7C2-CB4D-478D-A160-83E45AB53F18}">
            <xm:f>OR('G:\Users\GEC\Documents\LUZ\[Copia de 20200615.xlsx]AUX'!#REF!=TRUE,'G:\Users\GEC\Documents\LUZ\[Copia de 20200615.xlsx]AUX'!#REF!=TRUE)</xm:f>
            <x14:dxf>
              <font>
                <color theme="0"/>
              </font>
              <fill>
                <patternFill>
                  <bgColor theme="0"/>
                </patternFill>
              </fill>
              <border>
                <left/>
                <right/>
                <top/>
                <bottom/>
                <vertical/>
                <horizontal/>
              </border>
            </x14:dxf>
          </x14:cfRule>
          <xm:sqref>B260:E260 H265:K265 F266:K266</xm:sqref>
        </x14:conditionalFormatting>
        <x14:conditionalFormatting xmlns:xm="http://schemas.microsoft.com/office/excel/2006/main">
          <x14:cfRule type="expression" priority="230" id="{83C2C30F-E455-42C6-B512-8957A407453B}">
            <xm:f>'G:\Users\GEC\Documents\LUZ\[Copia de 20200615.xlsx]AUX'!#REF!=TRUE</xm:f>
            <x14:dxf>
              <font>
                <color theme="0"/>
              </font>
              <fill>
                <patternFill>
                  <bgColor theme="0"/>
                </patternFill>
              </fill>
              <border>
                <left/>
                <right/>
                <top/>
                <bottom/>
                <vertical/>
                <horizontal/>
              </border>
            </x14:dxf>
          </x14:cfRule>
          <xm:sqref>C260:E260</xm:sqref>
        </x14:conditionalFormatting>
        <x14:conditionalFormatting xmlns:xm="http://schemas.microsoft.com/office/excel/2006/main">
          <x14:cfRule type="expression" priority="232" id="{3FD8BBE1-0015-4F6A-8FEF-21DED3748B49}">
            <xm:f>AND('G:\Users\GEC\Documents\LUZ\[Copia de 20200615.xlsx]DATOS'!#REF!="NO",'G:\Users\GEC\Documents\LUZ\[Copia de 20200615.xlsx]DATOS'!#REF!="NO")</xm:f>
            <x14:dxf>
              <font>
                <color theme="0"/>
              </font>
              <fill>
                <patternFill>
                  <bgColor theme="0"/>
                </patternFill>
              </fill>
              <border>
                <left/>
                <right/>
                <top/>
                <bottom/>
                <vertical/>
                <horizontal/>
              </border>
            </x14:dxf>
          </x14:cfRule>
          <xm:sqref>C260:E260 F266:K266 H265:K265</xm:sqref>
        </x14:conditionalFormatting>
        <x14:conditionalFormatting xmlns:xm="http://schemas.microsoft.com/office/excel/2006/main">
          <x14:cfRule type="expression" priority="229" id="{5CBA2E18-07C7-44D6-9967-9046FC3F0A17}">
            <xm:f>AND('G:\Users\GEC\Documents\LUZ\[Copia de 20200615.xlsx]DATOS'!#REF!="NO",'G:\Users\GEC\Documents\LUZ\[Copia de 20200615.xlsx]DATOS'!#REF!="NO")</xm:f>
            <x14:dxf>
              <font>
                <color theme="0"/>
              </font>
              <fill>
                <patternFill>
                  <bgColor theme="0"/>
                </patternFill>
              </fill>
              <border>
                <left/>
                <right/>
                <top/>
                <bottom/>
                <vertical/>
                <horizontal/>
              </border>
            </x14:dxf>
          </x14:cfRule>
          <xm:sqref>C265:G265 C261:E264</xm:sqref>
        </x14:conditionalFormatting>
        <x14:conditionalFormatting xmlns:xm="http://schemas.microsoft.com/office/excel/2006/main">
          <x14:cfRule type="expression" priority="228" id="{58D8873B-99FE-48CD-867D-A5E9CBA2D521}">
            <xm:f>OR('G:\Users\GEC\Documents\LUZ\[Copia de 20200615.xlsx]AUX'!#REF!=TRUE,'G:\Users\GEC\Documents\LUZ\[Copia de 20200615.xlsx]AUX'!#REF!=TRUE)</xm:f>
            <x14:dxf>
              <font>
                <color theme="0"/>
              </font>
              <fill>
                <patternFill>
                  <bgColor theme="0"/>
                </patternFill>
              </fill>
              <border>
                <left/>
                <right/>
                <top/>
                <bottom/>
                <vertical/>
                <horizontal/>
              </border>
            </x14:dxf>
          </x14:cfRule>
          <xm:sqref>B265:G265 C261:E262 B263:E264</xm:sqref>
        </x14:conditionalFormatting>
        <x14:conditionalFormatting xmlns:xm="http://schemas.microsoft.com/office/excel/2006/main">
          <x14:cfRule type="expression" priority="227" id="{E4EFFB33-3A16-403D-82A3-B52BAF82FFB3}">
            <xm:f>'G:\Users\GEC\Documents\LUZ\[Copia de 20200615.xlsx]AUX'!#REF!=TRUE</xm:f>
            <x14:dxf>
              <font>
                <color theme="0"/>
              </font>
              <fill>
                <patternFill>
                  <bgColor theme="0"/>
                </patternFill>
              </fill>
              <border>
                <left/>
                <right/>
                <top/>
                <bottom/>
                <vertical/>
                <horizontal/>
              </border>
            </x14:dxf>
          </x14:cfRule>
          <xm:sqref>C265:G265 C261:E264</xm:sqref>
        </x14:conditionalFormatting>
        <x14:conditionalFormatting xmlns:xm="http://schemas.microsoft.com/office/excel/2006/main">
          <x14:cfRule type="expression" priority="226" id="{62FE50C2-EEBC-439D-B99F-47A97B6D0EE5}">
            <xm:f>AND('G:\Users\GEC\Documents\LUZ\[Copia de 20200615.xlsx]DATOS'!#REF!="NO",'G:\Users\GEC\Documents\LUZ\[Copia de 20200615.xlsx]DATOS'!#REF!="NO")</xm:f>
            <x14:dxf>
              <font>
                <color theme="0"/>
              </font>
              <fill>
                <patternFill>
                  <bgColor theme="0"/>
                </patternFill>
              </fill>
              <border>
                <left/>
                <right/>
                <top/>
                <bottom/>
                <vertical/>
                <horizontal/>
              </border>
            </x14:dxf>
          </x14:cfRule>
          <xm:sqref>J277:K277 E278:K278</xm:sqref>
        </x14:conditionalFormatting>
        <x14:conditionalFormatting xmlns:xm="http://schemas.microsoft.com/office/excel/2006/main">
          <x14:cfRule type="expression" priority="225" id="{9059E4E7-4DDA-4BF5-836A-95FAAE8433CA}">
            <xm:f>OR('G:\Users\GEC\Documents\LUZ\[Copia de 20200615.xlsx]AUX'!#REF!=TRUE,'G:\Users\GEC\Documents\LUZ\[Copia de 20200615.xlsx]AUX'!#REF!=TRUE)</xm:f>
            <x14:dxf>
              <font>
                <color theme="0"/>
              </font>
              <fill>
                <patternFill>
                  <bgColor theme="0"/>
                </patternFill>
              </fill>
              <border>
                <left/>
                <right/>
                <top/>
                <bottom/>
                <vertical/>
                <horizontal/>
              </border>
            </x14:dxf>
          </x14:cfRule>
          <xm:sqref>J277:K277 E278:K278</xm:sqref>
        </x14:conditionalFormatting>
        <x14:conditionalFormatting xmlns:xm="http://schemas.microsoft.com/office/excel/2006/main">
          <x14:cfRule type="expression" priority="224" id="{357ADC70-FACD-4778-93EB-EA70C305CBCB}">
            <xm:f>'G:\Users\GEC\Documents\LUZ\[Copia de 20200615.xlsx]AUX'!#REF!=TRUE</xm:f>
            <x14:dxf>
              <font>
                <color theme="0"/>
              </font>
              <fill>
                <patternFill>
                  <bgColor theme="0"/>
                </patternFill>
              </fill>
              <border>
                <left/>
                <right/>
                <top/>
                <bottom/>
                <vertical/>
                <horizontal/>
              </border>
            </x14:dxf>
          </x14:cfRule>
          <xm:sqref>D278</xm:sqref>
        </x14:conditionalFormatting>
        <x14:conditionalFormatting xmlns:xm="http://schemas.microsoft.com/office/excel/2006/main">
          <x14:cfRule type="expression" priority="223" id="{7C88A0A5-C724-4065-AF9C-2F09F55EDC4D}">
            <xm:f>AND('G:\Users\GEC\Documents\LUZ\[Copia de 20200615.xlsx]DATOS'!#REF!="NO",'G:\Users\GEC\Documents\LUZ\[Copia de 20200615.xlsx]DATOS'!#REF!="NO")</xm:f>
            <x14:dxf>
              <font>
                <color theme="0"/>
              </font>
              <fill>
                <patternFill>
                  <bgColor theme="0"/>
                </patternFill>
              </fill>
              <border>
                <left/>
                <right/>
                <top/>
                <bottom/>
                <vertical/>
                <horizontal/>
              </border>
            </x14:dxf>
          </x14:cfRule>
          <xm:sqref>D278</xm:sqref>
        </x14:conditionalFormatting>
        <x14:conditionalFormatting xmlns:xm="http://schemas.microsoft.com/office/excel/2006/main">
          <x14:cfRule type="expression" priority="222" id="{79B6A7A2-6E5E-4A6C-A747-90157A7BA398}">
            <xm:f>OR('G:\Users\GEC\Documents\LUZ\[Copia de 20200615.xlsx]AUX'!#REF!=TRUE,'G:\Users\GEC\Documents\LUZ\[Copia de 20200615.xlsx]AUX'!#REF!=TRUE)</xm:f>
            <x14:dxf>
              <font>
                <color theme="0"/>
              </font>
              <fill>
                <patternFill>
                  <bgColor theme="0"/>
                </patternFill>
              </fill>
              <border>
                <left/>
                <right/>
                <top/>
                <bottom/>
                <vertical/>
                <horizontal/>
              </border>
            </x14:dxf>
          </x14:cfRule>
          <xm:sqref>D278</xm:sqref>
        </x14:conditionalFormatting>
        <x14:conditionalFormatting xmlns:xm="http://schemas.microsoft.com/office/excel/2006/main">
          <x14:cfRule type="expression" priority="221" id="{5EFE333D-3F5E-48C6-AD8E-4C6548DA40A7}">
            <xm:f>AND('G:\Users\GEC\Documents\LUZ\[Copia de 20200615.xlsx]DATOS'!#REF!="NO",'G:\Users\GEC\Documents\LUZ\[Copia de 20200615.xlsx]DATOS'!#REF!="NO")</xm:f>
            <x14:dxf>
              <font>
                <color theme="0"/>
              </font>
              <fill>
                <patternFill>
                  <bgColor theme="0"/>
                </patternFill>
              </fill>
              <border>
                <left/>
                <right/>
                <top/>
                <bottom/>
                <vertical/>
                <horizontal/>
              </border>
            </x14:dxf>
          </x14:cfRule>
          <xm:sqref>B280:C282 J280:J282</xm:sqref>
        </x14:conditionalFormatting>
        <x14:conditionalFormatting xmlns:xm="http://schemas.microsoft.com/office/excel/2006/main">
          <x14:cfRule type="expression" priority="220" id="{A324EA91-AD78-4561-AA91-21EFBDBCD9AF}">
            <xm:f>OR('G:\Users\GEC\Documents\LUZ\[Copia de 20200615.xlsx]AUX'!#REF!=TRUE,'G:\Users\GEC\Documents\LUZ\[Copia de 20200615.xlsx]AUX'!#REF!=TRUE)</xm:f>
            <x14:dxf>
              <font>
                <color theme="0"/>
              </font>
              <fill>
                <patternFill>
                  <bgColor theme="0"/>
                </patternFill>
              </fill>
              <border>
                <left/>
                <right/>
                <top/>
                <bottom/>
                <vertical/>
                <horizontal/>
              </border>
            </x14:dxf>
          </x14:cfRule>
          <xm:sqref>B280:C282 J280:J282</xm:sqref>
        </x14:conditionalFormatting>
        <x14:conditionalFormatting xmlns:xm="http://schemas.microsoft.com/office/excel/2006/main">
          <x14:cfRule type="expression" priority="219" id="{BBC71931-F726-4CF2-A7D6-F0D88840F764}">
            <xm:f>'G:\Users\GEC\Documents\LUZ\[Copia de 20200615.xlsx]AUX'!#REF!=TRUE</xm:f>
            <x14:dxf>
              <font>
                <color theme="0"/>
              </font>
              <fill>
                <patternFill>
                  <bgColor theme="0"/>
                </patternFill>
              </fill>
              <border>
                <left/>
                <right/>
                <top/>
                <bottom/>
                <vertical/>
                <horizontal/>
              </border>
            </x14:dxf>
          </x14:cfRule>
          <xm:sqref>B280:C282 J280:J282</xm:sqref>
        </x14:conditionalFormatting>
        <x14:conditionalFormatting xmlns:xm="http://schemas.microsoft.com/office/excel/2006/main">
          <x14:cfRule type="expression" priority="212" id="{3C79DD97-D813-424D-8447-2911457C6647}">
            <xm:f>OR('G:\Users\GEC\Documents\LUZ\[Copia de 20200615.xlsx]AUX'!#REF!=TRUE,'G:\Users\GEC\Documents\LUZ\[Copia de 20200615.xlsx]AUX'!#REF!=TRUE)</xm:f>
            <x14:dxf>
              <font>
                <color theme="0"/>
              </font>
              <fill>
                <patternFill>
                  <bgColor theme="0"/>
                </patternFill>
              </fill>
              <border>
                <left/>
                <right/>
                <top/>
                <bottom/>
                <vertical/>
                <horizontal/>
              </border>
            </x14:dxf>
          </x14:cfRule>
          <xm:sqref>C266</xm:sqref>
        </x14:conditionalFormatting>
        <x14:conditionalFormatting xmlns:xm="http://schemas.microsoft.com/office/excel/2006/main">
          <x14:cfRule type="expression" priority="211" id="{C742D185-1E54-43D1-99F1-4E187BBCC09A}">
            <xm:f>'G:\Users\GEC\Documents\LUZ\[Copia de 20200615.xlsx]DATOS'!#REF!="NO"</xm:f>
            <x14:dxf>
              <border>
                <left/>
                <right/>
                <top/>
                <bottom/>
                <vertical/>
                <horizontal/>
              </border>
            </x14:dxf>
          </x14:cfRule>
          <xm:sqref>D269:I270</xm:sqref>
        </x14:conditionalFormatting>
        <x14:conditionalFormatting xmlns:xm="http://schemas.microsoft.com/office/excel/2006/main">
          <x14:cfRule type="expression" priority="210" id="{FCAC5476-E627-498A-B915-9F4F9FA85146}">
            <xm:f>OR('G:\Users\GEC\Documents\LUZ\[Copia de 20200615.xlsx]AUX'!#REF!=TRUE,'G:\Users\GEC\Documents\LUZ\[Copia de 20200615.xlsx]AUX'!#REF!=TRUE)</xm:f>
            <x14:dxf>
              <font>
                <color theme="0"/>
              </font>
              <fill>
                <patternFill>
                  <bgColor theme="0"/>
                </patternFill>
              </fill>
              <border>
                <left/>
                <right/>
                <top/>
                <bottom/>
                <vertical/>
                <horizontal/>
              </border>
            </x14:dxf>
          </x14:cfRule>
          <xm:sqref>D268:H268 D269:I270</xm:sqref>
        </x14:conditionalFormatting>
        <x14:conditionalFormatting xmlns:xm="http://schemas.microsoft.com/office/excel/2006/main">
          <x14:cfRule type="expression" priority="209" id="{958391FC-129E-4C18-8703-33A4D13760C8}">
            <xm:f>OR('G:\Users\GEC\Documents\LUZ\[Copia de 20200615.xlsx]AUX'!#REF!=TRUE,'G:\Users\GEC\Documents\LUZ\[Copia de 20200615.xlsx]AUX'!#REF!=TRUE)</xm:f>
            <x14:dxf>
              <font>
                <color theme="0"/>
              </font>
              <fill>
                <patternFill>
                  <bgColor theme="0"/>
                </patternFill>
              </fill>
              <border>
                <left/>
                <right/>
                <top/>
                <bottom/>
                <vertical/>
                <horizontal/>
              </border>
            </x14:dxf>
          </x14:cfRule>
          <xm:sqref>I268</xm:sqref>
        </x14:conditionalFormatting>
        <x14:conditionalFormatting xmlns:xm="http://schemas.microsoft.com/office/excel/2006/main">
          <x14:cfRule type="expression" priority="208" id="{64987BC0-F529-4738-90D3-D176447C9F55}">
            <xm:f>OR('G:\Users\GEC\Documents\LUZ\[Copia de 20200615.xlsx]AUX'!#REF!=TRUE,'G:\Users\GEC\Documents\LUZ\[Copia de 20200615.xlsx]AUX'!#REF!=TRUE)</xm:f>
            <x14:dxf>
              <font>
                <color theme="0"/>
              </font>
              <fill>
                <patternFill>
                  <bgColor theme="0"/>
                </patternFill>
              </fill>
              <border>
                <left/>
                <right/>
                <top/>
                <bottom/>
                <vertical/>
                <horizontal/>
              </border>
            </x14:dxf>
          </x14:cfRule>
          <xm:sqref>C267</xm:sqref>
        </x14:conditionalFormatting>
        <x14:conditionalFormatting xmlns:xm="http://schemas.microsoft.com/office/excel/2006/main">
          <x14:cfRule type="expression" priority="207" id="{3535E406-3369-4648-BC27-891E28F4AC7D}">
            <xm:f>AND('G:\Users\GEC\Documents\LUZ\[Copia de 20200615.xlsx]DATOS'!#REF!="NO",'G:\Users\GEC\Documents\LUZ\[Copia de 20200615.xlsx]DATOS'!#REF!="NO")</xm:f>
            <x14:dxf>
              <font>
                <color theme="0"/>
              </font>
              <fill>
                <patternFill>
                  <bgColor theme="0"/>
                </patternFill>
              </fill>
              <border>
                <left/>
                <right/>
                <top/>
                <bottom/>
                <vertical/>
                <horizontal/>
              </border>
            </x14:dxf>
          </x14:cfRule>
          <xm:sqref>K290</xm:sqref>
        </x14:conditionalFormatting>
        <x14:conditionalFormatting xmlns:xm="http://schemas.microsoft.com/office/excel/2006/main">
          <x14:cfRule type="expression" priority="206" id="{8D2B9516-B5CF-4E84-9048-8497557629AE}">
            <xm:f>OR('G:\Users\GEC\Documents\LUZ\[Copia de 20200615.xlsx]AUX'!#REF!=TRUE,'G:\Users\GEC\Documents\LUZ\[Copia de 20200615.xlsx]AUX'!#REF!=TRUE)</xm:f>
            <x14:dxf>
              <font>
                <color theme="0"/>
              </font>
              <fill>
                <patternFill>
                  <bgColor theme="0"/>
                </patternFill>
              </fill>
              <border>
                <left/>
                <right/>
                <top/>
                <bottom/>
                <vertical/>
                <horizontal/>
              </border>
            </x14:dxf>
          </x14:cfRule>
          <xm:sqref>K290</xm:sqref>
        </x14:conditionalFormatting>
        <x14:conditionalFormatting xmlns:xm="http://schemas.microsoft.com/office/excel/2006/main">
          <x14:cfRule type="expression" priority="205" id="{1EAEF449-4802-4896-8895-625AB1556885}">
            <xm:f>'G:\Users\GEC\Documents\LUZ\[Copia de 20200615.xlsx]AUX'!#REF!=TRUE</xm:f>
            <x14:dxf>
              <font>
                <color theme="0"/>
              </font>
              <fill>
                <patternFill>
                  <bgColor theme="0"/>
                </patternFill>
              </fill>
              <border>
                <left/>
                <right/>
                <top/>
                <bottom/>
                <vertical/>
                <horizontal/>
              </border>
            </x14:dxf>
          </x14:cfRule>
          <xm:sqref>K290</xm:sqref>
        </x14:conditionalFormatting>
        <x14:conditionalFormatting xmlns:xm="http://schemas.microsoft.com/office/excel/2006/main">
          <x14:cfRule type="expression" priority="204" id="{E157F803-56F3-4266-94BF-F037178EA5FC}">
            <xm:f>AND('G:\Users\GEC\Documents\LUZ\[Copia de 20200615.xlsx]DATOS'!#REF!="NO",'G:\Users\GEC\Documents\LUZ\[Copia de 20200615.xlsx]DATOS'!#REF!="NO")</xm:f>
            <x14:dxf>
              <font>
                <color theme="0"/>
              </font>
              <fill>
                <patternFill>
                  <bgColor theme="0"/>
                </patternFill>
              </fill>
              <border>
                <left/>
                <right/>
                <top/>
                <bottom/>
                <vertical/>
                <horizontal/>
              </border>
            </x14:dxf>
          </x14:cfRule>
          <xm:sqref>J291</xm:sqref>
        </x14:conditionalFormatting>
        <x14:conditionalFormatting xmlns:xm="http://schemas.microsoft.com/office/excel/2006/main">
          <x14:cfRule type="expression" priority="203" id="{DAC48DBC-BDAF-4BF9-A500-02DD8F28EFF0}">
            <xm:f>OR('G:\Users\GEC\Documents\LUZ\[Copia de 20200615.xlsx]AUX'!#REF!=TRUE,'G:\Users\GEC\Documents\LUZ\[Copia de 20200615.xlsx]AUX'!#REF!=TRUE)</xm:f>
            <x14:dxf>
              <font>
                <color theme="0"/>
              </font>
              <fill>
                <patternFill>
                  <bgColor theme="0"/>
                </patternFill>
              </fill>
              <border>
                <left/>
                <right/>
                <top/>
                <bottom/>
                <vertical/>
                <horizontal/>
              </border>
            </x14:dxf>
          </x14:cfRule>
          <xm:sqref>J291</xm:sqref>
        </x14:conditionalFormatting>
        <x14:conditionalFormatting xmlns:xm="http://schemas.microsoft.com/office/excel/2006/main">
          <x14:cfRule type="expression" priority="202" id="{C46FAC50-DF6B-4E6A-9AD7-83677D9DBE6D}">
            <xm:f>'G:\Users\GEC\Documents\LUZ\[Copia de 20200615.xlsx]AUX'!#REF!=TRUE</xm:f>
            <x14:dxf>
              <font>
                <color theme="0"/>
              </font>
              <fill>
                <patternFill>
                  <bgColor theme="0"/>
                </patternFill>
              </fill>
              <border>
                <left/>
                <right/>
                <top/>
                <bottom/>
                <vertical/>
                <horizontal/>
              </border>
            </x14:dxf>
          </x14:cfRule>
          <xm:sqref>J291</xm:sqref>
        </x14:conditionalFormatting>
        <x14:conditionalFormatting xmlns:xm="http://schemas.microsoft.com/office/excel/2006/main">
          <x14:cfRule type="expression" priority="201" id="{17DF291B-A7E5-478F-8EF9-2CE64707642F}">
            <xm:f>OR('G:\Users\GEC\Documents\LUZ\[Copia de 20200615.xlsx]AUX'!#REF!=TRUE,'G:\Users\GEC\Documents\LUZ\[Copia de 20200615.xlsx]AUX'!#REF!=TRUE)</xm:f>
            <x14:dxf>
              <font>
                <color theme="0"/>
              </font>
              <fill>
                <patternFill>
                  <bgColor theme="0"/>
                </patternFill>
              </fill>
              <border>
                <left/>
                <right/>
                <top/>
                <bottom/>
                <vertical/>
                <horizontal/>
              </border>
            </x14:dxf>
          </x14:cfRule>
          <xm:sqref>H260:H261</xm:sqref>
        </x14:conditionalFormatting>
        <x14:conditionalFormatting xmlns:xm="http://schemas.microsoft.com/office/excel/2006/main">
          <x14:cfRule type="expression" priority="200" id="{60297E2A-CB6F-4655-85FB-5E264D6D4A26}">
            <xm:f>OR('G:\Users\GEC\Documents\LUZ\[Copia de 20200615.xlsx]AUX'!#REF!=TRUE,'G:\Users\GEC\Documents\LUZ\[Copia de 20200615.xlsx]AUX'!#REF!=TRUE)</xm:f>
            <x14:dxf>
              <font>
                <color theme="0"/>
              </font>
              <fill>
                <patternFill>
                  <bgColor theme="0"/>
                </patternFill>
              </fill>
              <border>
                <left/>
                <right/>
                <top/>
                <bottom/>
                <vertical/>
                <horizontal/>
              </border>
            </x14:dxf>
          </x14:cfRule>
          <xm:sqref>F260</xm:sqref>
        </x14:conditionalFormatting>
        <x14:conditionalFormatting xmlns:xm="http://schemas.microsoft.com/office/excel/2006/main">
          <x14:cfRule type="expression" priority="199" id="{805B8D2B-BEE0-4135-9297-B82C97EFCBD7}">
            <xm:f>OR('G:\Users\GEC\Documents\LUZ\[Copia de 20200615.xlsx]AUX'!#REF!=TRUE,'G:\Users\GEC\Documents\LUZ\[Copia de 20200615.xlsx]AUX'!#REF!=TRUE)</xm:f>
            <x14:dxf>
              <font>
                <color theme="0"/>
              </font>
              <fill>
                <patternFill>
                  <bgColor theme="0"/>
                </patternFill>
              </fill>
              <border>
                <left/>
                <right/>
                <top/>
                <bottom/>
                <vertical/>
                <horizontal/>
              </border>
            </x14:dxf>
          </x14:cfRule>
          <xm:sqref>F261:F264</xm:sqref>
        </x14:conditionalFormatting>
        <x14:conditionalFormatting xmlns:xm="http://schemas.microsoft.com/office/excel/2006/main">
          <x14:cfRule type="expression" priority="198" id="{AB4BE86D-F916-49C5-8B2D-2F9657D1C555}">
            <xm:f>OR('G:\Users\GEC\Documents\LUZ\[Copia de 20200615.xlsx]AUX'!#REF!=TRUE,'G:\Users\GEC\Documents\LUZ\[Copia de 20200615.xlsx]AUX'!#REF!=TRUE)</xm:f>
            <x14:dxf>
              <font>
                <color theme="0"/>
              </font>
              <fill>
                <patternFill>
                  <bgColor theme="0"/>
                </patternFill>
              </fill>
              <border>
                <left/>
                <right/>
                <top/>
                <bottom/>
                <vertical/>
                <horizontal/>
              </border>
            </x14:dxf>
          </x14:cfRule>
          <xm:sqref>H264</xm:sqref>
        </x14:conditionalFormatting>
        <x14:conditionalFormatting xmlns:xm="http://schemas.microsoft.com/office/excel/2006/main">
          <x14:cfRule type="expression" priority="197" id="{0B33FC9A-690B-4808-8DB2-64BE437AC9F6}">
            <xm:f>OR('G:\Users\GEC\Documents\LUZ\[Copia de 20200615.xlsx]AUX'!#REF!=TRUE,'G:\Users\GEC\Documents\LUZ\[Copia de 20200615.xlsx]AUX'!#REF!=TRUE)</xm:f>
            <x14:dxf>
              <font>
                <color theme="0"/>
              </font>
              <fill>
                <patternFill>
                  <bgColor theme="0"/>
                </patternFill>
              </fill>
              <border>
                <left/>
                <right/>
                <top/>
                <bottom/>
                <vertical/>
                <horizontal/>
              </border>
            </x14:dxf>
          </x14:cfRule>
          <xm:sqref>H262</xm:sqref>
        </x14:conditionalFormatting>
        <x14:conditionalFormatting xmlns:xm="http://schemas.microsoft.com/office/excel/2006/main">
          <x14:cfRule type="expression" priority="196" id="{E5D48A6B-1AE3-45DB-8B25-1335C51472FF}">
            <xm:f>'G:\Users\GEC\Documents\LUZ\[Copia de 20200615.xlsx]DATOS'!#REF!="NO"</xm:f>
            <x14:dxf>
              <font>
                <color theme="0"/>
              </font>
              <fill>
                <patternFill>
                  <bgColor theme="0"/>
                </patternFill>
              </fill>
            </x14:dxf>
          </x14:cfRule>
          <xm:sqref>C283:K283</xm:sqref>
        </x14:conditionalFormatting>
        <x14:conditionalFormatting xmlns:xm="http://schemas.microsoft.com/office/excel/2006/main">
          <x14:cfRule type="expression" priority="195" id="{8D95FE50-73AD-4FE6-B8F7-BED79F7E5D4E}">
            <xm:f>AND('G:\Users\GEC\Documents\LUZ\[Copia de 20200615.xlsx]DATOS'!#REF!="NO",'G:\Users\GEC\Documents\LUZ\[Copia de 20200615.xlsx]DATOS'!#REF!="NO")</xm:f>
            <x14:dxf>
              <font>
                <color theme="0"/>
              </font>
              <fill>
                <patternFill>
                  <bgColor theme="0"/>
                </patternFill>
              </fill>
              <border>
                <left/>
                <right/>
                <top/>
                <bottom/>
                <vertical/>
                <horizontal/>
              </border>
            </x14:dxf>
          </x14:cfRule>
          <xm:sqref>C286:I286 K286 B287:K287 B283:K284 H285:I285 B285:E285</xm:sqref>
        </x14:conditionalFormatting>
        <x14:conditionalFormatting xmlns:xm="http://schemas.microsoft.com/office/excel/2006/main">
          <x14:cfRule type="expression" priority="194" id="{E3F81B9E-5632-4B25-9411-2B79BA114763}">
            <xm:f>OR('G:\Users\GEC\Documents\LUZ\[Copia de 20200615.xlsx]AUX'!#REF!=TRUE,'G:\Users\GEC\Documents\LUZ\[Copia de 20200615.xlsx]AUX'!#REF!=TRUE)</xm:f>
            <x14:dxf>
              <font>
                <color theme="0"/>
              </font>
              <fill>
                <patternFill>
                  <bgColor theme="0"/>
                </patternFill>
              </fill>
              <border>
                <left/>
                <right/>
                <top/>
                <bottom/>
                <vertical/>
                <horizontal/>
              </border>
            </x14:dxf>
          </x14:cfRule>
          <xm:sqref>C286:I286 K286 B287:K287 B283:K284 H285:I285 B285:E285</xm:sqref>
        </x14:conditionalFormatting>
        <x14:conditionalFormatting xmlns:xm="http://schemas.microsoft.com/office/excel/2006/main">
          <x14:cfRule type="expression" priority="193" id="{DAEA5FFD-A5DD-43AC-9016-90D7C3B99ABF}">
            <xm:f>'G:\Users\GEC\Documents\LUZ\[Copia de 20200615.xlsx]AUX'!#REF!=TRUE</xm:f>
            <x14:dxf>
              <font>
                <color theme="0"/>
              </font>
              <fill>
                <patternFill>
                  <bgColor theme="0"/>
                </patternFill>
              </fill>
              <border>
                <left/>
                <right/>
                <top/>
                <bottom/>
                <vertical/>
                <horizontal/>
              </border>
            </x14:dxf>
          </x14:cfRule>
          <xm:sqref>C286:I286 K286 B287:K287 B283:K284 H285:I285 B285:E285</xm:sqref>
        </x14:conditionalFormatting>
        <x14:conditionalFormatting xmlns:xm="http://schemas.microsoft.com/office/excel/2006/main">
          <x14:cfRule type="expression" priority="192" id="{540676D1-0C29-448C-98F3-FBF9537ED427}">
            <xm:f>AND('G:\Users\GEC\Documents\LUZ\[Copia de 20200615.xlsx]DATOS'!#REF!="NO",'G:\Users\GEC\Documents\LUZ\[Copia de 20200615.xlsx]DATOS'!#REF!="NO")</xm:f>
            <x14:dxf>
              <font>
                <color theme="0"/>
              </font>
              <fill>
                <patternFill>
                  <bgColor theme="0"/>
                </patternFill>
              </fill>
              <border>
                <left/>
                <right/>
                <top/>
                <bottom/>
                <vertical/>
                <horizontal/>
              </border>
            </x14:dxf>
          </x14:cfRule>
          <xm:sqref>K291</xm:sqref>
        </x14:conditionalFormatting>
        <x14:conditionalFormatting xmlns:xm="http://schemas.microsoft.com/office/excel/2006/main">
          <x14:cfRule type="expression" priority="191" id="{27815C9E-86FE-45A4-815D-3878CD9AC278}">
            <xm:f>OR('G:\Users\GEC\Documents\LUZ\[Copia de 20200615.xlsx]AUX'!#REF!=TRUE,'G:\Users\GEC\Documents\LUZ\[Copia de 20200615.xlsx]AUX'!#REF!=TRUE)</xm:f>
            <x14:dxf>
              <font>
                <color theme="0"/>
              </font>
              <fill>
                <patternFill>
                  <bgColor theme="0"/>
                </patternFill>
              </fill>
              <border>
                <left/>
                <right/>
                <top/>
                <bottom/>
                <vertical/>
                <horizontal/>
              </border>
            </x14:dxf>
          </x14:cfRule>
          <xm:sqref>K291</xm:sqref>
        </x14:conditionalFormatting>
        <x14:conditionalFormatting xmlns:xm="http://schemas.microsoft.com/office/excel/2006/main">
          <x14:cfRule type="expression" priority="190" id="{DE636F2C-4776-44C2-820B-1CC5BA3CA488}">
            <xm:f>'G:\Users\GEC\Documents\LUZ\[Copia de 20200615.xlsx]AUX'!#REF!=TRUE</xm:f>
            <x14:dxf>
              <font>
                <color theme="0"/>
              </font>
              <fill>
                <patternFill>
                  <bgColor theme="0"/>
                </patternFill>
              </fill>
              <border>
                <left/>
                <right/>
                <top/>
                <bottom/>
                <vertical/>
                <horizontal/>
              </border>
            </x14:dxf>
          </x14:cfRule>
          <xm:sqref>K291</xm:sqref>
        </x14:conditionalFormatting>
        <x14:conditionalFormatting xmlns:xm="http://schemas.microsoft.com/office/excel/2006/main">
          <x14:cfRule type="expression" priority="189" id="{2BD0F24F-F96D-42AD-9A20-D9B5A3DDE5BE}">
            <xm:f>AND('G:\Users\GEC\Documents\LUZ\[Copia de 20200615.xlsx]DATOS'!#REF!="NO",'G:\Users\GEC\Documents\LUZ\[Copia de 20200615.xlsx]DATOS'!#REF!="NO")</xm:f>
            <x14:dxf>
              <font>
                <color theme="0"/>
              </font>
              <fill>
                <patternFill>
                  <bgColor theme="0"/>
                </patternFill>
              </fill>
              <border>
                <left/>
                <right/>
                <top/>
                <bottom/>
                <vertical/>
                <horizontal/>
              </border>
            </x14:dxf>
          </x14:cfRule>
          <xm:sqref>F280:I282</xm:sqref>
        </x14:conditionalFormatting>
        <x14:conditionalFormatting xmlns:xm="http://schemas.microsoft.com/office/excel/2006/main">
          <x14:cfRule type="expression" priority="188" id="{1D023C43-F038-4EDF-8B93-64B699C6946D}">
            <xm:f>OR('G:\Users\GEC\Documents\LUZ\[Copia de 20200615.xlsx]AUX'!#REF!=TRUE,'G:\Users\GEC\Documents\LUZ\[Copia de 20200615.xlsx]AUX'!#REF!=TRUE)</xm:f>
            <x14:dxf>
              <font>
                <color theme="0"/>
              </font>
              <fill>
                <patternFill>
                  <bgColor theme="0"/>
                </patternFill>
              </fill>
              <border>
                <left/>
                <right/>
                <top/>
                <bottom/>
                <vertical/>
                <horizontal/>
              </border>
            </x14:dxf>
          </x14:cfRule>
          <xm:sqref>F280:I282</xm:sqref>
        </x14:conditionalFormatting>
        <x14:conditionalFormatting xmlns:xm="http://schemas.microsoft.com/office/excel/2006/main">
          <x14:cfRule type="expression" priority="187" id="{BAFF1EC6-B51A-4A63-88E7-D12D89D8D5D6}">
            <xm:f>'G:\Users\GEC\Documents\LUZ\[Copia de 20200615.xlsx]AUX'!#REF!=TRUE</xm:f>
            <x14:dxf>
              <font>
                <color theme="0"/>
              </font>
              <fill>
                <patternFill>
                  <bgColor theme="0"/>
                </patternFill>
              </fill>
              <border>
                <left/>
                <right/>
                <top/>
                <bottom/>
                <vertical/>
                <horizontal/>
              </border>
            </x14:dxf>
          </x14:cfRule>
          <xm:sqref>F280:I282</xm:sqref>
        </x14:conditionalFormatting>
        <x14:conditionalFormatting xmlns:xm="http://schemas.microsoft.com/office/excel/2006/main">
          <x14:cfRule type="expression" priority="186" id="{6DD983D3-E3E0-4C20-8D80-A6C08D6C45B2}">
            <xm:f>AND('G:\Users\GEC\Documents\LUZ\[Copia de 20200615.xlsx]DATOS'!#REF!="NO",'G:\Users\GEC\Documents\LUZ\[Copia de 20200615.xlsx]DATOS'!#REF!="NO")</xm:f>
            <x14:dxf>
              <font>
                <color theme="0"/>
              </font>
              <fill>
                <patternFill>
                  <bgColor theme="0"/>
                </patternFill>
              </fill>
              <border>
                <left/>
                <right/>
                <top/>
                <bottom/>
                <vertical/>
                <horizontal/>
              </border>
            </x14:dxf>
          </x14:cfRule>
          <xm:sqref>E280:E282</xm:sqref>
        </x14:conditionalFormatting>
        <x14:conditionalFormatting xmlns:xm="http://schemas.microsoft.com/office/excel/2006/main">
          <x14:cfRule type="expression" priority="185" id="{72B9E224-889E-4BA2-98F9-E8409782102E}">
            <xm:f>OR('G:\Users\GEC\Documents\LUZ\[Copia de 20200615.xlsx]AUX'!#REF!=TRUE,'G:\Users\GEC\Documents\LUZ\[Copia de 20200615.xlsx]AUX'!#REF!=TRUE)</xm:f>
            <x14:dxf>
              <font>
                <color theme="0"/>
              </font>
              <fill>
                <patternFill>
                  <bgColor theme="0"/>
                </patternFill>
              </fill>
              <border>
                <left/>
                <right/>
                <top/>
                <bottom/>
                <vertical/>
                <horizontal/>
              </border>
            </x14:dxf>
          </x14:cfRule>
          <xm:sqref>E280:E282</xm:sqref>
        </x14:conditionalFormatting>
        <x14:conditionalFormatting xmlns:xm="http://schemas.microsoft.com/office/excel/2006/main">
          <x14:cfRule type="expression" priority="184" id="{D272C0C7-3EEA-4DAF-9931-3D70AF845719}">
            <xm:f>'G:\Users\GEC\Documents\LUZ\[Copia de 20200615.xlsx]AUX'!#REF!=TRUE</xm:f>
            <x14:dxf>
              <font>
                <color theme="0"/>
              </font>
              <fill>
                <patternFill>
                  <bgColor theme="0"/>
                </patternFill>
              </fill>
              <border>
                <left/>
                <right/>
                <top/>
                <bottom/>
                <vertical/>
                <horizontal/>
              </border>
            </x14:dxf>
          </x14:cfRule>
          <xm:sqref>E280:E282</xm:sqref>
        </x14:conditionalFormatting>
        <x14:conditionalFormatting xmlns:xm="http://schemas.microsoft.com/office/excel/2006/main">
          <x14:cfRule type="expression" priority="183" id="{629DCBD3-CF3A-4D4C-B2B2-5DC0EC8282BA}">
            <xm:f>AND('G:\Users\GEC\Documents\LUZ\[Copia de 20200615.xlsx]DATOS'!#REF!="NO",'G:\Users\GEC\Documents\LUZ\[Copia de 20200615.xlsx]DATOS'!#REF!="NO")</xm:f>
            <x14:dxf>
              <font>
                <color theme="0"/>
              </font>
              <fill>
                <patternFill>
                  <bgColor theme="0"/>
                </patternFill>
              </fill>
              <border>
                <left/>
                <right/>
                <top/>
                <bottom/>
                <vertical/>
                <horizontal/>
              </border>
            </x14:dxf>
          </x14:cfRule>
          <xm:sqref>D280:D282</xm:sqref>
        </x14:conditionalFormatting>
        <x14:conditionalFormatting xmlns:xm="http://schemas.microsoft.com/office/excel/2006/main">
          <x14:cfRule type="expression" priority="182" id="{0B4A0794-E3D4-40A9-832E-581BB542B5C1}">
            <xm:f>OR('G:\Users\GEC\Documents\LUZ\[Copia de 20200615.xlsx]AUX'!#REF!=TRUE,'G:\Users\GEC\Documents\LUZ\[Copia de 20200615.xlsx]AUX'!#REF!=TRUE)</xm:f>
            <x14:dxf>
              <font>
                <color theme="0"/>
              </font>
              <fill>
                <patternFill>
                  <bgColor theme="0"/>
                </patternFill>
              </fill>
              <border>
                <left/>
                <right/>
                <top/>
                <bottom/>
                <vertical/>
                <horizontal/>
              </border>
            </x14:dxf>
          </x14:cfRule>
          <xm:sqref>D280:D282</xm:sqref>
        </x14:conditionalFormatting>
        <x14:conditionalFormatting xmlns:xm="http://schemas.microsoft.com/office/excel/2006/main">
          <x14:cfRule type="expression" priority="181" id="{24C4154C-0206-4FFC-BB96-E3A115B80E2D}">
            <xm:f>'G:\Users\GEC\Documents\LUZ\[Copia de 20200615.xlsx]AUX'!#REF!=TRUE</xm:f>
            <x14:dxf>
              <font>
                <color theme="0"/>
              </font>
              <fill>
                <patternFill>
                  <bgColor theme="0"/>
                </patternFill>
              </fill>
              <border>
                <left/>
                <right/>
                <top/>
                <bottom/>
                <vertical/>
                <horizontal/>
              </border>
            </x14:dxf>
          </x14:cfRule>
          <xm:sqref>D280:D282</xm:sqref>
        </x14:conditionalFormatting>
        <x14:conditionalFormatting xmlns:xm="http://schemas.microsoft.com/office/excel/2006/main">
          <x14:cfRule type="expression" priority="180" id="{772B11EE-E80B-4B3E-B6A7-E182CB947375}">
            <xm:f>AND('G:\Users\GEC\Documents\LUZ\[Copia de 20200615.xlsx]DATOS'!#REF!="NO",'G:\Users\GEC\Documents\LUZ\[Copia de 20200615.xlsx]DATOS'!#REF!="NO")</xm:f>
            <x14:dxf>
              <font>
                <color theme="0"/>
              </font>
              <fill>
                <patternFill>
                  <bgColor theme="0"/>
                </patternFill>
              </fill>
              <border>
                <left/>
                <right/>
                <top/>
                <bottom/>
                <vertical/>
                <horizontal/>
              </border>
            </x14:dxf>
          </x14:cfRule>
          <xm:sqref>F275:H276</xm:sqref>
        </x14:conditionalFormatting>
        <x14:conditionalFormatting xmlns:xm="http://schemas.microsoft.com/office/excel/2006/main">
          <x14:cfRule type="expression" priority="179" id="{D1516B40-7AA9-4273-99A2-EEDFE45302F2}">
            <xm:f>OR('G:\Users\GEC\Documents\LUZ\[Copia de 20200615.xlsx]AUX'!#REF!=TRUE,'G:\Users\GEC\Documents\LUZ\[Copia de 20200615.xlsx]AUX'!#REF!=TRUE)</xm:f>
            <x14:dxf>
              <font>
                <color theme="0"/>
              </font>
              <fill>
                <patternFill>
                  <bgColor theme="0"/>
                </patternFill>
              </fill>
              <border>
                <left/>
                <right/>
                <top/>
                <bottom/>
                <vertical/>
                <horizontal/>
              </border>
            </x14:dxf>
          </x14:cfRule>
          <xm:sqref>F275:H276</xm:sqref>
        </x14:conditionalFormatting>
        <x14:conditionalFormatting xmlns:xm="http://schemas.microsoft.com/office/excel/2006/main">
          <x14:cfRule type="expression" priority="178" id="{34242500-6256-4205-B725-5DB144FE05BF}">
            <xm:f>'G:\Users\GEC\Documents\LUZ\[Copia de 20200615.xlsx]AUX'!#REF!=TRUE</xm:f>
            <x14:dxf>
              <font>
                <color theme="0"/>
              </font>
              <fill>
                <patternFill>
                  <bgColor theme="0"/>
                </patternFill>
              </fill>
              <border>
                <left/>
                <right/>
                <top/>
                <bottom/>
                <vertical/>
                <horizontal/>
              </border>
            </x14:dxf>
          </x14:cfRule>
          <xm:sqref>G277:H277 E275:H276</xm:sqref>
        </x14:conditionalFormatting>
        <x14:conditionalFormatting xmlns:xm="http://schemas.microsoft.com/office/excel/2006/main">
          <x14:cfRule type="expression" priority="177" id="{B6F4011E-0742-4077-ABAD-BA841AE1FDCE}">
            <xm:f>AND('G:\Users\GEC\Documents\LUZ\[Copia de 20200615.xlsx]DATOS'!#REF!="NO",'G:\Users\GEC\Documents\LUZ\[Copia de 20200615.xlsx]DATOS'!#REF!="NO")</xm:f>
            <x14:dxf>
              <font>
                <color theme="0"/>
              </font>
              <fill>
                <patternFill>
                  <bgColor theme="0"/>
                </patternFill>
              </fill>
              <border>
                <left/>
                <right/>
                <top/>
                <bottom/>
                <vertical/>
                <horizontal/>
              </border>
            </x14:dxf>
          </x14:cfRule>
          <xm:sqref>G277:H277</xm:sqref>
        </x14:conditionalFormatting>
        <x14:conditionalFormatting xmlns:xm="http://schemas.microsoft.com/office/excel/2006/main">
          <x14:cfRule type="expression" priority="176" id="{7C405F90-E52F-46E8-B17B-DBED2F9D5AA5}">
            <xm:f>OR('G:\Users\GEC\Documents\LUZ\[Copia de 20200615.xlsx]AUX'!#REF!=TRUE,'G:\Users\GEC\Documents\LUZ\[Copia de 20200615.xlsx]AUX'!#REF!=TRUE)</xm:f>
            <x14:dxf>
              <font>
                <color theme="0"/>
              </font>
              <fill>
                <patternFill>
                  <bgColor theme="0"/>
                </patternFill>
              </fill>
              <border>
                <left/>
                <right/>
                <top/>
                <bottom/>
                <vertical/>
                <horizontal/>
              </border>
            </x14:dxf>
          </x14:cfRule>
          <xm:sqref>G277:H277</xm:sqref>
        </x14:conditionalFormatting>
        <x14:conditionalFormatting xmlns:xm="http://schemas.microsoft.com/office/excel/2006/main">
          <x14:cfRule type="expression" priority="175" id="{D8907071-5C4D-4B41-A963-23A95A51DA98}">
            <xm:f>AND('G:\Users\GEC\Documents\LUZ\[Copia de 20200615.xlsx]DATOS'!#REF!="NO",'G:\Users\GEC\Documents\LUZ\[Copia de 20200615.xlsx]DATOS'!#REF!="NO")</xm:f>
            <x14:dxf>
              <font>
                <color theme="0"/>
              </font>
              <fill>
                <patternFill>
                  <bgColor theme="0"/>
                </patternFill>
              </fill>
              <border>
                <left/>
                <right/>
                <top/>
                <bottom/>
                <vertical/>
                <horizontal/>
              </border>
            </x14:dxf>
          </x14:cfRule>
          <xm:sqref>E277:F277</xm:sqref>
        </x14:conditionalFormatting>
        <x14:conditionalFormatting xmlns:xm="http://schemas.microsoft.com/office/excel/2006/main">
          <x14:cfRule type="expression" priority="174" id="{27BA9FBC-8C55-4C3C-9BB1-C499245AFCF6}">
            <xm:f>OR('G:\Users\GEC\Documents\LUZ\[Copia de 20200615.xlsx]AUX'!#REF!=TRUE,'G:\Users\GEC\Documents\LUZ\[Copia de 20200615.xlsx]AUX'!#REF!=TRUE)</xm:f>
            <x14:dxf>
              <font>
                <color theme="0"/>
              </font>
              <fill>
                <patternFill>
                  <bgColor theme="0"/>
                </patternFill>
              </fill>
              <border>
                <left/>
                <right/>
                <top/>
                <bottom/>
                <vertical/>
                <horizontal/>
              </border>
            </x14:dxf>
          </x14:cfRule>
          <xm:sqref>E277:F277</xm:sqref>
        </x14:conditionalFormatting>
        <x14:conditionalFormatting xmlns:xm="http://schemas.microsoft.com/office/excel/2006/main">
          <x14:cfRule type="expression" priority="173" id="{A171587F-C2A7-4A13-BCC6-54F9E45B3F46}">
            <xm:f>'G:\Users\GEC\Documents\LUZ\[Copia de 20200615.xlsx]AUX'!#REF!=TRUE</xm:f>
            <x14:dxf>
              <font>
                <color theme="0"/>
              </font>
              <fill>
                <patternFill>
                  <bgColor theme="0"/>
                </patternFill>
              </fill>
              <border>
                <left/>
                <right/>
                <top/>
                <bottom/>
                <vertical/>
                <horizontal/>
              </border>
            </x14:dxf>
          </x14:cfRule>
          <xm:sqref>E277:F277</xm:sqref>
        </x14:conditionalFormatting>
        <x14:conditionalFormatting xmlns:xm="http://schemas.microsoft.com/office/excel/2006/main">
          <x14:cfRule type="expression" priority="172" id="{DD36EC17-3BD9-483A-81AA-5C194BE90C2A}">
            <xm:f>AND('G:\Users\GEC\Documents\LUZ\[Copia de 20200615.xlsx]DATOS'!#REF!="NO",'G:\Users\GEC\Documents\LUZ\[Copia de 20200615.xlsx]DATOS'!#REF!="NO")</xm:f>
            <x14:dxf>
              <font>
                <color theme="0"/>
              </font>
              <fill>
                <patternFill>
                  <bgColor theme="0"/>
                </patternFill>
              </fill>
              <border>
                <left/>
                <right/>
                <top/>
                <bottom/>
                <vertical/>
                <horizontal/>
              </border>
            </x14:dxf>
          </x14:cfRule>
          <xm:sqref>E275:E276</xm:sqref>
        </x14:conditionalFormatting>
        <x14:conditionalFormatting xmlns:xm="http://schemas.microsoft.com/office/excel/2006/main">
          <x14:cfRule type="expression" priority="171" id="{AF0CC742-7010-4B56-86C2-D6B2F6E012D8}">
            <xm:f>OR('G:\Users\GEC\Documents\LUZ\[Copia de 20200615.xlsx]AUX'!#REF!=TRUE,'G:\Users\GEC\Documents\LUZ\[Copia de 20200615.xlsx]AUX'!#REF!=TRUE)</xm:f>
            <x14:dxf>
              <font>
                <color theme="0"/>
              </font>
              <fill>
                <patternFill>
                  <bgColor theme="0"/>
                </patternFill>
              </fill>
              <border>
                <left/>
                <right/>
                <top/>
                <bottom/>
                <vertical/>
                <horizontal/>
              </border>
            </x14:dxf>
          </x14:cfRule>
          <xm:sqref>E275:E276</xm:sqref>
        </x14:conditionalFormatting>
        <x14:conditionalFormatting xmlns:xm="http://schemas.microsoft.com/office/excel/2006/main">
          <x14:cfRule type="expression" priority="168" id="{BC56260E-2419-447E-84F4-FA7C20B219BB}">
            <xm:f>'G:\Users\GEC\Documents\LUZ\[Copia de 20200615.xlsx]AUX'!#REF!=TRUE</xm:f>
            <x14:dxf>
              <font>
                <color theme="0"/>
              </font>
              <fill>
                <patternFill>
                  <bgColor theme="0"/>
                </patternFill>
              </fill>
              <border>
                <left/>
                <right/>
                <top/>
                <bottom/>
                <vertical/>
                <horizontal/>
              </border>
            </x14:dxf>
          </x14:cfRule>
          <xm:sqref>D277</xm:sqref>
        </x14:conditionalFormatting>
        <x14:conditionalFormatting xmlns:xm="http://schemas.microsoft.com/office/excel/2006/main">
          <x14:cfRule type="expression" priority="170" id="{AC8182D1-7195-4914-92EB-D88EDFD047DD}">
            <xm:f>AND('G:\Users\GEC\Documents\LUZ\[Copia de 20200615.xlsx]DATOS'!#REF!="NO",'G:\Users\GEC\Documents\LUZ\[Copia de 20200615.xlsx]DATOS'!#REF!="NO")</xm:f>
            <x14:dxf>
              <font>
                <color theme="0"/>
              </font>
              <fill>
                <patternFill>
                  <bgColor theme="0"/>
                </patternFill>
              </fill>
              <border>
                <left/>
                <right/>
                <top/>
                <bottom/>
                <vertical/>
                <horizontal/>
              </border>
            </x14:dxf>
          </x14:cfRule>
          <xm:sqref>D277</xm:sqref>
        </x14:conditionalFormatting>
        <x14:conditionalFormatting xmlns:xm="http://schemas.microsoft.com/office/excel/2006/main">
          <x14:cfRule type="expression" priority="169" id="{F146CF5F-C7AB-4930-A0B7-58E2C8107DF3}">
            <xm:f>OR('G:\Users\GEC\Documents\LUZ\[Copia de 20200615.xlsx]AUX'!#REF!=TRUE,'G:\Users\GEC\Documents\LUZ\[Copia de 20200615.xlsx]AUX'!#REF!=TRUE)</xm:f>
            <x14:dxf>
              <font>
                <color theme="0"/>
              </font>
              <fill>
                <patternFill>
                  <bgColor theme="0"/>
                </patternFill>
              </fill>
              <border>
                <left/>
                <right/>
                <top/>
                <bottom/>
                <vertical/>
                <horizontal/>
              </border>
            </x14:dxf>
          </x14:cfRule>
          <xm:sqref>D277</xm:sqref>
        </x14:conditionalFormatting>
        <x14:conditionalFormatting xmlns:xm="http://schemas.microsoft.com/office/excel/2006/main">
          <x14:cfRule type="expression" priority="167" id="{57926C10-551C-4BCD-BBC3-E920E38048BD}">
            <xm:f>AND('G:\Users\GEC\Documents\LUZ\[Copia de 20200615.xlsx]DATOS'!#REF!="NO",'G:\Users\GEC\Documents\LUZ\[Copia de 20200615.xlsx]DATOS'!#REF!="NO")</xm:f>
            <x14:dxf>
              <font>
                <color theme="0"/>
              </font>
              <fill>
                <patternFill>
                  <bgColor theme="0"/>
                </patternFill>
              </fill>
              <border>
                <left/>
                <right/>
                <top/>
                <bottom/>
                <vertical/>
                <horizontal/>
              </border>
            </x14:dxf>
          </x14:cfRule>
          <xm:sqref>D275:D276</xm:sqref>
        </x14:conditionalFormatting>
        <x14:conditionalFormatting xmlns:xm="http://schemas.microsoft.com/office/excel/2006/main">
          <x14:cfRule type="expression" priority="166" id="{0CFBE9EE-3162-4F93-BD4A-9B8B21AC6981}">
            <xm:f>OR('G:\Users\GEC\Documents\LUZ\[Copia de 20200615.xlsx]AUX'!#REF!=TRUE,'G:\Users\GEC\Documents\LUZ\[Copia de 20200615.xlsx]AUX'!#REF!=TRUE)</xm:f>
            <x14:dxf>
              <font>
                <color theme="0"/>
              </font>
              <fill>
                <patternFill>
                  <bgColor theme="0"/>
                </patternFill>
              </fill>
              <border>
                <left/>
                <right/>
                <top/>
                <bottom/>
                <vertical/>
                <horizontal/>
              </border>
            </x14:dxf>
          </x14:cfRule>
          <xm:sqref>D275:D276</xm:sqref>
        </x14:conditionalFormatting>
        <x14:conditionalFormatting xmlns:xm="http://schemas.microsoft.com/office/excel/2006/main">
          <x14:cfRule type="expression" priority="165" id="{A4E89751-0A81-4375-B5C8-88603BC0FE1A}">
            <xm:f>'G:\Users\GEC\Documents\LUZ\[Copia de 20200615.xlsx]AUX'!#REF!=TRUE</xm:f>
            <x14:dxf>
              <font>
                <color theme="0"/>
              </font>
              <fill>
                <patternFill>
                  <bgColor theme="0"/>
                </patternFill>
              </fill>
              <border>
                <left/>
                <right/>
                <top/>
                <bottom/>
                <vertical/>
                <horizontal/>
              </border>
            </x14:dxf>
          </x14:cfRule>
          <xm:sqref>D275:D276</xm:sqref>
        </x14:conditionalFormatting>
        <x14:conditionalFormatting xmlns:xm="http://schemas.microsoft.com/office/excel/2006/main">
          <x14:cfRule type="expression" priority="164" id="{A5CAAAAA-6C72-428A-B079-4D3EA0DEC048}">
            <xm:f>AND('G:\Users\GEC\Documents\LUZ\[Copia de 20200615.xlsx]DATOS'!#REF!="NO",'G:\Users\GEC\Documents\LUZ\[Copia de 20200615.xlsx]DATOS'!#REF!="NO")</xm:f>
            <x14:dxf>
              <font>
                <color theme="0"/>
              </font>
              <fill>
                <patternFill>
                  <bgColor theme="0"/>
                </patternFill>
              </fill>
              <border>
                <left/>
                <right/>
                <top/>
                <bottom/>
                <vertical/>
                <horizontal/>
              </border>
            </x14:dxf>
          </x14:cfRule>
          <xm:sqref>I275:I277</xm:sqref>
        </x14:conditionalFormatting>
        <x14:conditionalFormatting xmlns:xm="http://schemas.microsoft.com/office/excel/2006/main">
          <x14:cfRule type="expression" priority="163" id="{023095DE-CD94-4706-A726-B07FF6986053}">
            <xm:f>OR('G:\Users\GEC\Documents\LUZ\[Copia de 20200615.xlsx]AUX'!#REF!=TRUE,'G:\Users\GEC\Documents\LUZ\[Copia de 20200615.xlsx]AUX'!#REF!=TRUE)</xm:f>
            <x14:dxf>
              <font>
                <color theme="0"/>
              </font>
              <fill>
                <patternFill>
                  <bgColor theme="0"/>
                </patternFill>
              </fill>
              <border>
                <left/>
                <right/>
                <top/>
                <bottom/>
                <vertical/>
                <horizontal/>
              </border>
            </x14:dxf>
          </x14:cfRule>
          <xm:sqref>I275:I277</xm:sqref>
        </x14:conditionalFormatting>
        <x14:conditionalFormatting xmlns:xm="http://schemas.microsoft.com/office/excel/2006/main">
          <x14:cfRule type="expression" priority="162" id="{F12DB504-C60A-49EF-A074-5091CE8010CF}">
            <xm:f>'G:\Users\GEC\Documents\LUZ\[Copia de 20200615.xlsx]AUX'!#REF!=TRUE</xm:f>
            <x14:dxf>
              <font>
                <color theme="0"/>
              </font>
              <fill>
                <patternFill>
                  <bgColor theme="0"/>
                </patternFill>
              </fill>
              <border>
                <left/>
                <right/>
                <top/>
                <bottom/>
                <vertical/>
                <horizontal/>
              </border>
            </x14:dxf>
          </x14:cfRule>
          <xm:sqref>I275:I277</xm:sqref>
        </x14:conditionalFormatting>
        <x14:conditionalFormatting xmlns:xm="http://schemas.microsoft.com/office/excel/2006/main">
          <x14:cfRule type="expression" priority="161" id="{D3D890B5-2CC7-444E-ABA8-23AF6063DDC5}">
            <xm:f>AND('G:\Users\GEC\Documents\LUZ\[Copia de 20200615.xlsx]DATOS'!#REF!="NO",'G:\Users\GEC\Documents\LUZ\[Copia de 20200615.xlsx]DATOS'!#REF!="NO")</xm:f>
            <x14:dxf>
              <font>
                <color theme="0"/>
              </font>
              <fill>
                <patternFill>
                  <bgColor theme="0"/>
                </patternFill>
              </fill>
              <border>
                <left/>
                <right/>
                <top/>
                <bottom/>
                <vertical/>
                <horizontal/>
              </border>
            </x14:dxf>
          </x14:cfRule>
          <xm:sqref>I288:J288 B288:D288</xm:sqref>
        </x14:conditionalFormatting>
        <x14:conditionalFormatting xmlns:xm="http://schemas.microsoft.com/office/excel/2006/main">
          <x14:cfRule type="expression" priority="160" id="{06DC5497-4C43-4931-9361-51A579643B71}">
            <xm:f>OR('G:\Users\GEC\Documents\LUZ\[Copia de 20200615.xlsx]AUX'!#REF!=TRUE,'G:\Users\GEC\Documents\LUZ\[Copia de 20200615.xlsx]AUX'!#REF!=TRUE)</xm:f>
            <x14:dxf>
              <font>
                <color theme="0"/>
              </font>
              <fill>
                <patternFill>
                  <bgColor theme="0"/>
                </patternFill>
              </fill>
              <border>
                <left/>
                <right/>
                <top/>
                <bottom/>
                <vertical/>
                <horizontal/>
              </border>
            </x14:dxf>
          </x14:cfRule>
          <xm:sqref>I288:J288 B288:D288</xm:sqref>
        </x14:conditionalFormatting>
        <x14:conditionalFormatting xmlns:xm="http://schemas.microsoft.com/office/excel/2006/main">
          <x14:cfRule type="expression" priority="159" id="{D1128002-FCF4-4E7F-9CE2-2FEC690D5556}">
            <xm:f>'G:\Users\GEC\Documents\LUZ\[Copia de 20200615.xlsx]AUX'!#REF!=TRUE</xm:f>
            <x14:dxf>
              <font>
                <color theme="0"/>
              </font>
              <fill>
                <patternFill>
                  <bgColor theme="0"/>
                </patternFill>
              </fill>
              <border>
                <left/>
                <right/>
                <top/>
                <bottom/>
                <vertical/>
                <horizontal/>
              </border>
            </x14:dxf>
          </x14:cfRule>
          <xm:sqref>I288:J288 B288:D288</xm:sqref>
        </x14:conditionalFormatting>
        <x14:conditionalFormatting xmlns:xm="http://schemas.microsoft.com/office/excel/2006/main">
          <x14:cfRule type="expression" priority="158" id="{F16E361D-CB4D-415A-8929-086CAFFC0C72}">
            <xm:f>AND('G:\Users\GEC\Documents\LUZ\[Copia de 20200615.xlsx]DATOS'!#REF!="NO",'G:\Users\GEC\Documents\LUZ\[Copia de 20200615.xlsx]DATOS'!#REF!="NO")</xm:f>
            <x14:dxf>
              <font>
                <color theme="0"/>
              </font>
              <fill>
                <patternFill>
                  <bgColor theme="0"/>
                </patternFill>
              </fill>
              <border>
                <left/>
                <right/>
                <top/>
                <bottom/>
                <vertical/>
                <horizontal/>
              </border>
            </x14:dxf>
          </x14:cfRule>
          <xm:sqref>K285</xm:sqref>
        </x14:conditionalFormatting>
        <x14:conditionalFormatting xmlns:xm="http://schemas.microsoft.com/office/excel/2006/main">
          <x14:cfRule type="expression" priority="157" id="{3CE593FC-D6CA-44DD-8264-04BEB7318583}">
            <xm:f>OR('G:\Users\GEC\Documents\LUZ\[Copia de 20200615.xlsx]AUX'!#REF!=TRUE,'G:\Users\GEC\Documents\LUZ\[Copia de 20200615.xlsx]AUX'!#REF!=TRUE)</xm:f>
            <x14:dxf>
              <font>
                <color theme="0"/>
              </font>
              <fill>
                <patternFill>
                  <bgColor theme="0"/>
                </patternFill>
              </fill>
              <border>
                <left/>
                <right/>
                <top/>
                <bottom/>
                <vertical/>
                <horizontal/>
              </border>
            </x14:dxf>
          </x14:cfRule>
          <xm:sqref>K285</xm:sqref>
        </x14:conditionalFormatting>
        <x14:conditionalFormatting xmlns:xm="http://schemas.microsoft.com/office/excel/2006/main">
          <x14:cfRule type="expression" priority="156" id="{3AA134E1-DFB7-4503-9DA5-383AACB9E7A8}">
            <xm:f>'G:\Users\GEC\Documents\LUZ\[Copia de 20200615.xlsx]AUX'!#REF!=TRUE</xm:f>
            <x14:dxf>
              <font>
                <color theme="0"/>
              </font>
              <fill>
                <patternFill>
                  <bgColor theme="0"/>
                </patternFill>
              </fill>
              <border>
                <left/>
                <right/>
                <top/>
                <bottom/>
                <vertical/>
                <horizontal/>
              </border>
            </x14:dxf>
          </x14:cfRule>
          <xm:sqref>K285</xm:sqref>
        </x14:conditionalFormatting>
        <x14:conditionalFormatting xmlns:xm="http://schemas.microsoft.com/office/excel/2006/main">
          <x14:cfRule type="expression" priority="155" id="{B59B5896-4DEA-4144-B971-F3764482126A}">
            <xm:f>AND('G:\Users\GEC\Documents\LUZ\[Copia de 20200615.xlsx]DATOS'!#REF!="NO",'G:\Users\GEC\Documents\LUZ\[Copia de 20200615.xlsx]DATOS'!#REF!="NO")</xm:f>
            <x14:dxf>
              <font>
                <color theme="0"/>
              </font>
              <fill>
                <patternFill>
                  <bgColor theme="0"/>
                </patternFill>
              </fill>
              <border>
                <left/>
                <right/>
                <top/>
                <bottom/>
                <vertical/>
                <horizontal/>
              </border>
            </x14:dxf>
          </x14:cfRule>
          <xm:sqref>B279:K279</xm:sqref>
        </x14:conditionalFormatting>
        <x14:conditionalFormatting xmlns:xm="http://schemas.microsoft.com/office/excel/2006/main">
          <x14:cfRule type="expression" priority="154" id="{9BD8E1C4-6C66-4614-AF22-86B2706AD80F}">
            <xm:f>OR('G:\Users\GEC\Documents\LUZ\[Copia de 20200615.xlsx]AUX'!#REF!=TRUE,'G:\Users\GEC\Documents\LUZ\[Copia de 20200615.xlsx]AUX'!#REF!=TRUE)</xm:f>
            <x14:dxf>
              <font>
                <color theme="0"/>
              </font>
              <fill>
                <patternFill>
                  <bgColor theme="0"/>
                </patternFill>
              </fill>
              <border>
                <left/>
                <right/>
                <top/>
                <bottom/>
                <vertical/>
                <horizontal/>
              </border>
            </x14:dxf>
          </x14:cfRule>
          <xm:sqref>B279:K279</xm:sqref>
        </x14:conditionalFormatting>
        <x14:conditionalFormatting xmlns:xm="http://schemas.microsoft.com/office/excel/2006/main">
          <x14:cfRule type="expression" priority="153" id="{B1CD36E1-0D3C-48B9-B94D-F87270E1D614}">
            <xm:f>'G:\Users\GEC\Documents\LUZ\[Copia de 20200615.xlsx]AUX'!#REF!=TRUE</xm:f>
            <x14:dxf>
              <font>
                <color theme="0"/>
              </font>
              <fill>
                <patternFill>
                  <bgColor theme="0"/>
                </patternFill>
              </fill>
              <border>
                <left/>
                <right/>
                <top/>
                <bottom/>
                <vertical/>
                <horizontal/>
              </border>
            </x14:dxf>
          </x14:cfRule>
          <xm:sqref>B279:K279</xm:sqref>
        </x14:conditionalFormatting>
        <x14:conditionalFormatting xmlns:xm="http://schemas.microsoft.com/office/excel/2006/main">
          <x14:cfRule type="expression" priority="152" id="{9C1696E6-4B6B-4FD3-BD03-45914C42926F}">
            <xm:f>AND('G:\Users\GEC\Documents\LUZ\[Copia de 20200615.xlsx]DATOS'!#REF!="NO",'G:\Users\GEC\Documents\LUZ\[Copia de 20200615.xlsx]DATOS'!#REF!="NO")</xm:f>
            <x14:dxf>
              <font>
                <color theme="0"/>
              </font>
              <fill>
                <patternFill>
                  <bgColor theme="0"/>
                </patternFill>
              </fill>
              <border>
                <left/>
                <right/>
                <top/>
                <bottom/>
                <vertical/>
                <horizontal/>
              </border>
            </x14:dxf>
          </x14:cfRule>
          <xm:sqref>B289:K289</xm:sqref>
        </x14:conditionalFormatting>
        <x14:conditionalFormatting xmlns:xm="http://schemas.microsoft.com/office/excel/2006/main">
          <x14:cfRule type="expression" priority="151" id="{7228C2AF-EB76-498A-A2A9-5910B827337F}">
            <xm:f>OR('G:\Users\GEC\Documents\LUZ\[Copia de 20200615.xlsx]AUX'!#REF!=TRUE,'G:\Users\GEC\Documents\LUZ\[Copia de 20200615.xlsx]AUX'!#REF!=TRUE)</xm:f>
            <x14:dxf>
              <font>
                <color theme="0"/>
              </font>
              <fill>
                <patternFill>
                  <bgColor theme="0"/>
                </patternFill>
              </fill>
              <border>
                <left/>
                <right/>
                <top/>
                <bottom/>
                <vertical/>
                <horizontal/>
              </border>
            </x14:dxf>
          </x14:cfRule>
          <xm:sqref>B289:K289</xm:sqref>
        </x14:conditionalFormatting>
        <x14:conditionalFormatting xmlns:xm="http://schemas.microsoft.com/office/excel/2006/main">
          <x14:cfRule type="expression" priority="150" id="{1D239097-5355-4604-B305-3B379265993E}">
            <xm:f>'G:\Users\GEC\Documents\LUZ\[Copia de 20200615.xlsx]AUX'!#REF!=TRUE</xm:f>
            <x14:dxf>
              <font>
                <color theme="0"/>
              </font>
              <fill>
                <patternFill>
                  <bgColor theme="0"/>
                </patternFill>
              </fill>
              <border>
                <left/>
                <right/>
                <top/>
                <bottom/>
                <vertical/>
                <horizontal/>
              </border>
            </x14:dxf>
          </x14:cfRule>
          <xm:sqref>B289:K289</xm:sqref>
        </x14:conditionalFormatting>
        <x14:conditionalFormatting xmlns:xm="http://schemas.microsoft.com/office/excel/2006/main">
          <x14:cfRule type="expression" priority="149" id="{4797B68A-7540-4DAC-8204-AE46F9C4E210}">
            <xm:f>AND('G:\Users\GEC\Documents\LUZ\[Copia de 20200615.xlsx]DATOS'!#REF!="NO",'G:\Users\GEC\Documents\LUZ\[Copia de 20200615.xlsx]DATOS'!#REF!="NO")</xm:f>
            <x14:dxf>
              <font>
                <color theme="0"/>
              </font>
              <fill>
                <patternFill>
                  <bgColor theme="0"/>
                </patternFill>
              </fill>
              <border>
                <left/>
                <right/>
                <top/>
                <bottom/>
                <vertical/>
                <horizontal/>
              </border>
            </x14:dxf>
          </x14:cfRule>
          <xm:sqref>C312:C313</xm:sqref>
        </x14:conditionalFormatting>
        <x14:conditionalFormatting xmlns:xm="http://schemas.microsoft.com/office/excel/2006/main">
          <x14:cfRule type="expression" priority="148" id="{C5909EA6-BE44-4397-89D0-262D3D749C1D}">
            <xm:f>OR('G:\Users\GEC\Documents\LUZ\[Copia de 20200615.xlsx]AUX'!#REF!=TRUE,'G:\Users\GEC\Documents\LUZ\[Copia de 20200615.xlsx]AUX'!#REF!=TRUE)</xm:f>
            <x14:dxf>
              <font>
                <color theme="0"/>
              </font>
              <fill>
                <patternFill>
                  <bgColor theme="0"/>
                </patternFill>
              </fill>
              <border>
                <left/>
                <right/>
                <top/>
                <bottom/>
                <vertical/>
                <horizontal/>
              </border>
            </x14:dxf>
          </x14:cfRule>
          <xm:sqref>C312:C313</xm:sqref>
        </x14:conditionalFormatting>
        <x14:conditionalFormatting xmlns:xm="http://schemas.microsoft.com/office/excel/2006/main">
          <x14:cfRule type="expression" priority="147" id="{A346549F-F7B9-4C04-B0C9-08EAC61ED618}">
            <xm:f>'G:\Users\GEC\Documents\LUZ\[Copia de 20200615.xlsx]AUX'!#REF!=TRUE</xm:f>
            <x14:dxf>
              <font>
                <color theme="0"/>
              </font>
              <fill>
                <patternFill>
                  <bgColor theme="0"/>
                </patternFill>
              </fill>
              <border>
                <left/>
                <right/>
                <top/>
                <bottom/>
                <vertical/>
                <horizontal/>
              </border>
            </x14:dxf>
          </x14:cfRule>
          <xm:sqref>B315:C315 C312:C314</xm:sqref>
        </x14:conditionalFormatting>
        <x14:conditionalFormatting xmlns:xm="http://schemas.microsoft.com/office/excel/2006/main">
          <x14:cfRule type="expression" priority="146" id="{157594B4-D1F8-49BC-A99E-9FC308DFD409}">
            <xm:f>AND('G:\Users\GEC\Documents\LUZ\[Copia de 20200615.xlsx]DATOS'!#REF!="NO",'G:\Users\GEC\Documents\LUZ\[Copia de 20200615.xlsx]DATOS'!#REF!="NO")</xm:f>
            <x14:dxf>
              <font>
                <color theme="0"/>
              </font>
              <fill>
                <patternFill>
                  <bgColor theme="0"/>
                </patternFill>
              </fill>
              <border>
                <left/>
                <right/>
                <top/>
                <bottom/>
                <vertical/>
                <horizontal/>
              </border>
            </x14:dxf>
          </x14:cfRule>
          <xm:sqref>B315:C315 C314</xm:sqref>
        </x14:conditionalFormatting>
        <x14:conditionalFormatting xmlns:xm="http://schemas.microsoft.com/office/excel/2006/main">
          <x14:cfRule type="expression" priority="145" id="{A0F8EB1A-F2B7-44F4-8AC9-A72AD6F1D6D2}">
            <xm:f>OR('G:\Users\GEC\Documents\LUZ\[Copia de 20200615.xlsx]AUX'!#REF!=TRUE,'G:\Users\GEC\Documents\LUZ\[Copia de 20200615.xlsx]AUX'!#REF!=TRUE)</xm:f>
            <x14:dxf>
              <font>
                <color theme="0"/>
              </font>
              <fill>
                <patternFill>
                  <bgColor theme="0"/>
                </patternFill>
              </fill>
              <border>
                <left/>
                <right/>
                <top/>
                <bottom/>
                <vertical/>
                <horizontal/>
              </border>
            </x14:dxf>
          </x14:cfRule>
          <xm:sqref>B315:C315 C314</xm:sqref>
        </x14:conditionalFormatting>
        <x14:conditionalFormatting xmlns:xm="http://schemas.microsoft.com/office/excel/2006/main">
          <x14:cfRule type="expression" priority="144" id="{EE89CD89-4EA3-44D6-A5C0-10AEB69975F5}">
            <xm:f>OR('G:\Users\GEC\Documents\LUZ\[Copia de 20200615.xlsx]AUX'!#REF!=TRUE,'G:\Users\GEC\Documents\LUZ\[Copia de 20200615.xlsx]AUX'!#REF!=TRUE)</xm:f>
            <x14:dxf>
              <font>
                <color theme="0"/>
              </font>
              <fill>
                <patternFill>
                  <bgColor theme="0"/>
                </patternFill>
              </fill>
              <border>
                <left/>
                <right/>
                <top/>
                <bottom/>
                <vertical/>
                <horizontal/>
              </border>
            </x14:dxf>
          </x14:cfRule>
          <xm:sqref>K304 B305:C307 B303</xm:sqref>
        </x14:conditionalFormatting>
        <x14:conditionalFormatting xmlns:xm="http://schemas.microsoft.com/office/excel/2006/main">
          <x14:cfRule type="expression" priority="143" id="{7AEC75B3-7876-4D5F-BAF1-2BE4F19947D9}">
            <xm:f>AND('G:\Users\GEC\Documents\LUZ\[Copia de 20200615.xlsx]DATOS'!#REF!="NO",'G:\Users\GEC\Documents\LUZ\[Copia de 20200615.xlsx]DATOS'!#REF!="NO")</xm:f>
            <x14:dxf>
              <font>
                <color theme="0"/>
              </font>
              <fill>
                <patternFill>
                  <bgColor theme="0"/>
                </patternFill>
              </fill>
              <border>
                <left/>
                <right/>
                <top/>
                <bottom/>
                <vertical/>
                <horizontal/>
              </border>
            </x14:dxf>
          </x14:cfRule>
          <xm:sqref>B328:I328 B310:K311 B327:J327 K317:K319 J312:K313</xm:sqref>
        </x14:conditionalFormatting>
        <x14:conditionalFormatting xmlns:xm="http://schemas.microsoft.com/office/excel/2006/main">
          <x14:cfRule type="expression" priority="142" id="{14A5A1A0-6987-480A-8408-C1967C9E695E}">
            <xm:f>OR('G:\Users\GEC\Documents\LUZ\[Copia de 20200615.xlsx]AUX'!#REF!=TRUE,'G:\Users\GEC\Documents\LUZ\[Copia de 20200615.xlsx]AUX'!#REF!=TRUE)</xm:f>
            <x14:dxf>
              <font>
                <color theme="0"/>
              </font>
              <fill>
                <patternFill>
                  <bgColor theme="0"/>
                </patternFill>
              </fill>
              <border>
                <left/>
                <right/>
                <top/>
                <bottom/>
                <vertical/>
                <horizontal/>
              </border>
            </x14:dxf>
          </x14:cfRule>
          <xm:sqref>B328:I328 B327:J327 B310:K311 K317:K319 J312:K313</xm:sqref>
        </x14:conditionalFormatting>
        <x14:conditionalFormatting xmlns:xm="http://schemas.microsoft.com/office/excel/2006/main">
          <x14:cfRule type="expression" priority="141" id="{5C977A1D-303F-451E-8049-86DFC7AAB4E9}">
            <xm:f>'G:\Users\GEC\Documents\LUZ\[Copia de 20200615.xlsx]AUX'!#REF!=TRUE</xm:f>
            <x14:dxf>
              <font>
                <color theme="0"/>
              </font>
              <fill>
                <patternFill>
                  <bgColor theme="0"/>
                </patternFill>
              </fill>
              <border>
                <left/>
                <right/>
                <top/>
                <bottom/>
                <vertical/>
                <horizontal/>
              </border>
            </x14:dxf>
          </x14:cfRule>
          <xm:sqref>B328:I328 B310:K311 B327:J327 F303:K303 H302:K302 E315:K315 K317:K319 J312:K314</xm:sqref>
        </x14:conditionalFormatting>
        <x14:conditionalFormatting xmlns:xm="http://schemas.microsoft.com/office/excel/2006/main">
          <x14:cfRule type="expression" priority="139" id="{36266EB0-CE18-4BB7-B424-6CE2A9C37651}">
            <xm:f>OR('G:\Users\GEC\Documents\LUZ\[Copia de 20200615.xlsx]AUX'!#REF!=TRUE,'G:\Users\GEC\Documents\LUZ\[Copia de 20200615.xlsx]AUX'!#REF!=TRUE)</xm:f>
            <x14:dxf>
              <font>
                <color theme="0"/>
              </font>
              <fill>
                <patternFill>
                  <bgColor theme="0"/>
                </patternFill>
              </fill>
              <border>
                <left/>
                <right/>
                <top/>
                <bottom/>
                <vertical/>
                <horizontal/>
              </border>
            </x14:dxf>
          </x14:cfRule>
          <xm:sqref>B297:E297 H302:K302 F303:K303</xm:sqref>
        </x14:conditionalFormatting>
        <x14:conditionalFormatting xmlns:xm="http://schemas.microsoft.com/office/excel/2006/main">
          <x14:cfRule type="expression" priority="138" id="{274AAB11-090A-4E13-A10E-9E9E9DBF1B48}">
            <xm:f>'G:\Users\GEC\Documents\LUZ\[Copia de 20200615.xlsx]AUX'!#REF!=TRUE</xm:f>
            <x14:dxf>
              <font>
                <color theme="0"/>
              </font>
              <fill>
                <patternFill>
                  <bgColor theme="0"/>
                </patternFill>
              </fill>
              <border>
                <left/>
                <right/>
                <top/>
                <bottom/>
                <vertical/>
                <horizontal/>
              </border>
            </x14:dxf>
          </x14:cfRule>
          <xm:sqref>C297:E297</xm:sqref>
        </x14:conditionalFormatting>
        <x14:conditionalFormatting xmlns:xm="http://schemas.microsoft.com/office/excel/2006/main">
          <x14:cfRule type="expression" priority="140" id="{808449C3-E602-4CE4-AFE8-475FE124BC88}">
            <xm:f>AND('G:\Users\GEC\Documents\LUZ\[Copia de 20200615.xlsx]DATOS'!#REF!="NO",'G:\Users\GEC\Documents\LUZ\[Copia de 20200615.xlsx]DATOS'!#REF!="NO")</xm:f>
            <x14:dxf>
              <font>
                <color theme="0"/>
              </font>
              <fill>
                <patternFill>
                  <bgColor theme="0"/>
                </patternFill>
              </fill>
              <border>
                <left/>
                <right/>
                <top/>
                <bottom/>
                <vertical/>
                <horizontal/>
              </border>
            </x14:dxf>
          </x14:cfRule>
          <xm:sqref>C297:E297 F303:K303 H302:K302</xm:sqref>
        </x14:conditionalFormatting>
        <x14:conditionalFormatting xmlns:xm="http://schemas.microsoft.com/office/excel/2006/main">
          <x14:cfRule type="expression" priority="137" id="{9607C19D-A6EA-4AF6-94CA-E97E2F98089B}">
            <xm:f>AND('G:\Users\GEC\Documents\LUZ\[Copia de 20200615.xlsx]DATOS'!#REF!="NO",'G:\Users\GEC\Documents\LUZ\[Copia de 20200615.xlsx]DATOS'!#REF!="NO")</xm:f>
            <x14:dxf>
              <font>
                <color theme="0"/>
              </font>
              <fill>
                <patternFill>
                  <bgColor theme="0"/>
                </patternFill>
              </fill>
              <border>
                <left/>
                <right/>
                <top/>
                <bottom/>
                <vertical/>
                <horizontal/>
              </border>
            </x14:dxf>
          </x14:cfRule>
          <xm:sqref>C302:G302 C298:E301</xm:sqref>
        </x14:conditionalFormatting>
        <x14:conditionalFormatting xmlns:xm="http://schemas.microsoft.com/office/excel/2006/main">
          <x14:cfRule type="expression" priority="136" id="{7C6F24E2-1713-4DA0-8063-85D7E2EDD338}">
            <xm:f>OR('G:\Users\GEC\Documents\LUZ\[Copia de 20200615.xlsx]AUX'!#REF!=TRUE,'G:\Users\GEC\Documents\LUZ\[Copia de 20200615.xlsx]AUX'!#REF!=TRUE)</xm:f>
            <x14:dxf>
              <font>
                <color theme="0"/>
              </font>
              <fill>
                <patternFill>
                  <bgColor theme="0"/>
                </patternFill>
              </fill>
              <border>
                <left/>
                <right/>
                <top/>
                <bottom/>
                <vertical/>
                <horizontal/>
              </border>
            </x14:dxf>
          </x14:cfRule>
          <xm:sqref>B302:G302 C298:E299 B300:E301</xm:sqref>
        </x14:conditionalFormatting>
        <x14:conditionalFormatting xmlns:xm="http://schemas.microsoft.com/office/excel/2006/main">
          <x14:cfRule type="expression" priority="135" id="{F129BA78-A2BA-425B-AE78-22B2DDA5A77C}">
            <xm:f>'G:\Users\GEC\Documents\LUZ\[Copia de 20200615.xlsx]AUX'!#REF!=TRUE</xm:f>
            <x14:dxf>
              <font>
                <color theme="0"/>
              </font>
              <fill>
                <patternFill>
                  <bgColor theme="0"/>
                </patternFill>
              </fill>
              <border>
                <left/>
                <right/>
                <top/>
                <bottom/>
                <vertical/>
                <horizontal/>
              </border>
            </x14:dxf>
          </x14:cfRule>
          <xm:sqref>C302:G302 C298:E301</xm:sqref>
        </x14:conditionalFormatting>
        <x14:conditionalFormatting xmlns:xm="http://schemas.microsoft.com/office/excel/2006/main">
          <x14:cfRule type="expression" priority="134" id="{491CDD9B-C3C5-4A1A-9BD4-85593EA79A72}">
            <xm:f>AND('G:\Users\GEC\Documents\LUZ\[Copia de 20200615.xlsx]DATOS'!#REF!="NO",'G:\Users\GEC\Documents\LUZ\[Copia de 20200615.xlsx]DATOS'!#REF!="NO")</xm:f>
            <x14:dxf>
              <font>
                <color theme="0"/>
              </font>
              <fill>
                <patternFill>
                  <bgColor theme="0"/>
                </patternFill>
              </fill>
              <border>
                <left/>
                <right/>
                <top/>
                <bottom/>
                <vertical/>
                <horizontal/>
              </border>
            </x14:dxf>
          </x14:cfRule>
          <xm:sqref>J314:K314 E315:K315</xm:sqref>
        </x14:conditionalFormatting>
        <x14:conditionalFormatting xmlns:xm="http://schemas.microsoft.com/office/excel/2006/main">
          <x14:cfRule type="expression" priority="133" id="{56B5A5B2-DB7A-4827-B5DA-27A8F579C770}">
            <xm:f>OR('G:\Users\GEC\Documents\LUZ\[Copia de 20200615.xlsx]AUX'!#REF!=TRUE,'G:\Users\GEC\Documents\LUZ\[Copia de 20200615.xlsx]AUX'!#REF!=TRUE)</xm:f>
            <x14:dxf>
              <font>
                <color theme="0"/>
              </font>
              <fill>
                <patternFill>
                  <bgColor theme="0"/>
                </patternFill>
              </fill>
              <border>
                <left/>
                <right/>
                <top/>
                <bottom/>
                <vertical/>
                <horizontal/>
              </border>
            </x14:dxf>
          </x14:cfRule>
          <xm:sqref>J314:K314 E315:K315</xm:sqref>
        </x14:conditionalFormatting>
        <x14:conditionalFormatting xmlns:xm="http://schemas.microsoft.com/office/excel/2006/main">
          <x14:cfRule type="expression" priority="132" id="{F86178A7-0E99-404A-9DDB-79453D3FFBB4}">
            <xm:f>'G:\Users\GEC\Documents\LUZ\[Copia de 20200615.xlsx]AUX'!#REF!=TRUE</xm:f>
            <x14:dxf>
              <font>
                <color theme="0"/>
              </font>
              <fill>
                <patternFill>
                  <bgColor theme="0"/>
                </patternFill>
              </fill>
              <border>
                <left/>
                <right/>
                <top/>
                <bottom/>
                <vertical/>
                <horizontal/>
              </border>
            </x14:dxf>
          </x14:cfRule>
          <xm:sqref>D315</xm:sqref>
        </x14:conditionalFormatting>
        <x14:conditionalFormatting xmlns:xm="http://schemas.microsoft.com/office/excel/2006/main">
          <x14:cfRule type="expression" priority="131" id="{313E9C9C-9BBE-439B-A967-6E53512492D0}">
            <xm:f>AND('G:\Users\GEC\Documents\LUZ\[Copia de 20200615.xlsx]DATOS'!#REF!="NO",'G:\Users\GEC\Documents\LUZ\[Copia de 20200615.xlsx]DATOS'!#REF!="NO")</xm:f>
            <x14:dxf>
              <font>
                <color theme="0"/>
              </font>
              <fill>
                <patternFill>
                  <bgColor theme="0"/>
                </patternFill>
              </fill>
              <border>
                <left/>
                <right/>
                <top/>
                <bottom/>
                <vertical/>
                <horizontal/>
              </border>
            </x14:dxf>
          </x14:cfRule>
          <xm:sqref>D315</xm:sqref>
        </x14:conditionalFormatting>
        <x14:conditionalFormatting xmlns:xm="http://schemas.microsoft.com/office/excel/2006/main">
          <x14:cfRule type="expression" priority="130" id="{ECAC2CB3-7975-4409-A902-4430C487D9C3}">
            <xm:f>OR('G:\Users\GEC\Documents\LUZ\[Copia de 20200615.xlsx]AUX'!#REF!=TRUE,'G:\Users\GEC\Documents\LUZ\[Copia de 20200615.xlsx]AUX'!#REF!=TRUE)</xm:f>
            <x14:dxf>
              <font>
                <color theme="0"/>
              </font>
              <fill>
                <patternFill>
                  <bgColor theme="0"/>
                </patternFill>
              </fill>
              <border>
                <left/>
                <right/>
                <top/>
                <bottom/>
                <vertical/>
                <horizontal/>
              </border>
            </x14:dxf>
          </x14:cfRule>
          <xm:sqref>D315</xm:sqref>
        </x14:conditionalFormatting>
        <x14:conditionalFormatting xmlns:xm="http://schemas.microsoft.com/office/excel/2006/main">
          <x14:cfRule type="expression" priority="129" id="{772E765E-AC65-4769-8F7B-AB40E7D1843E}">
            <xm:f>AND('G:\Users\GEC\Documents\LUZ\[Copia de 20200615.xlsx]DATOS'!#REF!="NO",'G:\Users\GEC\Documents\LUZ\[Copia de 20200615.xlsx]DATOS'!#REF!="NO")</xm:f>
            <x14:dxf>
              <font>
                <color theme="0"/>
              </font>
              <fill>
                <patternFill>
                  <bgColor theme="0"/>
                </patternFill>
              </fill>
              <border>
                <left/>
                <right/>
                <top/>
                <bottom/>
                <vertical/>
                <horizontal/>
              </border>
            </x14:dxf>
          </x14:cfRule>
          <xm:sqref>B317:C319 J317:J319</xm:sqref>
        </x14:conditionalFormatting>
        <x14:conditionalFormatting xmlns:xm="http://schemas.microsoft.com/office/excel/2006/main">
          <x14:cfRule type="expression" priority="128" id="{B44B6C08-2443-411B-AFB9-DAE1E39D08E0}">
            <xm:f>OR('G:\Users\GEC\Documents\LUZ\[Copia de 20200615.xlsx]AUX'!#REF!=TRUE,'G:\Users\GEC\Documents\LUZ\[Copia de 20200615.xlsx]AUX'!#REF!=TRUE)</xm:f>
            <x14:dxf>
              <font>
                <color theme="0"/>
              </font>
              <fill>
                <patternFill>
                  <bgColor theme="0"/>
                </patternFill>
              </fill>
              <border>
                <left/>
                <right/>
                <top/>
                <bottom/>
                <vertical/>
                <horizontal/>
              </border>
            </x14:dxf>
          </x14:cfRule>
          <xm:sqref>B317:C319 J317:J319</xm:sqref>
        </x14:conditionalFormatting>
        <x14:conditionalFormatting xmlns:xm="http://schemas.microsoft.com/office/excel/2006/main">
          <x14:cfRule type="expression" priority="127" id="{9D87FB1D-3ED7-4F90-90DC-E5887FC68122}">
            <xm:f>'G:\Users\GEC\Documents\LUZ\[Copia de 20200615.xlsx]AUX'!#REF!=TRUE</xm:f>
            <x14:dxf>
              <font>
                <color theme="0"/>
              </font>
              <fill>
                <patternFill>
                  <bgColor theme="0"/>
                </patternFill>
              </fill>
              <border>
                <left/>
                <right/>
                <top/>
                <bottom/>
                <vertical/>
                <horizontal/>
              </border>
            </x14:dxf>
          </x14:cfRule>
          <xm:sqref>B317:C319 J317:J319</xm:sqref>
        </x14:conditionalFormatting>
        <x14:conditionalFormatting xmlns:xm="http://schemas.microsoft.com/office/excel/2006/main">
          <x14:cfRule type="expression" priority="126" id="{44BBE53C-23BD-4D16-A2E7-351BD8501127}">
            <xm:f>OR('G:\Users\GEC\Documents\LUZ\[Copia de 20200615.xlsx]AUX'!#REF!=TRUE,'G:\Users\GEC\Documents\LUZ\[Copia de 20200615.xlsx]AUX'!#REF!=TRUE)</xm:f>
            <x14:dxf>
              <font>
                <color theme="0"/>
              </font>
              <fill>
                <patternFill>
                  <bgColor theme="0"/>
                </patternFill>
              </fill>
              <border>
                <left/>
                <right/>
                <top/>
                <bottom/>
                <vertical/>
                <horizontal/>
              </border>
            </x14:dxf>
          </x14:cfRule>
          <xm:sqref>C303</xm:sqref>
        </x14:conditionalFormatting>
        <x14:conditionalFormatting xmlns:xm="http://schemas.microsoft.com/office/excel/2006/main">
          <x14:cfRule type="expression" priority="125" id="{B7DBFE5A-B5DB-4AE1-B761-263BE088EA48}">
            <xm:f>'G:\Users\GEC\Documents\LUZ\[Copia de 20200615.xlsx]DATOS'!#REF!="NO"</xm:f>
            <x14:dxf>
              <border>
                <left/>
                <right/>
                <top/>
                <bottom/>
                <vertical/>
                <horizontal/>
              </border>
            </x14:dxf>
          </x14:cfRule>
          <xm:sqref>D306:I307</xm:sqref>
        </x14:conditionalFormatting>
        <x14:conditionalFormatting xmlns:xm="http://schemas.microsoft.com/office/excel/2006/main">
          <x14:cfRule type="expression" priority="124" id="{440214CC-F028-4D21-8997-6D2F928396AF}">
            <xm:f>OR('G:\Users\GEC\Documents\LUZ\[Copia de 20200615.xlsx]AUX'!#REF!=TRUE,'G:\Users\GEC\Documents\LUZ\[Copia de 20200615.xlsx]AUX'!#REF!=TRUE)</xm:f>
            <x14:dxf>
              <font>
                <color theme="0"/>
              </font>
              <fill>
                <patternFill>
                  <bgColor theme="0"/>
                </patternFill>
              </fill>
              <border>
                <left/>
                <right/>
                <top/>
                <bottom/>
                <vertical/>
                <horizontal/>
              </border>
            </x14:dxf>
          </x14:cfRule>
          <xm:sqref>D305:H305 D306:I307</xm:sqref>
        </x14:conditionalFormatting>
        <x14:conditionalFormatting xmlns:xm="http://schemas.microsoft.com/office/excel/2006/main">
          <x14:cfRule type="expression" priority="123" id="{489F8A17-B07D-49BA-8034-ABC997CC082D}">
            <xm:f>OR('G:\Users\GEC\Documents\LUZ\[Copia de 20200615.xlsx]AUX'!#REF!=TRUE,'G:\Users\GEC\Documents\LUZ\[Copia de 20200615.xlsx]AUX'!#REF!=TRUE)</xm:f>
            <x14:dxf>
              <font>
                <color theme="0"/>
              </font>
              <fill>
                <patternFill>
                  <bgColor theme="0"/>
                </patternFill>
              </fill>
              <border>
                <left/>
                <right/>
                <top/>
                <bottom/>
                <vertical/>
                <horizontal/>
              </border>
            </x14:dxf>
          </x14:cfRule>
          <xm:sqref>I305</xm:sqref>
        </x14:conditionalFormatting>
        <x14:conditionalFormatting xmlns:xm="http://schemas.microsoft.com/office/excel/2006/main">
          <x14:cfRule type="expression" priority="122" id="{771D4F45-C611-418B-9F44-D157AC8A7DF9}">
            <xm:f>OR('G:\Users\GEC\Documents\LUZ\[Copia de 20200615.xlsx]AUX'!#REF!=TRUE,'G:\Users\GEC\Documents\LUZ\[Copia de 20200615.xlsx]AUX'!#REF!=TRUE)</xm:f>
            <x14:dxf>
              <font>
                <color theme="0"/>
              </font>
              <fill>
                <patternFill>
                  <bgColor theme="0"/>
                </patternFill>
              </fill>
              <border>
                <left/>
                <right/>
                <top/>
                <bottom/>
                <vertical/>
                <horizontal/>
              </border>
            </x14:dxf>
          </x14:cfRule>
          <xm:sqref>C304</xm:sqref>
        </x14:conditionalFormatting>
        <x14:conditionalFormatting xmlns:xm="http://schemas.microsoft.com/office/excel/2006/main">
          <x14:cfRule type="expression" priority="121" id="{83B1245F-7187-46BF-9C6D-F8789A456AA0}">
            <xm:f>AND('G:\Users\GEC\Documents\LUZ\[Copia de 20200615.xlsx]DATOS'!#REF!="NO",'G:\Users\GEC\Documents\LUZ\[Copia de 20200615.xlsx]DATOS'!#REF!="NO")</xm:f>
            <x14:dxf>
              <font>
                <color theme="0"/>
              </font>
              <fill>
                <patternFill>
                  <bgColor theme="0"/>
                </patternFill>
              </fill>
              <border>
                <left/>
                <right/>
                <top/>
                <bottom/>
                <vertical/>
                <horizontal/>
              </border>
            </x14:dxf>
          </x14:cfRule>
          <xm:sqref>K327</xm:sqref>
        </x14:conditionalFormatting>
        <x14:conditionalFormatting xmlns:xm="http://schemas.microsoft.com/office/excel/2006/main">
          <x14:cfRule type="expression" priority="120" id="{E5775DA0-D642-4E0E-9AE3-F9D99902D7DB}">
            <xm:f>OR('G:\Users\GEC\Documents\LUZ\[Copia de 20200615.xlsx]AUX'!#REF!=TRUE,'G:\Users\GEC\Documents\LUZ\[Copia de 20200615.xlsx]AUX'!#REF!=TRUE)</xm:f>
            <x14:dxf>
              <font>
                <color theme="0"/>
              </font>
              <fill>
                <patternFill>
                  <bgColor theme="0"/>
                </patternFill>
              </fill>
              <border>
                <left/>
                <right/>
                <top/>
                <bottom/>
                <vertical/>
                <horizontal/>
              </border>
            </x14:dxf>
          </x14:cfRule>
          <xm:sqref>K327</xm:sqref>
        </x14:conditionalFormatting>
        <x14:conditionalFormatting xmlns:xm="http://schemas.microsoft.com/office/excel/2006/main">
          <x14:cfRule type="expression" priority="119" id="{DE1B4AC8-4870-4059-9E69-3973685E52BA}">
            <xm:f>'G:\Users\GEC\Documents\LUZ\[Copia de 20200615.xlsx]AUX'!#REF!=TRUE</xm:f>
            <x14:dxf>
              <font>
                <color theme="0"/>
              </font>
              <fill>
                <patternFill>
                  <bgColor theme="0"/>
                </patternFill>
              </fill>
              <border>
                <left/>
                <right/>
                <top/>
                <bottom/>
                <vertical/>
                <horizontal/>
              </border>
            </x14:dxf>
          </x14:cfRule>
          <xm:sqref>K327</xm:sqref>
        </x14:conditionalFormatting>
        <x14:conditionalFormatting xmlns:xm="http://schemas.microsoft.com/office/excel/2006/main">
          <x14:cfRule type="expression" priority="118" id="{FEFC9B14-EA00-41D4-802D-D64A86E2E3E0}">
            <xm:f>AND('G:\Users\GEC\Documents\LUZ\[Copia de 20200615.xlsx]DATOS'!#REF!="NO",'G:\Users\GEC\Documents\LUZ\[Copia de 20200615.xlsx]DATOS'!#REF!="NO")</xm:f>
            <x14:dxf>
              <font>
                <color theme="0"/>
              </font>
              <fill>
                <patternFill>
                  <bgColor theme="0"/>
                </patternFill>
              </fill>
              <border>
                <left/>
                <right/>
                <top/>
                <bottom/>
                <vertical/>
                <horizontal/>
              </border>
            </x14:dxf>
          </x14:cfRule>
          <xm:sqref>J328</xm:sqref>
        </x14:conditionalFormatting>
        <x14:conditionalFormatting xmlns:xm="http://schemas.microsoft.com/office/excel/2006/main">
          <x14:cfRule type="expression" priority="117" id="{D119FA04-632E-454C-AA0C-313E19C97CA0}">
            <xm:f>OR('G:\Users\GEC\Documents\LUZ\[Copia de 20200615.xlsx]AUX'!#REF!=TRUE,'G:\Users\GEC\Documents\LUZ\[Copia de 20200615.xlsx]AUX'!#REF!=TRUE)</xm:f>
            <x14:dxf>
              <font>
                <color theme="0"/>
              </font>
              <fill>
                <patternFill>
                  <bgColor theme="0"/>
                </patternFill>
              </fill>
              <border>
                <left/>
                <right/>
                <top/>
                <bottom/>
                <vertical/>
                <horizontal/>
              </border>
            </x14:dxf>
          </x14:cfRule>
          <xm:sqref>J328</xm:sqref>
        </x14:conditionalFormatting>
        <x14:conditionalFormatting xmlns:xm="http://schemas.microsoft.com/office/excel/2006/main">
          <x14:cfRule type="expression" priority="116" id="{72794698-E5F2-4984-AC05-F9C60ACF1E84}">
            <xm:f>'G:\Users\GEC\Documents\LUZ\[Copia de 20200615.xlsx]AUX'!#REF!=TRUE</xm:f>
            <x14:dxf>
              <font>
                <color theme="0"/>
              </font>
              <fill>
                <patternFill>
                  <bgColor theme="0"/>
                </patternFill>
              </fill>
              <border>
                <left/>
                <right/>
                <top/>
                <bottom/>
                <vertical/>
                <horizontal/>
              </border>
            </x14:dxf>
          </x14:cfRule>
          <xm:sqref>J328</xm:sqref>
        </x14:conditionalFormatting>
        <x14:conditionalFormatting xmlns:xm="http://schemas.microsoft.com/office/excel/2006/main">
          <x14:cfRule type="expression" priority="115" id="{780E886F-7483-4E48-97A8-5337D5FFF307}">
            <xm:f>OR('G:\Users\GEC\Documents\LUZ\[Copia de 20200615.xlsx]AUX'!#REF!=TRUE,'G:\Users\GEC\Documents\LUZ\[Copia de 20200615.xlsx]AUX'!#REF!=TRUE)</xm:f>
            <x14:dxf>
              <font>
                <color theme="0"/>
              </font>
              <fill>
                <patternFill>
                  <bgColor theme="0"/>
                </patternFill>
              </fill>
              <border>
                <left/>
                <right/>
                <top/>
                <bottom/>
                <vertical/>
                <horizontal/>
              </border>
            </x14:dxf>
          </x14:cfRule>
          <xm:sqref>H297:H298</xm:sqref>
        </x14:conditionalFormatting>
        <x14:conditionalFormatting xmlns:xm="http://schemas.microsoft.com/office/excel/2006/main">
          <x14:cfRule type="expression" priority="114" id="{8B806CD9-163D-474B-A473-05F3CBD5E45A}">
            <xm:f>OR('G:\Users\GEC\Documents\LUZ\[Copia de 20200615.xlsx]AUX'!#REF!=TRUE,'G:\Users\GEC\Documents\LUZ\[Copia de 20200615.xlsx]AUX'!#REF!=TRUE)</xm:f>
            <x14:dxf>
              <font>
                <color theme="0"/>
              </font>
              <fill>
                <patternFill>
                  <bgColor theme="0"/>
                </patternFill>
              </fill>
              <border>
                <left/>
                <right/>
                <top/>
                <bottom/>
                <vertical/>
                <horizontal/>
              </border>
            </x14:dxf>
          </x14:cfRule>
          <xm:sqref>F297</xm:sqref>
        </x14:conditionalFormatting>
        <x14:conditionalFormatting xmlns:xm="http://schemas.microsoft.com/office/excel/2006/main">
          <x14:cfRule type="expression" priority="113" id="{E6267632-9DC1-4E6F-8FDD-3927123E2B68}">
            <xm:f>OR('G:\Users\GEC\Documents\LUZ\[Copia de 20200615.xlsx]AUX'!#REF!=TRUE,'G:\Users\GEC\Documents\LUZ\[Copia de 20200615.xlsx]AUX'!#REF!=TRUE)</xm:f>
            <x14:dxf>
              <font>
                <color theme="0"/>
              </font>
              <fill>
                <patternFill>
                  <bgColor theme="0"/>
                </patternFill>
              </fill>
              <border>
                <left/>
                <right/>
                <top/>
                <bottom/>
                <vertical/>
                <horizontal/>
              </border>
            </x14:dxf>
          </x14:cfRule>
          <xm:sqref>F298:F301</xm:sqref>
        </x14:conditionalFormatting>
        <x14:conditionalFormatting xmlns:xm="http://schemas.microsoft.com/office/excel/2006/main">
          <x14:cfRule type="expression" priority="112" id="{15ED2B5A-B8A2-431F-921A-3AC874CA6C01}">
            <xm:f>OR('G:\Users\GEC\Documents\LUZ\[Copia de 20200615.xlsx]AUX'!#REF!=TRUE,'G:\Users\GEC\Documents\LUZ\[Copia de 20200615.xlsx]AUX'!#REF!=TRUE)</xm:f>
            <x14:dxf>
              <font>
                <color theme="0"/>
              </font>
              <fill>
                <patternFill>
                  <bgColor theme="0"/>
                </patternFill>
              </fill>
              <border>
                <left/>
                <right/>
                <top/>
                <bottom/>
                <vertical/>
                <horizontal/>
              </border>
            </x14:dxf>
          </x14:cfRule>
          <xm:sqref>H301</xm:sqref>
        </x14:conditionalFormatting>
        <x14:conditionalFormatting xmlns:xm="http://schemas.microsoft.com/office/excel/2006/main">
          <x14:cfRule type="expression" priority="111" id="{EEC1E5B7-AE62-434B-BEB6-0510A6F77A33}">
            <xm:f>OR('G:\Users\GEC\Documents\LUZ\[Copia de 20200615.xlsx]AUX'!#REF!=TRUE,'G:\Users\GEC\Documents\LUZ\[Copia de 20200615.xlsx]AUX'!#REF!=TRUE)</xm:f>
            <x14:dxf>
              <font>
                <color theme="0"/>
              </font>
              <fill>
                <patternFill>
                  <bgColor theme="0"/>
                </patternFill>
              </fill>
              <border>
                <left/>
                <right/>
                <top/>
                <bottom/>
                <vertical/>
                <horizontal/>
              </border>
            </x14:dxf>
          </x14:cfRule>
          <xm:sqref>H299</xm:sqref>
        </x14:conditionalFormatting>
        <x14:conditionalFormatting xmlns:xm="http://schemas.microsoft.com/office/excel/2006/main">
          <x14:cfRule type="expression" priority="110" id="{6FFDD40B-6A01-4D49-9D86-35C112CB2065}">
            <xm:f>'G:\Users\GEC\Documents\LUZ\[Copia de 20200615.xlsx]DATOS'!#REF!="NO"</xm:f>
            <x14:dxf>
              <font>
                <color theme="0"/>
              </font>
              <fill>
                <patternFill>
                  <bgColor theme="0"/>
                </patternFill>
              </fill>
            </x14:dxf>
          </x14:cfRule>
          <xm:sqref>C320:K320</xm:sqref>
        </x14:conditionalFormatting>
        <x14:conditionalFormatting xmlns:xm="http://schemas.microsoft.com/office/excel/2006/main">
          <x14:cfRule type="expression" priority="109" id="{DF389BAD-B633-45D9-A5D9-9902CCC172B6}">
            <xm:f>AND('G:\Users\GEC\Documents\LUZ\[Copia de 20200615.xlsx]DATOS'!#REF!="NO",'G:\Users\GEC\Documents\LUZ\[Copia de 20200615.xlsx]DATOS'!#REF!="NO")</xm:f>
            <x14:dxf>
              <font>
                <color theme="0"/>
              </font>
              <fill>
                <patternFill>
                  <bgColor theme="0"/>
                </patternFill>
              </fill>
              <border>
                <left/>
                <right/>
                <top/>
                <bottom/>
                <vertical/>
                <horizontal/>
              </border>
            </x14:dxf>
          </x14:cfRule>
          <xm:sqref>C323:I323 K323 B324:K324 B320:K321 H322:I322 B322:E322</xm:sqref>
        </x14:conditionalFormatting>
        <x14:conditionalFormatting xmlns:xm="http://schemas.microsoft.com/office/excel/2006/main">
          <x14:cfRule type="expression" priority="108" id="{39748BE8-2DC8-46DA-8004-8FE8FEADF1EA}">
            <xm:f>OR('G:\Users\GEC\Documents\LUZ\[Copia de 20200615.xlsx]AUX'!#REF!=TRUE,'G:\Users\GEC\Documents\LUZ\[Copia de 20200615.xlsx]AUX'!#REF!=TRUE)</xm:f>
            <x14:dxf>
              <font>
                <color theme="0"/>
              </font>
              <fill>
                <patternFill>
                  <bgColor theme="0"/>
                </patternFill>
              </fill>
              <border>
                <left/>
                <right/>
                <top/>
                <bottom/>
                <vertical/>
                <horizontal/>
              </border>
            </x14:dxf>
          </x14:cfRule>
          <xm:sqref>C323:I323 K323 B324:K324 B320:K321 H322:I322 B322:E322</xm:sqref>
        </x14:conditionalFormatting>
        <x14:conditionalFormatting xmlns:xm="http://schemas.microsoft.com/office/excel/2006/main">
          <x14:cfRule type="expression" priority="107" id="{2C7EF4B8-46F5-4665-B59D-BDA633F56197}">
            <xm:f>'G:\Users\GEC\Documents\LUZ\[Copia de 20200615.xlsx]AUX'!#REF!=TRUE</xm:f>
            <x14:dxf>
              <font>
                <color theme="0"/>
              </font>
              <fill>
                <patternFill>
                  <bgColor theme="0"/>
                </patternFill>
              </fill>
              <border>
                <left/>
                <right/>
                <top/>
                <bottom/>
                <vertical/>
                <horizontal/>
              </border>
            </x14:dxf>
          </x14:cfRule>
          <xm:sqref>C323:I323 K323 B324:K324 B320:K321 H322:I322 B322:E322</xm:sqref>
        </x14:conditionalFormatting>
        <x14:conditionalFormatting xmlns:xm="http://schemas.microsoft.com/office/excel/2006/main">
          <x14:cfRule type="expression" priority="106" id="{C3B710C9-8A06-4048-96BA-3CE6C9833B9C}">
            <xm:f>AND('G:\Users\GEC\Documents\LUZ\[Copia de 20200615.xlsx]DATOS'!#REF!="NO",'G:\Users\GEC\Documents\LUZ\[Copia de 20200615.xlsx]DATOS'!#REF!="NO")</xm:f>
            <x14:dxf>
              <font>
                <color theme="0"/>
              </font>
              <fill>
                <patternFill>
                  <bgColor theme="0"/>
                </patternFill>
              </fill>
              <border>
                <left/>
                <right/>
                <top/>
                <bottom/>
                <vertical/>
                <horizontal/>
              </border>
            </x14:dxf>
          </x14:cfRule>
          <xm:sqref>K328</xm:sqref>
        </x14:conditionalFormatting>
        <x14:conditionalFormatting xmlns:xm="http://schemas.microsoft.com/office/excel/2006/main">
          <x14:cfRule type="expression" priority="105" id="{B46BF187-79D1-4B69-B059-3417710AF903}">
            <xm:f>OR('G:\Users\GEC\Documents\LUZ\[Copia de 20200615.xlsx]AUX'!#REF!=TRUE,'G:\Users\GEC\Documents\LUZ\[Copia de 20200615.xlsx]AUX'!#REF!=TRUE)</xm:f>
            <x14:dxf>
              <font>
                <color theme="0"/>
              </font>
              <fill>
                <patternFill>
                  <bgColor theme="0"/>
                </patternFill>
              </fill>
              <border>
                <left/>
                <right/>
                <top/>
                <bottom/>
                <vertical/>
                <horizontal/>
              </border>
            </x14:dxf>
          </x14:cfRule>
          <xm:sqref>K328</xm:sqref>
        </x14:conditionalFormatting>
        <x14:conditionalFormatting xmlns:xm="http://schemas.microsoft.com/office/excel/2006/main">
          <x14:cfRule type="expression" priority="104" id="{F8B52B4A-2621-4CE8-89EC-29229CA77B07}">
            <xm:f>'G:\Users\GEC\Documents\LUZ\[Copia de 20200615.xlsx]AUX'!#REF!=TRUE</xm:f>
            <x14:dxf>
              <font>
                <color theme="0"/>
              </font>
              <fill>
                <patternFill>
                  <bgColor theme="0"/>
                </patternFill>
              </fill>
              <border>
                <left/>
                <right/>
                <top/>
                <bottom/>
                <vertical/>
                <horizontal/>
              </border>
            </x14:dxf>
          </x14:cfRule>
          <xm:sqref>K328</xm:sqref>
        </x14:conditionalFormatting>
        <x14:conditionalFormatting xmlns:xm="http://schemas.microsoft.com/office/excel/2006/main">
          <x14:cfRule type="expression" priority="103" id="{799FF30D-0C0C-48AF-9A2F-167005EE1120}">
            <xm:f>AND('G:\Users\GEC\Documents\LUZ\[Copia de 20200615.xlsx]DATOS'!#REF!="NO",'G:\Users\GEC\Documents\LUZ\[Copia de 20200615.xlsx]DATOS'!#REF!="NO")</xm:f>
            <x14:dxf>
              <font>
                <color theme="0"/>
              </font>
              <fill>
                <patternFill>
                  <bgColor theme="0"/>
                </patternFill>
              </fill>
              <border>
                <left/>
                <right/>
                <top/>
                <bottom/>
                <vertical/>
                <horizontal/>
              </border>
            </x14:dxf>
          </x14:cfRule>
          <xm:sqref>F317:I319</xm:sqref>
        </x14:conditionalFormatting>
        <x14:conditionalFormatting xmlns:xm="http://schemas.microsoft.com/office/excel/2006/main">
          <x14:cfRule type="expression" priority="102" id="{F6AA258B-AAA3-4931-AC1D-8D63C137A269}">
            <xm:f>OR('G:\Users\GEC\Documents\LUZ\[Copia de 20200615.xlsx]AUX'!#REF!=TRUE,'G:\Users\GEC\Documents\LUZ\[Copia de 20200615.xlsx]AUX'!#REF!=TRUE)</xm:f>
            <x14:dxf>
              <font>
                <color theme="0"/>
              </font>
              <fill>
                <patternFill>
                  <bgColor theme="0"/>
                </patternFill>
              </fill>
              <border>
                <left/>
                <right/>
                <top/>
                <bottom/>
                <vertical/>
                <horizontal/>
              </border>
            </x14:dxf>
          </x14:cfRule>
          <xm:sqref>F317:I319</xm:sqref>
        </x14:conditionalFormatting>
        <x14:conditionalFormatting xmlns:xm="http://schemas.microsoft.com/office/excel/2006/main">
          <x14:cfRule type="expression" priority="101" id="{6816415D-6264-482D-A965-A16C2CE97896}">
            <xm:f>'G:\Users\GEC\Documents\LUZ\[Copia de 20200615.xlsx]AUX'!#REF!=TRUE</xm:f>
            <x14:dxf>
              <font>
                <color theme="0"/>
              </font>
              <fill>
                <patternFill>
                  <bgColor theme="0"/>
                </patternFill>
              </fill>
              <border>
                <left/>
                <right/>
                <top/>
                <bottom/>
                <vertical/>
                <horizontal/>
              </border>
            </x14:dxf>
          </x14:cfRule>
          <xm:sqref>F317:I319</xm:sqref>
        </x14:conditionalFormatting>
        <x14:conditionalFormatting xmlns:xm="http://schemas.microsoft.com/office/excel/2006/main">
          <x14:cfRule type="expression" priority="100" id="{EC7010BF-95EE-47C8-8B97-1DE13ACF7686}">
            <xm:f>AND('G:\Users\GEC\Documents\LUZ\[Copia de 20200615.xlsx]DATOS'!#REF!="NO",'G:\Users\GEC\Documents\LUZ\[Copia de 20200615.xlsx]DATOS'!#REF!="NO")</xm:f>
            <x14:dxf>
              <font>
                <color theme="0"/>
              </font>
              <fill>
                <patternFill>
                  <bgColor theme="0"/>
                </patternFill>
              </fill>
              <border>
                <left/>
                <right/>
                <top/>
                <bottom/>
                <vertical/>
                <horizontal/>
              </border>
            </x14:dxf>
          </x14:cfRule>
          <xm:sqref>E317:E319</xm:sqref>
        </x14:conditionalFormatting>
        <x14:conditionalFormatting xmlns:xm="http://schemas.microsoft.com/office/excel/2006/main">
          <x14:cfRule type="expression" priority="99" id="{41F2F45B-5608-499A-9359-36BA9E4BF6E9}">
            <xm:f>OR('G:\Users\GEC\Documents\LUZ\[Copia de 20200615.xlsx]AUX'!#REF!=TRUE,'G:\Users\GEC\Documents\LUZ\[Copia de 20200615.xlsx]AUX'!#REF!=TRUE)</xm:f>
            <x14:dxf>
              <font>
                <color theme="0"/>
              </font>
              <fill>
                <patternFill>
                  <bgColor theme="0"/>
                </patternFill>
              </fill>
              <border>
                <left/>
                <right/>
                <top/>
                <bottom/>
                <vertical/>
                <horizontal/>
              </border>
            </x14:dxf>
          </x14:cfRule>
          <xm:sqref>E317:E319</xm:sqref>
        </x14:conditionalFormatting>
        <x14:conditionalFormatting xmlns:xm="http://schemas.microsoft.com/office/excel/2006/main">
          <x14:cfRule type="expression" priority="98" id="{7003BF04-51B8-4B6E-9CE3-354742058537}">
            <xm:f>'G:\Users\GEC\Documents\LUZ\[Copia de 20200615.xlsx]AUX'!#REF!=TRUE</xm:f>
            <x14:dxf>
              <font>
                <color theme="0"/>
              </font>
              <fill>
                <patternFill>
                  <bgColor theme="0"/>
                </patternFill>
              </fill>
              <border>
                <left/>
                <right/>
                <top/>
                <bottom/>
                <vertical/>
                <horizontal/>
              </border>
            </x14:dxf>
          </x14:cfRule>
          <xm:sqref>E317:E319</xm:sqref>
        </x14:conditionalFormatting>
        <x14:conditionalFormatting xmlns:xm="http://schemas.microsoft.com/office/excel/2006/main">
          <x14:cfRule type="expression" priority="97" id="{38AB2BEE-4129-4C66-9BBA-2CCE65A1ED7E}">
            <xm:f>AND('G:\Users\GEC\Documents\LUZ\[Copia de 20200615.xlsx]DATOS'!#REF!="NO",'G:\Users\GEC\Documents\LUZ\[Copia de 20200615.xlsx]DATOS'!#REF!="NO")</xm:f>
            <x14:dxf>
              <font>
                <color theme="0"/>
              </font>
              <fill>
                <patternFill>
                  <bgColor theme="0"/>
                </patternFill>
              </fill>
              <border>
                <left/>
                <right/>
                <top/>
                <bottom/>
                <vertical/>
                <horizontal/>
              </border>
            </x14:dxf>
          </x14:cfRule>
          <xm:sqref>D317:D319</xm:sqref>
        </x14:conditionalFormatting>
        <x14:conditionalFormatting xmlns:xm="http://schemas.microsoft.com/office/excel/2006/main">
          <x14:cfRule type="expression" priority="96" id="{8501712D-5F65-48DD-AC74-3B0BD907810F}">
            <xm:f>OR('G:\Users\GEC\Documents\LUZ\[Copia de 20200615.xlsx]AUX'!#REF!=TRUE,'G:\Users\GEC\Documents\LUZ\[Copia de 20200615.xlsx]AUX'!#REF!=TRUE)</xm:f>
            <x14:dxf>
              <font>
                <color theme="0"/>
              </font>
              <fill>
                <patternFill>
                  <bgColor theme="0"/>
                </patternFill>
              </fill>
              <border>
                <left/>
                <right/>
                <top/>
                <bottom/>
                <vertical/>
                <horizontal/>
              </border>
            </x14:dxf>
          </x14:cfRule>
          <xm:sqref>D317:D319</xm:sqref>
        </x14:conditionalFormatting>
        <x14:conditionalFormatting xmlns:xm="http://schemas.microsoft.com/office/excel/2006/main">
          <x14:cfRule type="expression" priority="95" id="{0401AD93-F038-4A7B-86AB-7FB88C489A0A}">
            <xm:f>'G:\Users\GEC\Documents\LUZ\[Copia de 20200615.xlsx]AUX'!#REF!=TRUE</xm:f>
            <x14:dxf>
              <font>
                <color theme="0"/>
              </font>
              <fill>
                <patternFill>
                  <bgColor theme="0"/>
                </patternFill>
              </fill>
              <border>
                <left/>
                <right/>
                <top/>
                <bottom/>
                <vertical/>
                <horizontal/>
              </border>
            </x14:dxf>
          </x14:cfRule>
          <xm:sqref>D317:D319</xm:sqref>
        </x14:conditionalFormatting>
        <x14:conditionalFormatting xmlns:xm="http://schemas.microsoft.com/office/excel/2006/main">
          <x14:cfRule type="expression" priority="94" id="{1C10DE24-FDFC-41FA-B3D5-F8FE2390E71E}">
            <xm:f>AND('G:\Users\GEC\Documents\LUZ\[Copia de 20200615.xlsx]DATOS'!#REF!="NO",'G:\Users\GEC\Documents\LUZ\[Copia de 20200615.xlsx]DATOS'!#REF!="NO")</xm:f>
            <x14:dxf>
              <font>
                <color theme="0"/>
              </font>
              <fill>
                <patternFill>
                  <bgColor theme="0"/>
                </patternFill>
              </fill>
              <border>
                <left/>
                <right/>
                <top/>
                <bottom/>
                <vertical/>
                <horizontal/>
              </border>
            </x14:dxf>
          </x14:cfRule>
          <xm:sqref>F312:H313</xm:sqref>
        </x14:conditionalFormatting>
        <x14:conditionalFormatting xmlns:xm="http://schemas.microsoft.com/office/excel/2006/main">
          <x14:cfRule type="expression" priority="93" id="{79FE46B1-F703-4C75-9CE0-ABD006876193}">
            <xm:f>OR('G:\Users\GEC\Documents\LUZ\[Copia de 20200615.xlsx]AUX'!#REF!=TRUE,'G:\Users\GEC\Documents\LUZ\[Copia de 20200615.xlsx]AUX'!#REF!=TRUE)</xm:f>
            <x14:dxf>
              <font>
                <color theme="0"/>
              </font>
              <fill>
                <patternFill>
                  <bgColor theme="0"/>
                </patternFill>
              </fill>
              <border>
                <left/>
                <right/>
                <top/>
                <bottom/>
                <vertical/>
                <horizontal/>
              </border>
            </x14:dxf>
          </x14:cfRule>
          <xm:sqref>F312:H313</xm:sqref>
        </x14:conditionalFormatting>
        <x14:conditionalFormatting xmlns:xm="http://schemas.microsoft.com/office/excel/2006/main">
          <x14:cfRule type="expression" priority="92" id="{8F0B5146-1A50-4D24-BDD1-8CB3528D71EB}">
            <xm:f>'G:\Users\GEC\Documents\LUZ\[Copia de 20200615.xlsx]AUX'!#REF!=TRUE</xm:f>
            <x14:dxf>
              <font>
                <color theme="0"/>
              </font>
              <fill>
                <patternFill>
                  <bgColor theme="0"/>
                </patternFill>
              </fill>
              <border>
                <left/>
                <right/>
                <top/>
                <bottom/>
                <vertical/>
                <horizontal/>
              </border>
            </x14:dxf>
          </x14:cfRule>
          <xm:sqref>G314:H314 E312:H313</xm:sqref>
        </x14:conditionalFormatting>
        <x14:conditionalFormatting xmlns:xm="http://schemas.microsoft.com/office/excel/2006/main">
          <x14:cfRule type="expression" priority="91" id="{425BB460-BA3F-4B6C-80CB-37E3AE409173}">
            <xm:f>AND('G:\Users\GEC\Documents\LUZ\[Copia de 20200615.xlsx]DATOS'!#REF!="NO",'G:\Users\GEC\Documents\LUZ\[Copia de 20200615.xlsx]DATOS'!#REF!="NO")</xm:f>
            <x14:dxf>
              <font>
                <color theme="0"/>
              </font>
              <fill>
                <patternFill>
                  <bgColor theme="0"/>
                </patternFill>
              </fill>
              <border>
                <left/>
                <right/>
                <top/>
                <bottom/>
                <vertical/>
                <horizontal/>
              </border>
            </x14:dxf>
          </x14:cfRule>
          <xm:sqref>G314:H314</xm:sqref>
        </x14:conditionalFormatting>
        <x14:conditionalFormatting xmlns:xm="http://schemas.microsoft.com/office/excel/2006/main">
          <x14:cfRule type="expression" priority="90" id="{5B6DE09B-95DB-4BF4-B755-FC05848166A4}">
            <xm:f>OR('G:\Users\GEC\Documents\LUZ\[Copia de 20200615.xlsx]AUX'!#REF!=TRUE,'G:\Users\GEC\Documents\LUZ\[Copia de 20200615.xlsx]AUX'!#REF!=TRUE)</xm:f>
            <x14:dxf>
              <font>
                <color theme="0"/>
              </font>
              <fill>
                <patternFill>
                  <bgColor theme="0"/>
                </patternFill>
              </fill>
              <border>
                <left/>
                <right/>
                <top/>
                <bottom/>
                <vertical/>
                <horizontal/>
              </border>
            </x14:dxf>
          </x14:cfRule>
          <xm:sqref>G314:H314</xm:sqref>
        </x14:conditionalFormatting>
        <x14:conditionalFormatting xmlns:xm="http://schemas.microsoft.com/office/excel/2006/main">
          <x14:cfRule type="expression" priority="89" id="{D3EDFFEA-5B8E-4184-902C-0AB342BC8B29}">
            <xm:f>AND('G:\Users\GEC\Documents\LUZ\[Copia de 20200615.xlsx]DATOS'!#REF!="NO",'G:\Users\GEC\Documents\LUZ\[Copia de 20200615.xlsx]DATOS'!#REF!="NO")</xm:f>
            <x14:dxf>
              <font>
                <color theme="0"/>
              </font>
              <fill>
                <patternFill>
                  <bgColor theme="0"/>
                </patternFill>
              </fill>
              <border>
                <left/>
                <right/>
                <top/>
                <bottom/>
                <vertical/>
                <horizontal/>
              </border>
            </x14:dxf>
          </x14:cfRule>
          <xm:sqref>E314:F314</xm:sqref>
        </x14:conditionalFormatting>
        <x14:conditionalFormatting xmlns:xm="http://schemas.microsoft.com/office/excel/2006/main">
          <x14:cfRule type="expression" priority="88" id="{0A371E0C-8614-400B-90FC-73F4B580D5DF}">
            <xm:f>OR('G:\Users\GEC\Documents\LUZ\[Copia de 20200615.xlsx]AUX'!#REF!=TRUE,'G:\Users\GEC\Documents\LUZ\[Copia de 20200615.xlsx]AUX'!#REF!=TRUE)</xm:f>
            <x14:dxf>
              <font>
                <color theme="0"/>
              </font>
              <fill>
                <patternFill>
                  <bgColor theme="0"/>
                </patternFill>
              </fill>
              <border>
                <left/>
                <right/>
                <top/>
                <bottom/>
                <vertical/>
                <horizontal/>
              </border>
            </x14:dxf>
          </x14:cfRule>
          <xm:sqref>E314:F314</xm:sqref>
        </x14:conditionalFormatting>
        <x14:conditionalFormatting xmlns:xm="http://schemas.microsoft.com/office/excel/2006/main">
          <x14:cfRule type="expression" priority="87" id="{9667258D-F531-4425-B82F-6E49575DC273}">
            <xm:f>'G:\Users\GEC\Documents\LUZ\[Copia de 20200615.xlsx]AUX'!#REF!=TRUE</xm:f>
            <x14:dxf>
              <font>
                <color theme="0"/>
              </font>
              <fill>
                <patternFill>
                  <bgColor theme="0"/>
                </patternFill>
              </fill>
              <border>
                <left/>
                <right/>
                <top/>
                <bottom/>
                <vertical/>
                <horizontal/>
              </border>
            </x14:dxf>
          </x14:cfRule>
          <xm:sqref>E314:F314</xm:sqref>
        </x14:conditionalFormatting>
        <x14:conditionalFormatting xmlns:xm="http://schemas.microsoft.com/office/excel/2006/main">
          <x14:cfRule type="expression" priority="86" id="{FADD85A0-813E-4636-89B8-37638B643E19}">
            <xm:f>AND('G:\Users\GEC\Documents\LUZ\[Copia de 20200615.xlsx]DATOS'!#REF!="NO",'G:\Users\GEC\Documents\LUZ\[Copia de 20200615.xlsx]DATOS'!#REF!="NO")</xm:f>
            <x14:dxf>
              <font>
                <color theme="0"/>
              </font>
              <fill>
                <patternFill>
                  <bgColor theme="0"/>
                </patternFill>
              </fill>
              <border>
                <left/>
                <right/>
                <top/>
                <bottom/>
                <vertical/>
                <horizontal/>
              </border>
            </x14:dxf>
          </x14:cfRule>
          <xm:sqref>E312:E313</xm:sqref>
        </x14:conditionalFormatting>
        <x14:conditionalFormatting xmlns:xm="http://schemas.microsoft.com/office/excel/2006/main">
          <x14:cfRule type="expression" priority="85" id="{DF8B10A5-5920-44E5-BD27-2500F12EB696}">
            <xm:f>OR('G:\Users\GEC\Documents\LUZ\[Copia de 20200615.xlsx]AUX'!#REF!=TRUE,'G:\Users\GEC\Documents\LUZ\[Copia de 20200615.xlsx]AUX'!#REF!=TRUE)</xm:f>
            <x14:dxf>
              <font>
                <color theme="0"/>
              </font>
              <fill>
                <patternFill>
                  <bgColor theme="0"/>
                </patternFill>
              </fill>
              <border>
                <left/>
                <right/>
                <top/>
                <bottom/>
                <vertical/>
                <horizontal/>
              </border>
            </x14:dxf>
          </x14:cfRule>
          <xm:sqref>E312:E313</xm:sqref>
        </x14:conditionalFormatting>
        <x14:conditionalFormatting xmlns:xm="http://schemas.microsoft.com/office/excel/2006/main">
          <x14:cfRule type="expression" priority="82" id="{BA3D044F-E41A-4EE0-A6D7-B5F50688D1F1}">
            <xm:f>'G:\Users\GEC\Documents\LUZ\[Copia de 20200615.xlsx]AUX'!#REF!=TRUE</xm:f>
            <x14:dxf>
              <font>
                <color theme="0"/>
              </font>
              <fill>
                <patternFill>
                  <bgColor theme="0"/>
                </patternFill>
              </fill>
              <border>
                <left/>
                <right/>
                <top/>
                <bottom/>
                <vertical/>
                <horizontal/>
              </border>
            </x14:dxf>
          </x14:cfRule>
          <xm:sqref>D314</xm:sqref>
        </x14:conditionalFormatting>
        <x14:conditionalFormatting xmlns:xm="http://schemas.microsoft.com/office/excel/2006/main">
          <x14:cfRule type="expression" priority="84" id="{0ACC2A76-A7D8-4CE1-A9D6-9F3E6D6717C3}">
            <xm:f>AND('G:\Users\GEC\Documents\LUZ\[Copia de 20200615.xlsx]DATOS'!#REF!="NO",'G:\Users\GEC\Documents\LUZ\[Copia de 20200615.xlsx]DATOS'!#REF!="NO")</xm:f>
            <x14:dxf>
              <font>
                <color theme="0"/>
              </font>
              <fill>
                <patternFill>
                  <bgColor theme="0"/>
                </patternFill>
              </fill>
              <border>
                <left/>
                <right/>
                <top/>
                <bottom/>
                <vertical/>
                <horizontal/>
              </border>
            </x14:dxf>
          </x14:cfRule>
          <xm:sqref>D314</xm:sqref>
        </x14:conditionalFormatting>
        <x14:conditionalFormatting xmlns:xm="http://schemas.microsoft.com/office/excel/2006/main">
          <x14:cfRule type="expression" priority="83" id="{1271A216-275B-4472-AFDD-1500AA8C48F0}">
            <xm:f>OR('G:\Users\GEC\Documents\LUZ\[Copia de 20200615.xlsx]AUX'!#REF!=TRUE,'G:\Users\GEC\Documents\LUZ\[Copia de 20200615.xlsx]AUX'!#REF!=TRUE)</xm:f>
            <x14:dxf>
              <font>
                <color theme="0"/>
              </font>
              <fill>
                <patternFill>
                  <bgColor theme="0"/>
                </patternFill>
              </fill>
              <border>
                <left/>
                <right/>
                <top/>
                <bottom/>
                <vertical/>
                <horizontal/>
              </border>
            </x14:dxf>
          </x14:cfRule>
          <xm:sqref>D314</xm:sqref>
        </x14:conditionalFormatting>
        <x14:conditionalFormatting xmlns:xm="http://schemas.microsoft.com/office/excel/2006/main">
          <x14:cfRule type="expression" priority="81" id="{09141C1F-2B28-4136-8FA1-03F9AF3BFF2B}">
            <xm:f>AND('G:\Users\GEC\Documents\LUZ\[Copia de 20200615.xlsx]DATOS'!#REF!="NO",'G:\Users\GEC\Documents\LUZ\[Copia de 20200615.xlsx]DATOS'!#REF!="NO")</xm:f>
            <x14:dxf>
              <font>
                <color theme="0"/>
              </font>
              <fill>
                <patternFill>
                  <bgColor theme="0"/>
                </patternFill>
              </fill>
              <border>
                <left/>
                <right/>
                <top/>
                <bottom/>
                <vertical/>
                <horizontal/>
              </border>
            </x14:dxf>
          </x14:cfRule>
          <xm:sqref>D312:D313</xm:sqref>
        </x14:conditionalFormatting>
        <x14:conditionalFormatting xmlns:xm="http://schemas.microsoft.com/office/excel/2006/main">
          <x14:cfRule type="expression" priority="80" id="{A76D9B5B-164C-4673-986C-86574254572E}">
            <xm:f>OR('G:\Users\GEC\Documents\LUZ\[Copia de 20200615.xlsx]AUX'!#REF!=TRUE,'G:\Users\GEC\Documents\LUZ\[Copia de 20200615.xlsx]AUX'!#REF!=TRUE)</xm:f>
            <x14:dxf>
              <font>
                <color theme="0"/>
              </font>
              <fill>
                <patternFill>
                  <bgColor theme="0"/>
                </patternFill>
              </fill>
              <border>
                <left/>
                <right/>
                <top/>
                <bottom/>
                <vertical/>
                <horizontal/>
              </border>
            </x14:dxf>
          </x14:cfRule>
          <xm:sqref>D312:D313</xm:sqref>
        </x14:conditionalFormatting>
        <x14:conditionalFormatting xmlns:xm="http://schemas.microsoft.com/office/excel/2006/main">
          <x14:cfRule type="expression" priority="79" id="{CFF01CF9-ADF0-4BDB-8410-65BA36A933B9}">
            <xm:f>'G:\Users\GEC\Documents\LUZ\[Copia de 20200615.xlsx]AUX'!#REF!=TRUE</xm:f>
            <x14:dxf>
              <font>
                <color theme="0"/>
              </font>
              <fill>
                <patternFill>
                  <bgColor theme="0"/>
                </patternFill>
              </fill>
              <border>
                <left/>
                <right/>
                <top/>
                <bottom/>
                <vertical/>
                <horizontal/>
              </border>
            </x14:dxf>
          </x14:cfRule>
          <xm:sqref>D312:D313</xm:sqref>
        </x14:conditionalFormatting>
        <x14:conditionalFormatting xmlns:xm="http://schemas.microsoft.com/office/excel/2006/main">
          <x14:cfRule type="expression" priority="78" id="{80A90395-55D7-4835-8B41-5CE4D9B03D65}">
            <xm:f>AND('G:\Users\GEC\Documents\LUZ\[Copia de 20200615.xlsx]DATOS'!#REF!="NO",'G:\Users\GEC\Documents\LUZ\[Copia de 20200615.xlsx]DATOS'!#REF!="NO")</xm:f>
            <x14:dxf>
              <font>
                <color theme="0"/>
              </font>
              <fill>
                <patternFill>
                  <bgColor theme="0"/>
                </patternFill>
              </fill>
              <border>
                <left/>
                <right/>
                <top/>
                <bottom/>
                <vertical/>
                <horizontal/>
              </border>
            </x14:dxf>
          </x14:cfRule>
          <xm:sqref>I312:I314</xm:sqref>
        </x14:conditionalFormatting>
        <x14:conditionalFormatting xmlns:xm="http://schemas.microsoft.com/office/excel/2006/main">
          <x14:cfRule type="expression" priority="77" id="{374EFCA5-4278-494A-83E8-BFD9FA6AD55B}">
            <xm:f>OR('G:\Users\GEC\Documents\LUZ\[Copia de 20200615.xlsx]AUX'!#REF!=TRUE,'G:\Users\GEC\Documents\LUZ\[Copia de 20200615.xlsx]AUX'!#REF!=TRUE)</xm:f>
            <x14:dxf>
              <font>
                <color theme="0"/>
              </font>
              <fill>
                <patternFill>
                  <bgColor theme="0"/>
                </patternFill>
              </fill>
              <border>
                <left/>
                <right/>
                <top/>
                <bottom/>
                <vertical/>
                <horizontal/>
              </border>
            </x14:dxf>
          </x14:cfRule>
          <xm:sqref>I312:I314</xm:sqref>
        </x14:conditionalFormatting>
        <x14:conditionalFormatting xmlns:xm="http://schemas.microsoft.com/office/excel/2006/main">
          <x14:cfRule type="expression" priority="76" id="{ACDDA64B-5039-4338-8F18-4B510EFF35B1}">
            <xm:f>'G:\Users\GEC\Documents\LUZ\[Copia de 20200615.xlsx]AUX'!#REF!=TRUE</xm:f>
            <x14:dxf>
              <font>
                <color theme="0"/>
              </font>
              <fill>
                <patternFill>
                  <bgColor theme="0"/>
                </patternFill>
              </fill>
              <border>
                <left/>
                <right/>
                <top/>
                <bottom/>
                <vertical/>
                <horizontal/>
              </border>
            </x14:dxf>
          </x14:cfRule>
          <xm:sqref>I312:I314</xm:sqref>
        </x14:conditionalFormatting>
        <x14:conditionalFormatting xmlns:xm="http://schemas.microsoft.com/office/excel/2006/main">
          <x14:cfRule type="expression" priority="75" id="{EF6C758E-051D-4CAD-B5DF-B88DA025FFC1}">
            <xm:f>AND('G:\Users\GEC\Documents\LUZ\[Copia de 20200615.xlsx]DATOS'!#REF!="NO",'G:\Users\GEC\Documents\LUZ\[Copia de 20200615.xlsx]DATOS'!#REF!="NO")</xm:f>
            <x14:dxf>
              <font>
                <color theme="0"/>
              </font>
              <fill>
                <patternFill>
                  <bgColor theme="0"/>
                </patternFill>
              </fill>
              <border>
                <left/>
                <right/>
                <top/>
                <bottom/>
                <vertical/>
                <horizontal/>
              </border>
            </x14:dxf>
          </x14:cfRule>
          <xm:sqref>I325:J325 B325:D325</xm:sqref>
        </x14:conditionalFormatting>
        <x14:conditionalFormatting xmlns:xm="http://schemas.microsoft.com/office/excel/2006/main">
          <x14:cfRule type="expression" priority="74" id="{0B653FC1-A024-4724-85EF-9BE4722F50DF}">
            <xm:f>OR('G:\Users\GEC\Documents\LUZ\[Copia de 20200615.xlsx]AUX'!#REF!=TRUE,'G:\Users\GEC\Documents\LUZ\[Copia de 20200615.xlsx]AUX'!#REF!=TRUE)</xm:f>
            <x14:dxf>
              <font>
                <color theme="0"/>
              </font>
              <fill>
                <patternFill>
                  <bgColor theme="0"/>
                </patternFill>
              </fill>
              <border>
                <left/>
                <right/>
                <top/>
                <bottom/>
                <vertical/>
                <horizontal/>
              </border>
            </x14:dxf>
          </x14:cfRule>
          <xm:sqref>I325:J325 B325:D325</xm:sqref>
        </x14:conditionalFormatting>
        <x14:conditionalFormatting xmlns:xm="http://schemas.microsoft.com/office/excel/2006/main">
          <x14:cfRule type="expression" priority="73" id="{5A2B3B75-0850-4C50-80C1-0AB0F1C88610}">
            <xm:f>'G:\Users\GEC\Documents\LUZ\[Copia de 20200615.xlsx]AUX'!#REF!=TRUE</xm:f>
            <x14:dxf>
              <font>
                <color theme="0"/>
              </font>
              <fill>
                <patternFill>
                  <bgColor theme="0"/>
                </patternFill>
              </fill>
              <border>
                <left/>
                <right/>
                <top/>
                <bottom/>
                <vertical/>
                <horizontal/>
              </border>
            </x14:dxf>
          </x14:cfRule>
          <xm:sqref>I325:J325 B325:D325</xm:sqref>
        </x14:conditionalFormatting>
        <x14:conditionalFormatting xmlns:xm="http://schemas.microsoft.com/office/excel/2006/main">
          <x14:cfRule type="expression" priority="72" id="{2587B390-9C6D-446D-8C88-39908F748B6E}">
            <xm:f>AND('G:\Users\GEC\Documents\LUZ\[Copia de 20200615.xlsx]DATOS'!#REF!="NO",'G:\Users\GEC\Documents\LUZ\[Copia de 20200615.xlsx]DATOS'!#REF!="NO")</xm:f>
            <x14:dxf>
              <font>
                <color theme="0"/>
              </font>
              <fill>
                <patternFill>
                  <bgColor theme="0"/>
                </patternFill>
              </fill>
              <border>
                <left/>
                <right/>
                <top/>
                <bottom/>
                <vertical/>
                <horizontal/>
              </border>
            </x14:dxf>
          </x14:cfRule>
          <xm:sqref>K322</xm:sqref>
        </x14:conditionalFormatting>
        <x14:conditionalFormatting xmlns:xm="http://schemas.microsoft.com/office/excel/2006/main">
          <x14:cfRule type="expression" priority="71" id="{D2CFD2F2-5198-4D60-AB69-20BB064FEB7B}">
            <xm:f>OR('G:\Users\GEC\Documents\LUZ\[Copia de 20200615.xlsx]AUX'!#REF!=TRUE,'G:\Users\GEC\Documents\LUZ\[Copia de 20200615.xlsx]AUX'!#REF!=TRUE)</xm:f>
            <x14:dxf>
              <font>
                <color theme="0"/>
              </font>
              <fill>
                <patternFill>
                  <bgColor theme="0"/>
                </patternFill>
              </fill>
              <border>
                <left/>
                <right/>
                <top/>
                <bottom/>
                <vertical/>
                <horizontal/>
              </border>
            </x14:dxf>
          </x14:cfRule>
          <xm:sqref>K322</xm:sqref>
        </x14:conditionalFormatting>
        <x14:conditionalFormatting xmlns:xm="http://schemas.microsoft.com/office/excel/2006/main">
          <x14:cfRule type="expression" priority="70" id="{01419A63-C81F-4A42-8236-103BB911CF2D}">
            <xm:f>'G:\Users\GEC\Documents\LUZ\[Copia de 20200615.xlsx]AUX'!#REF!=TRUE</xm:f>
            <x14:dxf>
              <font>
                <color theme="0"/>
              </font>
              <fill>
                <patternFill>
                  <bgColor theme="0"/>
                </patternFill>
              </fill>
              <border>
                <left/>
                <right/>
                <top/>
                <bottom/>
                <vertical/>
                <horizontal/>
              </border>
            </x14:dxf>
          </x14:cfRule>
          <xm:sqref>K322</xm:sqref>
        </x14:conditionalFormatting>
        <x14:conditionalFormatting xmlns:xm="http://schemas.microsoft.com/office/excel/2006/main">
          <x14:cfRule type="expression" priority="69" id="{C1E60984-7A2F-401D-9D6F-8B6E4712F583}">
            <xm:f>AND('G:\Users\GEC\Documents\LUZ\[Copia de 20200615.xlsx]DATOS'!#REF!="NO",'G:\Users\GEC\Documents\LUZ\[Copia de 20200615.xlsx]DATOS'!#REF!="NO")</xm:f>
            <x14:dxf>
              <font>
                <color theme="0"/>
              </font>
              <fill>
                <patternFill>
                  <bgColor theme="0"/>
                </patternFill>
              </fill>
              <border>
                <left/>
                <right/>
                <top/>
                <bottom/>
                <vertical/>
                <horizontal/>
              </border>
            </x14:dxf>
          </x14:cfRule>
          <xm:sqref>B316:K316</xm:sqref>
        </x14:conditionalFormatting>
        <x14:conditionalFormatting xmlns:xm="http://schemas.microsoft.com/office/excel/2006/main">
          <x14:cfRule type="expression" priority="68" id="{9B98958F-FF77-41F3-9E56-03CB0D3BE68D}">
            <xm:f>OR('G:\Users\GEC\Documents\LUZ\[Copia de 20200615.xlsx]AUX'!#REF!=TRUE,'G:\Users\GEC\Documents\LUZ\[Copia de 20200615.xlsx]AUX'!#REF!=TRUE)</xm:f>
            <x14:dxf>
              <font>
                <color theme="0"/>
              </font>
              <fill>
                <patternFill>
                  <bgColor theme="0"/>
                </patternFill>
              </fill>
              <border>
                <left/>
                <right/>
                <top/>
                <bottom/>
                <vertical/>
                <horizontal/>
              </border>
            </x14:dxf>
          </x14:cfRule>
          <xm:sqref>B316:K316</xm:sqref>
        </x14:conditionalFormatting>
        <x14:conditionalFormatting xmlns:xm="http://schemas.microsoft.com/office/excel/2006/main">
          <x14:cfRule type="expression" priority="67" id="{D08CB1BA-8C5A-496E-BD7E-FE1DDBDBDB7A}">
            <xm:f>'G:\Users\GEC\Documents\LUZ\[Copia de 20200615.xlsx]AUX'!#REF!=TRUE</xm:f>
            <x14:dxf>
              <font>
                <color theme="0"/>
              </font>
              <fill>
                <patternFill>
                  <bgColor theme="0"/>
                </patternFill>
              </fill>
              <border>
                <left/>
                <right/>
                <top/>
                <bottom/>
                <vertical/>
                <horizontal/>
              </border>
            </x14:dxf>
          </x14:cfRule>
          <xm:sqref>B316:K316</xm:sqref>
        </x14:conditionalFormatting>
        <x14:conditionalFormatting xmlns:xm="http://schemas.microsoft.com/office/excel/2006/main">
          <x14:cfRule type="expression" priority="66" id="{1F928FE4-743F-4AC2-8B39-B85C33D83CF7}">
            <xm:f>AND('G:\Users\GEC\Documents\LUZ\[Copia de 20200615.xlsx]DATOS'!#REF!="NO",'G:\Users\GEC\Documents\LUZ\[Copia de 20200615.xlsx]DATOS'!#REF!="NO")</xm:f>
            <x14:dxf>
              <font>
                <color theme="0"/>
              </font>
              <fill>
                <patternFill>
                  <bgColor theme="0"/>
                </patternFill>
              </fill>
              <border>
                <left/>
                <right/>
                <top/>
                <bottom/>
                <vertical/>
                <horizontal/>
              </border>
            </x14:dxf>
          </x14:cfRule>
          <xm:sqref>B326:K326</xm:sqref>
        </x14:conditionalFormatting>
        <x14:conditionalFormatting xmlns:xm="http://schemas.microsoft.com/office/excel/2006/main">
          <x14:cfRule type="expression" priority="65" id="{15E3B7FF-0D6D-4274-99B7-ED56E737D0CC}">
            <xm:f>OR('G:\Users\GEC\Documents\LUZ\[Copia de 20200615.xlsx]AUX'!#REF!=TRUE,'G:\Users\GEC\Documents\LUZ\[Copia de 20200615.xlsx]AUX'!#REF!=TRUE)</xm:f>
            <x14:dxf>
              <font>
                <color theme="0"/>
              </font>
              <fill>
                <patternFill>
                  <bgColor theme="0"/>
                </patternFill>
              </fill>
              <border>
                <left/>
                <right/>
                <top/>
                <bottom/>
                <vertical/>
                <horizontal/>
              </border>
            </x14:dxf>
          </x14:cfRule>
          <xm:sqref>B326:K326</xm:sqref>
        </x14:conditionalFormatting>
        <x14:conditionalFormatting xmlns:xm="http://schemas.microsoft.com/office/excel/2006/main">
          <x14:cfRule type="expression" priority="64" id="{8E316A30-2151-4F40-91AB-2ED96008D497}">
            <xm:f>'G:\Users\GEC\Documents\LUZ\[Copia de 20200615.xlsx]AUX'!#REF!=TRUE</xm:f>
            <x14:dxf>
              <font>
                <color theme="0"/>
              </font>
              <fill>
                <patternFill>
                  <bgColor theme="0"/>
                </patternFill>
              </fill>
              <border>
                <left/>
                <right/>
                <top/>
                <bottom/>
                <vertical/>
                <horizontal/>
              </border>
            </x14:dxf>
          </x14:cfRule>
          <xm:sqref>B326:K326</xm:sqref>
        </x14:conditionalFormatting>
        <x14:conditionalFormatting xmlns:xm="http://schemas.microsoft.com/office/excel/2006/main">
          <x14:cfRule type="expression" priority="63" id="{9140737F-34C8-407B-8C46-1FD65C64BB51}">
            <xm:f>AND('G:\Users\GEC\Documents\LUZ\[Copia de 20200615.xlsx]DATOS'!#REF!="NO",'G:\Users\GEC\Documents\LUZ\[Copia de 20200615.xlsx]DATOS'!#REF!="NO")</xm:f>
            <x14:dxf>
              <font>
                <color theme="0"/>
              </font>
              <fill>
                <patternFill>
                  <bgColor theme="0"/>
                </patternFill>
              </fill>
              <border>
                <left/>
                <right/>
                <top/>
                <bottom/>
                <vertical/>
                <horizontal/>
              </border>
            </x14:dxf>
          </x14:cfRule>
          <xm:sqref>B101</xm:sqref>
        </x14:conditionalFormatting>
        <x14:conditionalFormatting xmlns:xm="http://schemas.microsoft.com/office/excel/2006/main">
          <x14:cfRule type="expression" priority="62" id="{3CAC3DDD-6D0C-4E72-9D08-D90CF012361A}">
            <xm:f>OR('G:\Users\GEC\Documents\LUZ\[Copia de 20200615.xlsx]AUX'!#REF!=TRUE,'G:\Users\GEC\Documents\LUZ\[Copia de 20200615.xlsx]AUX'!#REF!=TRUE)</xm:f>
            <x14:dxf>
              <font>
                <color theme="0"/>
              </font>
              <fill>
                <patternFill>
                  <bgColor theme="0"/>
                </patternFill>
              </fill>
              <border>
                <left/>
                <right/>
                <top/>
                <bottom/>
                <vertical/>
                <horizontal/>
              </border>
            </x14:dxf>
          </x14:cfRule>
          <xm:sqref>B101</xm:sqref>
        </x14:conditionalFormatting>
        <x14:conditionalFormatting xmlns:xm="http://schemas.microsoft.com/office/excel/2006/main">
          <x14:cfRule type="expression" priority="61" id="{CA933C1C-CFEA-4C43-A841-9A390D91D1DC}">
            <xm:f>'G:\Users\GEC\Documents\LUZ\[Copia de 20200615.xlsx]AUX'!#REF!=TRUE</xm:f>
            <x14:dxf>
              <font>
                <color theme="0"/>
              </font>
              <fill>
                <patternFill>
                  <bgColor theme="0"/>
                </patternFill>
              </fill>
              <border>
                <left/>
                <right/>
                <top/>
                <bottom/>
                <vertical/>
                <horizontal/>
              </border>
            </x14:dxf>
          </x14:cfRule>
          <xm:sqref>B101</xm:sqref>
        </x14:conditionalFormatting>
        <x14:conditionalFormatting xmlns:xm="http://schemas.microsoft.com/office/excel/2006/main">
          <x14:cfRule type="expression" priority="60" id="{09C7E0C3-3340-4513-97C8-C49EE35C01F7}">
            <xm:f>AND('G:\Users\GEC\Documents\LUZ\[Copia de 20200615.xlsx]DATOS'!#REF!="NO",'G:\Users\GEC\Documents\LUZ\[Copia de 20200615.xlsx]DATOS'!#REF!="NO")</xm:f>
            <x14:dxf>
              <font>
                <color theme="0"/>
              </font>
              <fill>
                <patternFill>
                  <bgColor theme="0"/>
                </patternFill>
              </fill>
              <border>
                <left/>
                <right/>
                <top/>
                <bottom/>
                <vertical/>
                <horizontal/>
              </border>
            </x14:dxf>
          </x14:cfRule>
          <xm:sqref>B138</xm:sqref>
        </x14:conditionalFormatting>
        <x14:conditionalFormatting xmlns:xm="http://schemas.microsoft.com/office/excel/2006/main">
          <x14:cfRule type="expression" priority="59" id="{1EC006C1-DA53-4BCA-8C56-51B27150DABC}">
            <xm:f>OR('G:\Users\GEC\Documents\LUZ\[Copia de 20200615.xlsx]AUX'!#REF!=TRUE,'G:\Users\GEC\Documents\LUZ\[Copia de 20200615.xlsx]AUX'!#REF!=TRUE)</xm:f>
            <x14:dxf>
              <font>
                <color theme="0"/>
              </font>
              <fill>
                <patternFill>
                  <bgColor theme="0"/>
                </patternFill>
              </fill>
              <border>
                <left/>
                <right/>
                <top/>
                <bottom/>
                <vertical/>
                <horizontal/>
              </border>
            </x14:dxf>
          </x14:cfRule>
          <xm:sqref>B138</xm:sqref>
        </x14:conditionalFormatting>
        <x14:conditionalFormatting xmlns:xm="http://schemas.microsoft.com/office/excel/2006/main">
          <x14:cfRule type="expression" priority="58" id="{4D503926-0D69-4789-B423-0DC9C563476E}">
            <xm:f>'G:\Users\GEC\Documents\LUZ\[Copia de 20200615.xlsx]AUX'!#REF!=TRUE</xm:f>
            <x14:dxf>
              <font>
                <color theme="0"/>
              </font>
              <fill>
                <patternFill>
                  <bgColor theme="0"/>
                </patternFill>
              </fill>
              <border>
                <left/>
                <right/>
                <top/>
                <bottom/>
                <vertical/>
                <horizontal/>
              </border>
            </x14:dxf>
          </x14:cfRule>
          <xm:sqref>B138</xm:sqref>
        </x14:conditionalFormatting>
        <x14:conditionalFormatting xmlns:xm="http://schemas.microsoft.com/office/excel/2006/main">
          <x14:cfRule type="expression" priority="57" id="{A7238851-0381-4F48-A863-4AD389EF1434}">
            <xm:f>AND('G:\Users\GEC\Documents\LUZ\[Copia de 20200615.xlsx]DATOS'!#REF!="NO",'G:\Users\GEC\Documents\LUZ\[Copia de 20200615.xlsx]DATOS'!#REF!="NO")</xm:f>
            <x14:dxf>
              <font>
                <color theme="0"/>
              </font>
              <fill>
                <patternFill>
                  <bgColor theme="0"/>
                </patternFill>
              </fill>
              <border>
                <left/>
                <right/>
                <top/>
                <bottom/>
                <vertical/>
                <horizontal/>
              </border>
            </x14:dxf>
          </x14:cfRule>
          <xm:sqref>B176</xm:sqref>
        </x14:conditionalFormatting>
        <x14:conditionalFormatting xmlns:xm="http://schemas.microsoft.com/office/excel/2006/main">
          <x14:cfRule type="expression" priority="56" id="{45C3189F-C88C-4909-B901-7DA092D40E78}">
            <xm:f>OR('G:\Users\GEC\Documents\LUZ\[Copia de 20200615.xlsx]AUX'!#REF!=TRUE,'G:\Users\GEC\Documents\LUZ\[Copia de 20200615.xlsx]AUX'!#REF!=TRUE)</xm:f>
            <x14:dxf>
              <font>
                <color theme="0"/>
              </font>
              <fill>
                <patternFill>
                  <bgColor theme="0"/>
                </patternFill>
              </fill>
              <border>
                <left/>
                <right/>
                <top/>
                <bottom/>
                <vertical/>
                <horizontal/>
              </border>
            </x14:dxf>
          </x14:cfRule>
          <xm:sqref>B176</xm:sqref>
        </x14:conditionalFormatting>
        <x14:conditionalFormatting xmlns:xm="http://schemas.microsoft.com/office/excel/2006/main">
          <x14:cfRule type="expression" priority="55" id="{FD71A094-EB2D-40F2-9E83-DC3F2C663835}">
            <xm:f>'G:\Users\GEC\Documents\LUZ\[Copia de 20200615.xlsx]AUX'!#REF!=TRUE</xm:f>
            <x14:dxf>
              <font>
                <color theme="0"/>
              </font>
              <fill>
                <patternFill>
                  <bgColor theme="0"/>
                </patternFill>
              </fill>
              <border>
                <left/>
                <right/>
                <top/>
                <bottom/>
                <vertical/>
                <horizontal/>
              </border>
            </x14:dxf>
          </x14:cfRule>
          <xm:sqref>B176</xm:sqref>
        </x14:conditionalFormatting>
        <x14:conditionalFormatting xmlns:xm="http://schemas.microsoft.com/office/excel/2006/main">
          <x14:cfRule type="expression" priority="54" id="{534D2966-BCE1-4CD5-B59F-4B20B3C4346E}">
            <xm:f>AND('G:\Users\GEC\Documents\LUZ\[Copia de 20200615.xlsx]DATOS'!#REF!="NO",'G:\Users\GEC\Documents\LUZ\[Copia de 20200615.xlsx]DATOS'!#REF!="NO")</xm:f>
            <x14:dxf>
              <font>
                <color theme="0"/>
              </font>
              <fill>
                <patternFill>
                  <bgColor theme="0"/>
                </patternFill>
              </fill>
              <border>
                <left/>
                <right/>
                <top/>
                <bottom/>
                <vertical/>
                <horizontal/>
              </border>
            </x14:dxf>
          </x14:cfRule>
          <xm:sqref>B212</xm:sqref>
        </x14:conditionalFormatting>
        <x14:conditionalFormatting xmlns:xm="http://schemas.microsoft.com/office/excel/2006/main">
          <x14:cfRule type="expression" priority="53" id="{96B5025F-D709-48FF-A411-9F6B08F85201}">
            <xm:f>OR('G:\Users\GEC\Documents\LUZ\[Copia de 20200615.xlsx]AUX'!#REF!=TRUE,'G:\Users\GEC\Documents\LUZ\[Copia de 20200615.xlsx]AUX'!#REF!=TRUE)</xm:f>
            <x14:dxf>
              <font>
                <color theme="0"/>
              </font>
              <fill>
                <patternFill>
                  <bgColor theme="0"/>
                </patternFill>
              </fill>
              <border>
                <left/>
                <right/>
                <top/>
                <bottom/>
                <vertical/>
                <horizontal/>
              </border>
            </x14:dxf>
          </x14:cfRule>
          <xm:sqref>B212</xm:sqref>
        </x14:conditionalFormatting>
        <x14:conditionalFormatting xmlns:xm="http://schemas.microsoft.com/office/excel/2006/main">
          <x14:cfRule type="expression" priority="52" id="{F5FD102C-EBAE-45E6-8EBD-FA9C6A11A413}">
            <xm:f>'G:\Users\GEC\Documents\LUZ\[Copia de 20200615.xlsx]AUX'!#REF!=TRUE</xm:f>
            <x14:dxf>
              <font>
                <color theme="0"/>
              </font>
              <fill>
                <patternFill>
                  <bgColor theme="0"/>
                </patternFill>
              </fill>
              <border>
                <left/>
                <right/>
                <top/>
                <bottom/>
                <vertical/>
                <horizontal/>
              </border>
            </x14:dxf>
          </x14:cfRule>
          <xm:sqref>B212</xm:sqref>
        </x14:conditionalFormatting>
        <x14:conditionalFormatting xmlns:xm="http://schemas.microsoft.com/office/excel/2006/main">
          <x14:cfRule type="expression" priority="51" id="{FB98FC1F-477E-4B08-8CD2-6E4F1E5FBFF8}">
            <xm:f>AND('G:\Users\GEC\Documents\LUZ\[Copia de 20200615.xlsx]DATOS'!#REF!="NO",'G:\Users\GEC\Documents\LUZ\[Copia de 20200615.xlsx]DATOS'!#REF!="NO")</xm:f>
            <x14:dxf>
              <font>
                <color theme="0"/>
              </font>
              <fill>
                <patternFill>
                  <bgColor theme="0"/>
                </patternFill>
              </fill>
              <border>
                <left/>
                <right/>
                <top/>
                <bottom/>
                <vertical/>
                <horizontal/>
              </border>
            </x14:dxf>
          </x14:cfRule>
          <xm:sqref>B249</xm:sqref>
        </x14:conditionalFormatting>
        <x14:conditionalFormatting xmlns:xm="http://schemas.microsoft.com/office/excel/2006/main">
          <x14:cfRule type="expression" priority="50" id="{8432882A-7DCC-4D80-B270-EC92BF2C928C}">
            <xm:f>OR('G:\Users\GEC\Documents\LUZ\[Copia de 20200615.xlsx]AUX'!#REF!=TRUE,'G:\Users\GEC\Documents\LUZ\[Copia de 20200615.xlsx]AUX'!#REF!=TRUE)</xm:f>
            <x14:dxf>
              <font>
                <color theme="0"/>
              </font>
              <fill>
                <patternFill>
                  <bgColor theme="0"/>
                </patternFill>
              </fill>
              <border>
                <left/>
                <right/>
                <top/>
                <bottom/>
                <vertical/>
                <horizontal/>
              </border>
            </x14:dxf>
          </x14:cfRule>
          <xm:sqref>B249</xm:sqref>
        </x14:conditionalFormatting>
        <x14:conditionalFormatting xmlns:xm="http://schemas.microsoft.com/office/excel/2006/main">
          <x14:cfRule type="expression" priority="49" id="{6221B255-4B1F-4B4F-8B34-430FC147200C}">
            <xm:f>'G:\Users\GEC\Documents\LUZ\[Copia de 20200615.xlsx]AUX'!#REF!=TRUE</xm:f>
            <x14:dxf>
              <font>
                <color theme="0"/>
              </font>
              <fill>
                <patternFill>
                  <bgColor theme="0"/>
                </patternFill>
              </fill>
              <border>
                <left/>
                <right/>
                <top/>
                <bottom/>
                <vertical/>
                <horizontal/>
              </border>
            </x14:dxf>
          </x14:cfRule>
          <xm:sqref>B249</xm:sqref>
        </x14:conditionalFormatting>
        <x14:conditionalFormatting xmlns:xm="http://schemas.microsoft.com/office/excel/2006/main">
          <x14:cfRule type="expression" priority="48" id="{AC0BF70C-E50F-41C6-8544-924AAE907FF7}">
            <xm:f>AND('G:\Users\GEC\Documents\LUZ\[Copia de 20200615.xlsx]DATOS'!#REF!="NO",'G:\Users\GEC\Documents\LUZ\[Copia de 20200615.xlsx]DATOS'!#REF!="NO")</xm:f>
            <x14:dxf>
              <font>
                <color theme="0"/>
              </font>
              <fill>
                <patternFill>
                  <bgColor theme="0"/>
                </patternFill>
              </fill>
              <border>
                <left/>
                <right/>
                <top/>
                <bottom/>
                <vertical/>
                <horizontal/>
              </border>
            </x14:dxf>
          </x14:cfRule>
          <xm:sqref>B286</xm:sqref>
        </x14:conditionalFormatting>
        <x14:conditionalFormatting xmlns:xm="http://schemas.microsoft.com/office/excel/2006/main">
          <x14:cfRule type="expression" priority="47" id="{19AECB66-0AA8-48E4-9BF8-222373662FF2}">
            <xm:f>OR('G:\Users\GEC\Documents\LUZ\[Copia de 20200615.xlsx]AUX'!#REF!=TRUE,'G:\Users\GEC\Documents\LUZ\[Copia de 20200615.xlsx]AUX'!#REF!=TRUE)</xm:f>
            <x14:dxf>
              <font>
                <color theme="0"/>
              </font>
              <fill>
                <patternFill>
                  <bgColor theme="0"/>
                </patternFill>
              </fill>
              <border>
                <left/>
                <right/>
                <top/>
                <bottom/>
                <vertical/>
                <horizontal/>
              </border>
            </x14:dxf>
          </x14:cfRule>
          <xm:sqref>B286</xm:sqref>
        </x14:conditionalFormatting>
        <x14:conditionalFormatting xmlns:xm="http://schemas.microsoft.com/office/excel/2006/main">
          <x14:cfRule type="expression" priority="46" id="{3DB77638-0C01-4026-855B-1326EB858D26}">
            <xm:f>'G:\Users\GEC\Documents\LUZ\[Copia de 20200615.xlsx]AUX'!#REF!=TRUE</xm:f>
            <x14:dxf>
              <font>
                <color theme="0"/>
              </font>
              <fill>
                <patternFill>
                  <bgColor theme="0"/>
                </patternFill>
              </fill>
              <border>
                <left/>
                <right/>
                <top/>
                <bottom/>
                <vertical/>
                <horizontal/>
              </border>
            </x14:dxf>
          </x14:cfRule>
          <xm:sqref>B286</xm:sqref>
        </x14:conditionalFormatting>
        <x14:conditionalFormatting xmlns:xm="http://schemas.microsoft.com/office/excel/2006/main">
          <x14:cfRule type="expression" priority="45" id="{F814EC85-34C2-4F8F-BF12-85ACDD155B6D}">
            <xm:f>AND('G:\Users\GEC\Documents\LUZ\[Copia de 20200615.xlsx]DATOS'!#REF!="NO",'G:\Users\GEC\Documents\LUZ\[Copia de 20200615.xlsx]DATOS'!#REF!="NO")</xm:f>
            <x14:dxf>
              <font>
                <color theme="0"/>
              </font>
              <fill>
                <patternFill>
                  <bgColor theme="0"/>
                </patternFill>
              </fill>
              <border>
                <left/>
                <right/>
                <top/>
                <bottom/>
                <vertical/>
                <horizontal/>
              </border>
            </x14:dxf>
          </x14:cfRule>
          <xm:sqref>B323</xm:sqref>
        </x14:conditionalFormatting>
        <x14:conditionalFormatting xmlns:xm="http://schemas.microsoft.com/office/excel/2006/main">
          <x14:cfRule type="expression" priority="44" id="{E6480D22-3438-461D-BCD9-7C33666CAF2C}">
            <xm:f>OR('G:\Users\GEC\Documents\LUZ\[Copia de 20200615.xlsx]AUX'!#REF!=TRUE,'G:\Users\GEC\Documents\LUZ\[Copia de 20200615.xlsx]AUX'!#REF!=TRUE)</xm:f>
            <x14:dxf>
              <font>
                <color theme="0"/>
              </font>
              <fill>
                <patternFill>
                  <bgColor theme="0"/>
                </patternFill>
              </fill>
              <border>
                <left/>
                <right/>
                <top/>
                <bottom/>
                <vertical/>
                <horizontal/>
              </border>
            </x14:dxf>
          </x14:cfRule>
          <xm:sqref>B323</xm:sqref>
        </x14:conditionalFormatting>
        <x14:conditionalFormatting xmlns:xm="http://schemas.microsoft.com/office/excel/2006/main">
          <x14:cfRule type="expression" priority="43" id="{5016579E-FC4E-444D-B58E-2F11F69659E7}">
            <xm:f>'G:\Users\GEC\Documents\LUZ\[Copia de 20200615.xlsx]AUX'!#REF!=TRUE</xm:f>
            <x14:dxf>
              <font>
                <color theme="0"/>
              </font>
              <fill>
                <patternFill>
                  <bgColor theme="0"/>
                </patternFill>
              </fill>
              <border>
                <left/>
                <right/>
                <top/>
                <bottom/>
                <vertical/>
                <horizontal/>
              </border>
            </x14:dxf>
          </x14:cfRule>
          <xm:sqref>B323</xm:sqref>
        </x14:conditionalFormatting>
        <x14:conditionalFormatting xmlns:xm="http://schemas.microsoft.com/office/excel/2006/main">
          <x14:cfRule type="expression" priority="39" id="{D18FD056-C16C-4EFD-9F57-3BD7C7EDE471}">
            <xm:f>AND('G:\Users\GEC\Documents\LUZ\[Copia de 20200615.xlsx]DATOS'!#REF!="NO",'G:\Users\GEC\Documents\LUZ\[Copia de 20200615.xlsx]DATOS'!#REF!="NO")</xm:f>
            <x14:dxf>
              <font>
                <color theme="0"/>
              </font>
              <fill>
                <patternFill>
                  <bgColor theme="0"/>
                </patternFill>
              </fill>
              <border>
                <left/>
                <right/>
                <top/>
                <bottom/>
                <vertical/>
                <horizontal/>
              </border>
            </x14:dxf>
          </x14:cfRule>
          <xm:sqref>I67:J67 E67</xm:sqref>
        </x14:conditionalFormatting>
        <x14:conditionalFormatting xmlns:xm="http://schemas.microsoft.com/office/excel/2006/main">
          <x14:cfRule type="expression" priority="38" id="{9399A4D7-6664-4611-8B28-F02EF17EA6E4}">
            <xm:f>OR('G:\Users\GEC\Documents\LUZ\[Copia de 20200615.xlsx]AUX'!#REF!=TRUE,'G:\Users\GEC\Documents\LUZ\[Copia de 20200615.xlsx]AUX'!#REF!=TRUE)</xm:f>
            <x14:dxf>
              <font>
                <color theme="0"/>
              </font>
              <fill>
                <patternFill>
                  <bgColor theme="0"/>
                </patternFill>
              </fill>
              <border>
                <left/>
                <right/>
                <top/>
                <bottom/>
                <vertical/>
                <horizontal/>
              </border>
            </x14:dxf>
          </x14:cfRule>
          <xm:sqref>I67:J67 E67</xm:sqref>
        </x14:conditionalFormatting>
        <x14:conditionalFormatting xmlns:xm="http://schemas.microsoft.com/office/excel/2006/main">
          <x14:cfRule type="expression" priority="37" id="{C90FE9FE-31C8-42B7-99BE-469CDEBC0449}">
            <xm:f>'G:\Users\GEC\Documents\LUZ\[Copia de 20200615.xlsx]AUX'!#REF!=TRUE</xm:f>
            <x14:dxf>
              <font>
                <color theme="0"/>
              </font>
              <fill>
                <patternFill>
                  <bgColor theme="0"/>
                </patternFill>
              </fill>
              <border>
                <left/>
                <right/>
                <top/>
                <bottom/>
                <vertical/>
                <horizontal/>
              </border>
            </x14:dxf>
          </x14:cfRule>
          <xm:sqref>I67:J67 E67</xm:sqref>
        </x14:conditionalFormatting>
        <x14:conditionalFormatting xmlns:xm="http://schemas.microsoft.com/office/excel/2006/main">
          <x14:cfRule type="expression" priority="36" id="{FEC21F74-BD6E-4762-9656-F039A1484FB3}">
            <xm:f>AND('G:\Users\GEC\Documents\LUZ\[Copia de 20200615.xlsx]DATOS'!#REF!="NO",'G:\Users\GEC\Documents\LUZ\[Copia de 20200615.xlsx]DATOS'!#REF!="NO")</xm:f>
            <x14:dxf>
              <font>
                <color theme="0"/>
              </font>
              <fill>
                <patternFill>
                  <bgColor theme="0"/>
                </patternFill>
              </fill>
              <border>
                <left/>
                <right/>
                <top/>
                <bottom/>
                <vertical/>
                <horizontal/>
              </border>
            </x14:dxf>
          </x14:cfRule>
          <xm:sqref>E140</xm:sqref>
        </x14:conditionalFormatting>
        <x14:conditionalFormatting xmlns:xm="http://schemas.microsoft.com/office/excel/2006/main">
          <x14:cfRule type="expression" priority="35" id="{590938CA-2B38-4B7D-BC3F-539E4AE465DB}">
            <xm:f>OR('G:\Users\GEC\Documents\LUZ\[Copia de 20200615.xlsx]AUX'!#REF!=TRUE,'G:\Users\GEC\Documents\LUZ\[Copia de 20200615.xlsx]AUX'!#REF!=TRUE)</xm:f>
            <x14:dxf>
              <font>
                <color theme="0"/>
              </font>
              <fill>
                <patternFill>
                  <bgColor theme="0"/>
                </patternFill>
              </fill>
              <border>
                <left/>
                <right/>
                <top/>
                <bottom/>
                <vertical/>
                <horizontal/>
              </border>
            </x14:dxf>
          </x14:cfRule>
          <xm:sqref>E140</xm:sqref>
        </x14:conditionalFormatting>
        <x14:conditionalFormatting xmlns:xm="http://schemas.microsoft.com/office/excel/2006/main">
          <x14:cfRule type="expression" priority="34" id="{DB254D88-4CF5-45FE-93F1-A1754E677213}">
            <xm:f>'G:\Users\GEC\Documents\LUZ\[Copia de 20200615.xlsx]AUX'!#REF!=TRUE</xm:f>
            <x14:dxf>
              <font>
                <color theme="0"/>
              </font>
              <fill>
                <patternFill>
                  <bgColor theme="0"/>
                </patternFill>
              </fill>
              <border>
                <left/>
                <right/>
                <top/>
                <bottom/>
                <vertical/>
                <horizontal/>
              </border>
            </x14:dxf>
          </x14:cfRule>
          <xm:sqref>E140</xm:sqref>
        </x14:conditionalFormatting>
        <x14:conditionalFormatting xmlns:xm="http://schemas.microsoft.com/office/excel/2006/main">
          <x14:cfRule type="expression" priority="33" id="{F337E5AC-72E4-4B7D-AD81-78FC55250AAF}">
            <xm:f>AND('G:\Users\GEC\Documents\LUZ\[Copia de 20200615.xlsx]DATOS'!#REF!="NO",'G:\Users\GEC\Documents\LUZ\[Copia de 20200615.xlsx]DATOS'!#REF!="NO")</xm:f>
            <x14:dxf>
              <font>
                <color theme="0"/>
              </font>
              <fill>
                <patternFill>
                  <bgColor theme="0"/>
                </patternFill>
              </fill>
              <border>
                <left/>
                <right/>
                <top/>
                <bottom/>
                <vertical/>
                <horizontal/>
              </border>
            </x14:dxf>
          </x14:cfRule>
          <xm:sqref>E178</xm:sqref>
        </x14:conditionalFormatting>
        <x14:conditionalFormatting xmlns:xm="http://schemas.microsoft.com/office/excel/2006/main">
          <x14:cfRule type="expression" priority="32" id="{E45E30E1-3346-4060-A664-40465B5BD50D}">
            <xm:f>OR('G:\Users\GEC\Documents\LUZ\[Copia de 20200615.xlsx]AUX'!#REF!=TRUE,'G:\Users\GEC\Documents\LUZ\[Copia de 20200615.xlsx]AUX'!#REF!=TRUE)</xm:f>
            <x14:dxf>
              <font>
                <color theme="0"/>
              </font>
              <fill>
                <patternFill>
                  <bgColor theme="0"/>
                </patternFill>
              </fill>
              <border>
                <left/>
                <right/>
                <top/>
                <bottom/>
                <vertical/>
                <horizontal/>
              </border>
            </x14:dxf>
          </x14:cfRule>
          <xm:sqref>E178</xm:sqref>
        </x14:conditionalFormatting>
        <x14:conditionalFormatting xmlns:xm="http://schemas.microsoft.com/office/excel/2006/main">
          <x14:cfRule type="expression" priority="31" id="{94C440F7-8851-4762-B378-B9BDD0F3AFDC}">
            <xm:f>'G:\Users\GEC\Documents\LUZ\[Copia de 20200615.xlsx]AUX'!#REF!=TRUE</xm:f>
            <x14:dxf>
              <font>
                <color theme="0"/>
              </font>
              <fill>
                <patternFill>
                  <bgColor theme="0"/>
                </patternFill>
              </fill>
              <border>
                <left/>
                <right/>
                <top/>
                <bottom/>
                <vertical/>
                <horizontal/>
              </border>
            </x14:dxf>
          </x14:cfRule>
          <xm:sqref>E178</xm:sqref>
        </x14:conditionalFormatting>
        <x14:conditionalFormatting xmlns:xm="http://schemas.microsoft.com/office/excel/2006/main">
          <x14:cfRule type="expression" priority="30" id="{9CEF8C29-362A-4802-8134-7335B639AF24}">
            <xm:f>AND('G:\Users\GEC\Documents\LUZ\[Copia de 20200615.xlsx]DATOS'!#REF!="NO",'G:\Users\GEC\Documents\LUZ\[Copia de 20200615.xlsx]DATOS'!#REF!="NO")</xm:f>
            <x14:dxf>
              <font>
                <color theme="0"/>
              </font>
              <fill>
                <patternFill>
                  <bgColor theme="0"/>
                </patternFill>
              </fill>
              <border>
                <left/>
                <right/>
                <top/>
                <bottom/>
                <vertical/>
                <horizontal/>
              </border>
            </x14:dxf>
          </x14:cfRule>
          <xm:sqref>E214</xm:sqref>
        </x14:conditionalFormatting>
        <x14:conditionalFormatting xmlns:xm="http://schemas.microsoft.com/office/excel/2006/main">
          <x14:cfRule type="expression" priority="29" id="{B8267958-214A-4E5C-8464-25CEE710686D}">
            <xm:f>OR('G:\Users\GEC\Documents\LUZ\[Copia de 20200615.xlsx]AUX'!#REF!=TRUE,'G:\Users\GEC\Documents\LUZ\[Copia de 20200615.xlsx]AUX'!#REF!=TRUE)</xm:f>
            <x14:dxf>
              <font>
                <color theme="0"/>
              </font>
              <fill>
                <patternFill>
                  <bgColor theme="0"/>
                </patternFill>
              </fill>
              <border>
                <left/>
                <right/>
                <top/>
                <bottom/>
                <vertical/>
                <horizontal/>
              </border>
            </x14:dxf>
          </x14:cfRule>
          <xm:sqref>E214</xm:sqref>
        </x14:conditionalFormatting>
        <x14:conditionalFormatting xmlns:xm="http://schemas.microsoft.com/office/excel/2006/main">
          <x14:cfRule type="expression" priority="28" id="{6999B620-8C21-49A4-AB70-908B65EBDEEB}">
            <xm:f>'G:\Users\GEC\Documents\LUZ\[Copia de 20200615.xlsx]AUX'!#REF!=TRUE</xm:f>
            <x14:dxf>
              <font>
                <color theme="0"/>
              </font>
              <fill>
                <patternFill>
                  <bgColor theme="0"/>
                </patternFill>
              </fill>
              <border>
                <left/>
                <right/>
                <top/>
                <bottom/>
                <vertical/>
                <horizontal/>
              </border>
            </x14:dxf>
          </x14:cfRule>
          <xm:sqref>E214</xm:sqref>
        </x14:conditionalFormatting>
        <x14:conditionalFormatting xmlns:xm="http://schemas.microsoft.com/office/excel/2006/main">
          <x14:cfRule type="expression" priority="27" id="{2CB091EF-7998-4565-8C22-D426B51E74C9}">
            <xm:f>AND('G:\Users\GEC\Documents\LUZ\[Copia de 20200615.xlsx]DATOS'!#REF!="NO",'G:\Users\GEC\Documents\LUZ\[Copia de 20200615.xlsx]DATOS'!#REF!="NO")</xm:f>
            <x14:dxf>
              <font>
                <color theme="0"/>
              </font>
              <fill>
                <patternFill>
                  <bgColor theme="0"/>
                </patternFill>
              </fill>
              <border>
                <left/>
                <right/>
                <top/>
                <bottom/>
                <vertical/>
                <horizontal/>
              </border>
            </x14:dxf>
          </x14:cfRule>
          <xm:sqref>E251</xm:sqref>
        </x14:conditionalFormatting>
        <x14:conditionalFormatting xmlns:xm="http://schemas.microsoft.com/office/excel/2006/main">
          <x14:cfRule type="expression" priority="26" id="{D5B2F203-2029-4E6B-92AB-9139CD68B93C}">
            <xm:f>OR('G:\Users\GEC\Documents\LUZ\[Copia de 20200615.xlsx]AUX'!#REF!=TRUE,'G:\Users\GEC\Documents\LUZ\[Copia de 20200615.xlsx]AUX'!#REF!=TRUE)</xm:f>
            <x14:dxf>
              <font>
                <color theme="0"/>
              </font>
              <fill>
                <patternFill>
                  <bgColor theme="0"/>
                </patternFill>
              </fill>
              <border>
                <left/>
                <right/>
                <top/>
                <bottom/>
                <vertical/>
                <horizontal/>
              </border>
            </x14:dxf>
          </x14:cfRule>
          <xm:sqref>E251</xm:sqref>
        </x14:conditionalFormatting>
        <x14:conditionalFormatting xmlns:xm="http://schemas.microsoft.com/office/excel/2006/main">
          <x14:cfRule type="expression" priority="25" id="{99572729-60B5-41BB-B2EC-392BB3F2ED23}">
            <xm:f>'G:\Users\GEC\Documents\LUZ\[Copia de 20200615.xlsx]AUX'!#REF!=TRUE</xm:f>
            <x14:dxf>
              <font>
                <color theme="0"/>
              </font>
              <fill>
                <patternFill>
                  <bgColor theme="0"/>
                </patternFill>
              </fill>
              <border>
                <left/>
                <right/>
                <top/>
                <bottom/>
                <vertical/>
                <horizontal/>
              </border>
            </x14:dxf>
          </x14:cfRule>
          <xm:sqref>E251</xm:sqref>
        </x14:conditionalFormatting>
        <x14:conditionalFormatting xmlns:xm="http://schemas.microsoft.com/office/excel/2006/main">
          <x14:cfRule type="expression" priority="24" id="{0F571194-24F1-45F7-9173-B00D6FE5A6D5}">
            <xm:f>AND('G:\Users\GEC\Documents\LUZ\[Copia de 20200615.xlsx]DATOS'!#REF!="NO",'G:\Users\GEC\Documents\LUZ\[Copia de 20200615.xlsx]DATOS'!#REF!="NO")</xm:f>
            <x14:dxf>
              <font>
                <color theme="0"/>
              </font>
              <fill>
                <patternFill>
                  <bgColor theme="0"/>
                </patternFill>
              </fill>
              <border>
                <left/>
                <right/>
                <top/>
                <bottom/>
                <vertical/>
                <horizontal/>
              </border>
            </x14:dxf>
          </x14:cfRule>
          <xm:sqref>E288</xm:sqref>
        </x14:conditionalFormatting>
        <x14:conditionalFormatting xmlns:xm="http://schemas.microsoft.com/office/excel/2006/main">
          <x14:cfRule type="expression" priority="23" id="{0C3C213C-B8B5-4377-8BF5-E8E88D579361}">
            <xm:f>OR('G:\Users\GEC\Documents\LUZ\[Copia de 20200615.xlsx]AUX'!#REF!=TRUE,'G:\Users\GEC\Documents\LUZ\[Copia de 20200615.xlsx]AUX'!#REF!=TRUE)</xm:f>
            <x14:dxf>
              <font>
                <color theme="0"/>
              </font>
              <fill>
                <patternFill>
                  <bgColor theme="0"/>
                </patternFill>
              </fill>
              <border>
                <left/>
                <right/>
                <top/>
                <bottom/>
                <vertical/>
                <horizontal/>
              </border>
            </x14:dxf>
          </x14:cfRule>
          <xm:sqref>E288</xm:sqref>
        </x14:conditionalFormatting>
        <x14:conditionalFormatting xmlns:xm="http://schemas.microsoft.com/office/excel/2006/main">
          <x14:cfRule type="expression" priority="22" id="{5E2294C4-BBD5-4304-9B3A-7FE2DD370668}">
            <xm:f>'G:\Users\GEC\Documents\LUZ\[Copia de 20200615.xlsx]AUX'!#REF!=TRUE</xm:f>
            <x14:dxf>
              <font>
                <color theme="0"/>
              </font>
              <fill>
                <patternFill>
                  <bgColor theme="0"/>
                </patternFill>
              </fill>
              <border>
                <left/>
                <right/>
                <top/>
                <bottom/>
                <vertical/>
                <horizontal/>
              </border>
            </x14:dxf>
          </x14:cfRule>
          <xm:sqref>E288</xm:sqref>
        </x14:conditionalFormatting>
        <x14:conditionalFormatting xmlns:xm="http://schemas.microsoft.com/office/excel/2006/main">
          <x14:cfRule type="expression" priority="21" id="{42985EDF-0E1A-449D-BF6B-02A0E60E7142}">
            <xm:f>AND('G:\Users\GEC\Documents\LUZ\[Copia de 20200615.xlsx]DATOS'!#REF!="NO",'G:\Users\GEC\Documents\LUZ\[Copia de 20200615.xlsx]DATOS'!#REF!="NO")</xm:f>
            <x14:dxf>
              <font>
                <color theme="0"/>
              </font>
              <fill>
                <patternFill>
                  <bgColor theme="0"/>
                </patternFill>
              </fill>
              <border>
                <left/>
                <right/>
                <top/>
                <bottom/>
                <vertical/>
                <horizontal/>
              </border>
            </x14:dxf>
          </x14:cfRule>
          <xm:sqref>E325</xm:sqref>
        </x14:conditionalFormatting>
        <x14:conditionalFormatting xmlns:xm="http://schemas.microsoft.com/office/excel/2006/main">
          <x14:cfRule type="expression" priority="20" id="{964DE29A-A92C-4607-85C7-C43D0DE44B5A}">
            <xm:f>OR('G:\Users\GEC\Documents\LUZ\[Copia de 20200615.xlsx]AUX'!#REF!=TRUE,'G:\Users\GEC\Documents\LUZ\[Copia de 20200615.xlsx]AUX'!#REF!=TRUE)</xm:f>
            <x14:dxf>
              <font>
                <color theme="0"/>
              </font>
              <fill>
                <patternFill>
                  <bgColor theme="0"/>
                </patternFill>
              </fill>
              <border>
                <left/>
                <right/>
                <top/>
                <bottom/>
                <vertical/>
                <horizontal/>
              </border>
            </x14:dxf>
          </x14:cfRule>
          <xm:sqref>E325</xm:sqref>
        </x14:conditionalFormatting>
        <x14:conditionalFormatting xmlns:xm="http://schemas.microsoft.com/office/excel/2006/main">
          <x14:cfRule type="expression" priority="19" id="{E229DE88-A444-4887-8B9B-C12A41DA2050}">
            <xm:f>'G:\Users\GEC\Documents\LUZ\[Copia de 20200615.xlsx]AUX'!#REF!=TRUE</xm:f>
            <x14:dxf>
              <font>
                <color theme="0"/>
              </font>
              <fill>
                <patternFill>
                  <bgColor theme="0"/>
                </patternFill>
              </fill>
              <border>
                <left/>
                <right/>
                <top/>
                <bottom/>
                <vertical/>
                <horizontal/>
              </border>
            </x14:dxf>
          </x14:cfRule>
          <xm:sqref>E325</xm:sqref>
        </x14:conditionalFormatting>
        <x14:conditionalFormatting xmlns:xm="http://schemas.microsoft.com/office/excel/2006/main">
          <x14:cfRule type="expression" priority="18" id="{F6522992-D15C-4122-9223-CCD70C98C27A}">
            <xm:f>AND('G:\Users\GEC\Documents\LUZ\[Copia de 20200615.xlsx]DATOS'!#REF!="NO",'G:\Users\GEC\Documents\LUZ\[Copia de 20200615.xlsx]DATOS'!#REF!="NO")</xm:f>
            <x14:dxf>
              <font>
                <color theme="0"/>
              </font>
              <fill>
                <patternFill>
                  <bgColor theme="0"/>
                </patternFill>
              </fill>
              <border>
                <left/>
                <right/>
                <top/>
                <bottom/>
                <vertical/>
                <horizontal/>
              </border>
            </x14:dxf>
          </x14:cfRule>
          <xm:sqref>K67</xm:sqref>
        </x14:conditionalFormatting>
        <x14:conditionalFormatting xmlns:xm="http://schemas.microsoft.com/office/excel/2006/main">
          <x14:cfRule type="expression" priority="17" id="{D5413D62-9CBD-4389-8491-15AD5A5A78FC}">
            <xm:f>OR('G:\Users\GEC\Documents\LUZ\[Copia de 20200615.xlsx]AUX'!#REF!=TRUE,'G:\Users\GEC\Documents\LUZ\[Copia de 20200615.xlsx]AUX'!#REF!=TRUE)</xm:f>
            <x14:dxf>
              <font>
                <color theme="0"/>
              </font>
              <fill>
                <patternFill>
                  <bgColor theme="0"/>
                </patternFill>
              </fill>
              <border>
                <left/>
                <right/>
                <top/>
                <bottom/>
                <vertical/>
                <horizontal/>
              </border>
            </x14:dxf>
          </x14:cfRule>
          <xm:sqref>K67</xm:sqref>
        </x14:conditionalFormatting>
        <x14:conditionalFormatting xmlns:xm="http://schemas.microsoft.com/office/excel/2006/main">
          <x14:cfRule type="expression" priority="16" id="{FA04CDD9-3DE5-44E8-9DFC-05B1D00809B7}">
            <xm:f>'G:\Users\GEC\Documents\LUZ\[Copia de 20200615.xlsx]AUX'!#REF!=TRUE</xm:f>
            <x14:dxf>
              <font>
                <color theme="0"/>
              </font>
              <fill>
                <patternFill>
                  <bgColor theme="0"/>
                </patternFill>
              </fill>
              <border>
                <left/>
                <right/>
                <top/>
                <bottom/>
                <vertical/>
                <horizontal/>
              </border>
            </x14:dxf>
          </x14:cfRule>
          <xm:sqref>K67</xm:sqref>
        </x14:conditionalFormatting>
        <x14:conditionalFormatting xmlns:xm="http://schemas.microsoft.com/office/excel/2006/main">
          <x14:cfRule type="expression" priority="15" id="{D42E7D88-BDB2-4AF2-9381-FA3CBEDE395D}">
            <xm:f>AND('G:\Users\GEC\Documents\LUZ\[Copia de 20200615.xlsx]DATOS'!#REF!="NO",'G:\Users\GEC\Documents\LUZ\[Copia de 20200615.xlsx]DATOS'!#REF!="NO")</xm:f>
            <x14:dxf>
              <font>
                <color theme="0"/>
              </font>
              <fill>
                <patternFill>
                  <bgColor theme="0"/>
                </patternFill>
              </fill>
              <border>
                <left/>
                <right/>
                <top/>
                <bottom/>
                <vertical/>
                <horizontal/>
              </border>
            </x14:dxf>
          </x14:cfRule>
          <xm:sqref>K140</xm:sqref>
        </x14:conditionalFormatting>
        <x14:conditionalFormatting xmlns:xm="http://schemas.microsoft.com/office/excel/2006/main">
          <x14:cfRule type="expression" priority="14" id="{96A1B65C-EFFA-4D1B-A676-D3963C9512DB}">
            <xm:f>OR('G:\Users\GEC\Documents\LUZ\[Copia de 20200615.xlsx]AUX'!#REF!=TRUE,'G:\Users\GEC\Documents\LUZ\[Copia de 20200615.xlsx]AUX'!#REF!=TRUE)</xm:f>
            <x14:dxf>
              <font>
                <color theme="0"/>
              </font>
              <fill>
                <patternFill>
                  <bgColor theme="0"/>
                </patternFill>
              </fill>
              <border>
                <left/>
                <right/>
                <top/>
                <bottom/>
                <vertical/>
                <horizontal/>
              </border>
            </x14:dxf>
          </x14:cfRule>
          <xm:sqref>K140</xm:sqref>
        </x14:conditionalFormatting>
        <x14:conditionalFormatting xmlns:xm="http://schemas.microsoft.com/office/excel/2006/main">
          <x14:cfRule type="expression" priority="13" id="{BD5A6321-5A9E-48E4-A39D-99B6B019ADE0}">
            <xm:f>'G:\Users\GEC\Documents\LUZ\[Copia de 20200615.xlsx]AUX'!#REF!=TRUE</xm:f>
            <x14:dxf>
              <font>
                <color theme="0"/>
              </font>
              <fill>
                <patternFill>
                  <bgColor theme="0"/>
                </patternFill>
              </fill>
              <border>
                <left/>
                <right/>
                <top/>
                <bottom/>
                <vertical/>
                <horizontal/>
              </border>
            </x14:dxf>
          </x14:cfRule>
          <xm:sqref>K140</xm:sqref>
        </x14:conditionalFormatting>
        <x14:conditionalFormatting xmlns:xm="http://schemas.microsoft.com/office/excel/2006/main">
          <x14:cfRule type="expression" priority="12" id="{B0C5B550-AF64-4BF7-89EF-3F29FCC27D1C}">
            <xm:f>AND('G:\Users\GEC\Documents\LUZ\[Copia de 20200615.xlsx]DATOS'!#REF!="NO",'G:\Users\GEC\Documents\LUZ\[Copia de 20200615.xlsx]DATOS'!#REF!="NO")</xm:f>
            <x14:dxf>
              <font>
                <color theme="0"/>
              </font>
              <fill>
                <patternFill>
                  <bgColor theme="0"/>
                </patternFill>
              </fill>
              <border>
                <left/>
                <right/>
                <top/>
                <bottom/>
                <vertical/>
                <horizontal/>
              </border>
            </x14:dxf>
          </x14:cfRule>
          <xm:sqref>K178</xm:sqref>
        </x14:conditionalFormatting>
        <x14:conditionalFormatting xmlns:xm="http://schemas.microsoft.com/office/excel/2006/main">
          <x14:cfRule type="expression" priority="11" id="{F6FD3961-2292-4A5C-B83E-0AB8A539F1D1}">
            <xm:f>OR('G:\Users\GEC\Documents\LUZ\[Copia de 20200615.xlsx]AUX'!#REF!=TRUE,'G:\Users\GEC\Documents\LUZ\[Copia de 20200615.xlsx]AUX'!#REF!=TRUE)</xm:f>
            <x14:dxf>
              <font>
                <color theme="0"/>
              </font>
              <fill>
                <patternFill>
                  <bgColor theme="0"/>
                </patternFill>
              </fill>
              <border>
                <left/>
                <right/>
                <top/>
                <bottom/>
                <vertical/>
                <horizontal/>
              </border>
            </x14:dxf>
          </x14:cfRule>
          <xm:sqref>K178</xm:sqref>
        </x14:conditionalFormatting>
        <x14:conditionalFormatting xmlns:xm="http://schemas.microsoft.com/office/excel/2006/main">
          <x14:cfRule type="expression" priority="10" id="{F194D02B-A30F-43A9-A064-3368DC5912B0}">
            <xm:f>'G:\Users\GEC\Documents\LUZ\[Copia de 20200615.xlsx]AUX'!#REF!=TRUE</xm:f>
            <x14:dxf>
              <font>
                <color theme="0"/>
              </font>
              <fill>
                <patternFill>
                  <bgColor theme="0"/>
                </patternFill>
              </fill>
              <border>
                <left/>
                <right/>
                <top/>
                <bottom/>
                <vertical/>
                <horizontal/>
              </border>
            </x14:dxf>
          </x14:cfRule>
          <xm:sqref>K178</xm:sqref>
        </x14:conditionalFormatting>
        <x14:conditionalFormatting xmlns:xm="http://schemas.microsoft.com/office/excel/2006/main">
          <x14:cfRule type="expression" priority="9" id="{3D4D7CC3-B5FA-4CEB-A60B-BC02C4E20D16}">
            <xm:f>AND('G:\Users\GEC\Documents\LUZ\[Copia de 20200615.xlsx]DATOS'!#REF!="NO",'G:\Users\GEC\Documents\LUZ\[Copia de 20200615.xlsx]DATOS'!#REF!="NO")</xm:f>
            <x14:dxf>
              <font>
                <color theme="0"/>
              </font>
              <fill>
                <patternFill>
                  <bgColor theme="0"/>
                </patternFill>
              </fill>
              <border>
                <left/>
                <right/>
                <top/>
                <bottom/>
                <vertical/>
                <horizontal/>
              </border>
            </x14:dxf>
          </x14:cfRule>
          <xm:sqref>K214</xm:sqref>
        </x14:conditionalFormatting>
        <x14:conditionalFormatting xmlns:xm="http://schemas.microsoft.com/office/excel/2006/main">
          <x14:cfRule type="expression" priority="8" id="{D76DBF27-BA9C-45A0-A54B-84F016D917E1}">
            <xm:f>OR('G:\Users\GEC\Documents\LUZ\[Copia de 20200615.xlsx]AUX'!#REF!=TRUE,'G:\Users\GEC\Documents\LUZ\[Copia de 20200615.xlsx]AUX'!#REF!=TRUE)</xm:f>
            <x14:dxf>
              <font>
                <color theme="0"/>
              </font>
              <fill>
                <patternFill>
                  <bgColor theme="0"/>
                </patternFill>
              </fill>
              <border>
                <left/>
                <right/>
                <top/>
                <bottom/>
                <vertical/>
                <horizontal/>
              </border>
            </x14:dxf>
          </x14:cfRule>
          <xm:sqref>K214</xm:sqref>
        </x14:conditionalFormatting>
        <x14:conditionalFormatting xmlns:xm="http://schemas.microsoft.com/office/excel/2006/main">
          <x14:cfRule type="expression" priority="7" id="{55482544-79FB-4109-BA0A-5827549DBD20}">
            <xm:f>'G:\Users\GEC\Documents\LUZ\[Copia de 20200615.xlsx]AUX'!#REF!=TRUE</xm:f>
            <x14:dxf>
              <font>
                <color theme="0"/>
              </font>
              <fill>
                <patternFill>
                  <bgColor theme="0"/>
                </patternFill>
              </fill>
              <border>
                <left/>
                <right/>
                <top/>
                <bottom/>
                <vertical/>
                <horizontal/>
              </border>
            </x14:dxf>
          </x14:cfRule>
          <xm:sqref>K214</xm:sqref>
        </x14:conditionalFormatting>
        <x14:conditionalFormatting xmlns:xm="http://schemas.microsoft.com/office/excel/2006/main">
          <x14:cfRule type="expression" priority="6" id="{202689F3-E9F5-4A0F-AB7F-FB8C8FA91AA6}">
            <xm:f>AND('G:\Users\GEC\Documents\LUZ\[Copia de 20200615.xlsx]DATOS'!#REF!="NO",'G:\Users\GEC\Documents\LUZ\[Copia de 20200615.xlsx]DATOS'!#REF!="NO")</xm:f>
            <x14:dxf>
              <font>
                <color theme="0"/>
              </font>
              <fill>
                <patternFill>
                  <bgColor theme="0"/>
                </patternFill>
              </fill>
              <border>
                <left/>
                <right/>
                <top/>
                <bottom/>
                <vertical/>
                <horizontal/>
              </border>
            </x14:dxf>
          </x14:cfRule>
          <xm:sqref>K288</xm:sqref>
        </x14:conditionalFormatting>
        <x14:conditionalFormatting xmlns:xm="http://schemas.microsoft.com/office/excel/2006/main">
          <x14:cfRule type="expression" priority="5" id="{410DF109-CEA8-44AD-809C-BBCD72AF123E}">
            <xm:f>OR('G:\Users\GEC\Documents\LUZ\[Copia de 20200615.xlsx]AUX'!#REF!=TRUE,'G:\Users\GEC\Documents\LUZ\[Copia de 20200615.xlsx]AUX'!#REF!=TRUE)</xm:f>
            <x14:dxf>
              <font>
                <color theme="0"/>
              </font>
              <fill>
                <patternFill>
                  <bgColor theme="0"/>
                </patternFill>
              </fill>
              <border>
                <left/>
                <right/>
                <top/>
                <bottom/>
                <vertical/>
                <horizontal/>
              </border>
            </x14:dxf>
          </x14:cfRule>
          <xm:sqref>K288</xm:sqref>
        </x14:conditionalFormatting>
        <x14:conditionalFormatting xmlns:xm="http://schemas.microsoft.com/office/excel/2006/main">
          <x14:cfRule type="expression" priority="4" id="{DB2492CA-E2ED-4C79-A4D8-C26A590384F2}">
            <xm:f>'G:\Users\GEC\Documents\LUZ\[Copia de 20200615.xlsx]AUX'!#REF!=TRUE</xm:f>
            <x14:dxf>
              <font>
                <color theme="0"/>
              </font>
              <fill>
                <patternFill>
                  <bgColor theme="0"/>
                </patternFill>
              </fill>
              <border>
                <left/>
                <right/>
                <top/>
                <bottom/>
                <vertical/>
                <horizontal/>
              </border>
            </x14:dxf>
          </x14:cfRule>
          <xm:sqref>K288</xm:sqref>
        </x14:conditionalFormatting>
        <x14:conditionalFormatting xmlns:xm="http://schemas.microsoft.com/office/excel/2006/main">
          <x14:cfRule type="expression" priority="3" id="{90908720-6F72-40EA-8B82-962845BFCE41}">
            <xm:f>AND('G:\Users\GEC\Documents\LUZ\[Copia de 20200615.xlsx]DATOS'!#REF!="NO",'G:\Users\GEC\Documents\LUZ\[Copia de 20200615.xlsx]DATOS'!#REF!="NO")</xm:f>
            <x14:dxf>
              <font>
                <color theme="0"/>
              </font>
              <fill>
                <patternFill>
                  <bgColor theme="0"/>
                </patternFill>
              </fill>
              <border>
                <left/>
                <right/>
                <top/>
                <bottom/>
                <vertical/>
                <horizontal/>
              </border>
            </x14:dxf>
          </x14:cfRule>
          <xm:sqref>K325</xm:sqref>
        </x14:conditionalFormatting>
        <x14:conditionalFormatting xmlns:xm="http://schemas.microsoft.com/office/excel/2006/main">
          <x14:cfRule type="expression" priority="2" id="{5B9B1D2B-4419-49E7-BEB1-0CEF9090640A}">
            <xm:f>OR('G:\Users\GEC\Documents\LUZ\[Copia de 20200615.xlsx]AUX'!#REF!=TRUE,'G:\Users\GEC\Documents\LUZ\[Copia de 20200615.xlsx]AUX'!#REF!=TRUE)</xm:f>
            <x14:dxf>
              <font>
                <color theme="0"/>
              </font>
              <fill>
                <patternFill>
                  <bgColor theme="0"/>
                </patternFill>
              </fill>
              <border>
                <left/>
                <right/>
                <top/>
                <bottom/>
                <vertical/>
                <horizontal/>
              </border>
            </x14:dxf>
          </x14:cfRule>
          <xm:sqref>K325</xm:sqref>
        </x14:conditionalFormatting>
        <x14:conditionalFormatting xmlns:xm="http://schemas.microsoft.com/office/excel/2006/main">
          <x14:cfRule type="expression" priority="1" id="{0802A124-2594-4573-82F5-5FD2B9B89FDE}">
            <xm:f>'G:\Users\GEC\Documents\LUZ\[Copia de 20200615.xlsx]AUX'!#REF!=TRUE</xm:f>
            <x14:dxf>
              <font>
                <color theme="0"/>
              </font>
              <fill>
                <patternFill>
                  <bgColor theme="0"/>
                </patternFill>
              </fill>
              <border>
                <left/>
                <right/>
                <top/>
                <bottom/>
                <vertical/>
                <horizontal/>
              </border>
            </x14:dxf>
          </x14:cfRule>
          <xm:sqref>K325</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100-000000000000}">
          <x14:formula1>
            <xm:f>'INTRODUCIR DATOS'!$I$12:$I$16</xm:f>
          </x14:formula1>
          <xm:sqref>C46</xm:sqref>
        </x14:dataValidation>
        <x14:dataValidation type="list" allowBlank="1" showInputMessage="1" showErrorMessage="1" xr:uid="{00000000-0002-0000-0100-000001000000}">
          <x14:formula1>
            <xm:f>'INTRODUCIR DATOS'!$I$17:$I$28</xm:f>
          </x14:formula1>
          <xm:sqref>C82</xm:sqref>
        </x14:dataValidation>
        <x14:dataValidation type="list" allowBlank="1" showInputMessage="1" showErrorMessage="1" xr:uid="{00000000-0002-0000-0100-000002000000}">
          <x14:formula1>
            <xm:f>'INTRODUCIR DATOS'!$I$29:$I$32</xm:f>
          </x14:formula1>
          <xm:sqref>C119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9" tint="0.59999389629810485"/>
  </sheetPr>
  <dimension ref="A1:M110"/>
  <sheetViews>
    <sheetView showGridLines="0" showZeros="0" topLeftCell="A25" zoomScaleNormal="100" workbookViewId="0">
      <selection activeCell="C45" sqref="C45"/>
    </sheetView>
  </sheetViews>
  <sheetFormatPr defaultColWidth="11.42578125" defaultRowHeight="14.45"/>
  <cols>
    <col min="1" max="1" width="4.7109375" style="143" customWidth="1"/>
    <col min="2" max="2" width="22.28515625" style="142" customWidth="1"/>
    <col min="3" max="3" width="20.140625" style="142" customWidth="1"/>
    <col min="4" max="11" width="10.28515625" style="142" customWidth="1"/>
    <col min="12" max="16384" width="11.42578125" style="142"/>
  </cols>
  <sheetData>
    <row r="1" spans="1:13" s="143" customFormat="1" ht="13.5" customHeight="1">
      <c r="A1" s="134"/>
      <c r="B1" s="134"/>
      <c r="C1" s="134"/>
      <c r="D1" s="134"/>
      <c r="E1" s="134"/>
      <c r="F1" s="134"/>
      <c r="G1" s="134"/>
      <c r="H1" s="134"/>
      <c r="I1" s="134"/>
      <c r="J1" s="134"/>
      <c r="K1" s="134"/>
      <c r="L1" s="142"/>
    </row>
    <row r="2" spans="1:13" ht="13.5" customHeight="1">
      <c r="A2" s="134"/>
      <c r="B2" s="134"/>
      <c r="C2" s="134"/>
      <c r="D2" s="134"/>
      <c r="E2" s="134"/>
      <c r="F2" s="134"/>
      <c r="G2" s="134"/>
      <c r="H2" s="134"/>
      <c r="I2" s="134"/>
      <c r="J2" s="134"/>
      <c r="K2" s="134"/>
    </row>
    <row r="3" spans="1:13" ht="13.5" customHeight="1">
      <c r="A3" s="134"/>
      <c r="B3" s="134"/>
      <c r="C3" s="134"/>
      <c r="D3" s="134"/>
      <c r="E3" s="134"/>
      <c r="F3" s="134"/>
      <c r="G3" s="134"/>
      <c r="H3" s="134"/>
      <c r="I3" s="134"/>
      <c r="J3" s="134"/>
      <c r="K3" s="134"/>
    </row>
    <row r="4" spans="1:13" ht="13.5" customHeight="1">
      <c r="A4" s="134"/>
      <c r="B4" s="134"/>
      <c r="C4" s="134"/>
      <c r="D4" s="134"/>
      <c r="E4" s="134"/>
      <c r="F4" s="134"/>
      <c r="G4" s="134"/>
      <c r="H4" s="134"/>
      <c r="I4" s="134"/>
      <c r="J4" s="134"/>
      <c r="K4" s="134"/>
    </row>
    <row r="5" spans="1:13" ht="13.5" customHeight="1">
      <c r="A5" s="134"/>
      <c r="B5" s="134"/>
      <c r="C5" s="134"/>
      <c r="D5" s="134"/>
      <c r="E5" s="134"/>
      <c r="F5" s="134"/>
      <c r="G5" s="134"/>
      <c r="H5" s="134"/>
      <c r="I5" s="134"/>
      <c r="J5" s="134"/>
      <c r="K5" s="134"/>
    </row>
    <row r="6" spans="1:13" ht="13.5" customHeight="1">
      <c r="A6" s="134"/>
      <c r="B6" s="134"/>
      <c r="C6" s="134"/>
      <c r="D6" s="134"/>
      <c r="E6" s="134"/>
      <c r="F6" s="134"/>
      <c r="G6" s="134"/>
      <c r="H6" s="134"/>
      <c r="I6" s="134"/>
      <c r="J6" s="134"/>
      <c r="K6" s="134"/>
    </row>
    <row r="7" spans="1:13" ht="13.5" customHeight="1">
      <c r="A7" s="134"/>
      <c r="B7" s="134"/>
      <c r="C7" s="134"/>
      <c r="D7" s="134"/>
      <c r="E7" s="134"/>
      <c r="F7" s="134"/>
      <c r="G7" s="134"/>
      <c r="H7" s="134"/>
      <c r="I7" s="134"/>
      <c r="J7" s="134"/>
      <c r="K7" s="134"/>
    </row>
    <row r="8" spans="1:13" ht="13.5" customHeight="1">
      <c r="A8" s="134"/>
      <c r="B8" s="134"/>
      <c r="C8" s="134"/>
      <c r="D8" s="134"/>
      <c r="E8" s="134"/>
      <c r="F8" s="134"/>
      <c r="G8" s="134"/>
      <c r="H8" s="134"/>
      <c r="I8" s="134"/>
      <c r="J8" s="134"/>
      <c r="K8" s="134"/>
    </row>
    <row r="9" spans="1:13" ht="13.5" customHeight="1">
      <c r="A9" s="134"/>
      <c r="B9" s="134"/>
      <c r="C9" s="134"/>
      <c r="D9" s="134"/>
      <c r="E9" s="134"/>
      <c r="F9" s="134"/>
      <c r="G9" s="134"/>
      <c r="H9" s="134"/>
      <c r="I9" s="134"/>
      <c r="J9" s="134"/>
      <c r="K9" s="134"/>
    </row>
    <row r="10" spans="1:13" ht="13.5" customHeight="1">
      <c r="A10" s="134"/>
      <c r="B10" s="134"/>
      <c r="C10" s="134"/>
      <c r="D10" s="134"/>
      <c r="E10" s="134"/>
      <c r="F10" s="134"/>
      <c r="G10" s="134"/>
      <c r="H10" s="134"/>
      <c r="I10" s="134"/>
      <c r="J10" s="134"/>
      <c r="K10" s="134"/>
      <c r="M10"/>
    </row>
    <row r="11" spans="1:13" ht="13.5" customHeight="1">
      <c r="A11" s="134"/>
      <c r="B11" s="134"/>
      <c r="C11" s="134"/>
      <c r="D11" s="134"/>
      <c r="E11" s="134"/>
      <c r="F11" s="134"/>
      <c r="G11" s="134"/>
      <c r="H11" s="134"/>
      <c r="I11" s="134"/>
      <c r="J11" s="134"/>
      <c r="K11" s="134"/>
    </row>
    <row r="12" spans="1:13" ht="13.5" customHeight="1">
      <c r="A12" s="134"/>
      <c r="B12" s="134"/>
      <c r="C12" s="134"/>
      <c r="D12" s="134"/>
      <c r="E12" s="134"/>
      <c r="F12" s="134"/>
      <c r="G12" s="134"/>
      <c r="H12" s="134"/>
      <c r="I12" s="134"/>
      <c r="J12" s="134"/>
      <c r="K12" s="134"/>
    </row>
    <row r="13" spans="1:13" ht="13.5" customHeight="1">
      <c r="A13" s="134"/>
      <c r="B13" s="134"/>
      <c r="C13" s="134"/>
      <c r="D13" s="134"/>
      <c r="E13" s="134"/>
      <c r="F13" s="134"/>
      <c r="G13" s="134"/>
      <c r="H13" s="134"/>
      <c r="I13" s="134"/>
      <c r="J13" s="134"/>
      <c r="K13" s="134"/>
    </row>
    <row r="14" spans="1:13" ht="13.5" customHeight="1">
      <c r="A14" s="135"/>
      <c r="B14" s="135"/>
      <c r="C14" s="135"/>
      <c r="D14" s="135"/>
      <c r="E14" s="135"/>
      <c r="F14" s="135"/>
      <c r="G14" s="135"/>
      <c r="H14" s="135"/>
      <c r="I14" s="135"/>
      <c r="J14" s="135"/>
      <c r="K14" s="135"/>
    </row>
    <row r="15" spans="1:13" ht="13.5" customHeight="1">
      <c r="A15" s="135"/>
      <c r="B15" s="135"/>
      <c r="C15" s="135"/>
      <c r="D15" s="135"/>
      <c r="E15" s="135"/>
      <c r="F15" s="135"/>
      <c r="G15" s="135"/>
      <c r="H15" s="135"/>
      <c r="I15" s="135"/>
      <c r="J15" s="135"/>
      <c r="K15" s="135"/>
    </row>
    <row r="16" spans="1:13" ht="13.5" customHeight="1">
      <c r="A16" s="563" t="s">
        <v>105</v>
      </c>
      <c r="B16" s="563"/>
      <c r="C16" s="563"/>
      <c r="D16" s="563"/>
      <c r="E16" s="563"/>
      <c r="F16" s="563"/>
      <c r="G16" s="563"/>
      <c r="H16" s="563"/>
      <c r="I16" s="563"/>
      <c r="J16" s="563"/>
      <c r="K16" s="563"/>
    </row>
    <row r="17" spans="1:12" ht="13.5" customHeight="1">
      <c r="A17" s="563"/>
      <c r="B17" s="563"/>
      <c r="C17" s="563"/>
      <c r="D17" s="563"/>
      <c r="E17" s="563"/>
      <c r="F17" s="563"/>
      <c r="G17" s="563"/>
      <c r="H17" s="563"/>
      <c r="I17" s="563"/>
      <c r="J17" s="563"/>
      <c r="K17" s="563"/>
    </row>
    <row r="18" spans="1:12" ht="13.5" customHeight="1">
      <c r="A18" s="135"/>
      <c r="B18" s="135"/>
      <c r="C18" s="135"/>
      <c r="D18" s="135"/>
      <c r="E18" s="135"/>
      <c r="F18" s="135"/>
      <c r="G18" s="135"/>
      <c r="H18" s="135"/>
      <c r="I18" s="135"/>
      <c r="J18" s="135"/>
      <c r="K18" s="135"/>
    </row>
    <row r="19" spans="1:12" ht="13.5" customHeight="1">
      <c r="A19" s="224"/>
      <c r="B19" s="133"/>
      <c r="C19" s="133"/>
      <c r="D19" s="133"/>
      <c r="E19" s="133"/>
      <c r="F19" s="133"/>
      <c r="G19" s="133"/>
      <c r="H19" s="133"/>
      <c r="I19" s="133"/>
      <c r="J19" s="133"/>
      <c r="K19" s="133"/>
    </row>
    <row r="20" spans="1:12" ht="13.5" customHeight="1">
      <c r="A20" s="224"/>
      <c r="B20" s="133"/>
      <c r="C20" s="133"/>
      <c r="D20" s="133"/>
      <c r="E20" s="133"/>
      <c r="F20" s="133"/>
      <c r="G20" s="133"/>
      <c r="H20" s="133"/>
      <c r="I20" s="133"/>
      <c r="J20" s="133"/>
      <c r="K20" s="133"/>
    </row>
    <row r="21" spans="1:12" ht="15.95" customHeight="1">
      <c r="A21" s="565"/>
      <c r="B21" s="565"/>
      <c r="C21" s="565"/>
      <c r="D21" s="565"/>
      <c r="E21" s="565"/>
      <c r="F21" s="649"/>
      <c r="G21" s="565"/>
      <c r="H21" s="565"/>
      <c r="I21" s="565"/>
      <c r="J21" s="565"/>
      <c r="K21" s="565"/>
    </row>
    <row r="22" spans="1:12" ht="15.95" customHeight="1">
      <c r="A22" s="135"/>
      <c r="B22" s="135"/>
      <c r="C22" s="135"/>
      <c r="D22" s="135"/>
      <c r="E22" s="136" t="str">
        <f>'INTRODUCIR DATOS'!D9</f>
        <v>GEMA GARCIA ESCUDERO</v>
      </c>
      <c r="F22" s="135"/>
      <c r="G22" s="135"/>
      <c r="H22" s="135"/>
      <c r="I22" s="135"/>
      <c r="J22" s="135"/>
      <c r="K22" s="135"/>
    </row>
    <row r="23" spans="1:12" ht="15.95" customHeight="1">
      <c r="A23" s="137"/>
      <c r="B23" s="137"/>
      <c r="C23" s="137"/>
      <c r="D23" s="137"/>
      <c r="E23" s="138" t="str">
        <f>'INTRODUCIR DATOS'!D10</f>
        <v>C/LOS HUERTOS</v>
      </c>
      <c r="F23" s="137"/>
      <c r="G23" s="137"/>
      <c r="H23" s="137"/>
      <c r="I23" s="137"/>
      <c r="J23" s="137"/>
      <c r="K23" s="137"/>
    </row>
    <row r="24" spans="1:12" ht="15.95" customHeight="1">
      <c r="A24" s="137"/>
      <c r="B24" s="137"/>
      <c r="C24" s="137"/>
      <c r="D24" s="137"/>
      <c r="E24" s="138" t="str">
        <f>'INTRODUCIR DATOS'!D11</f>
        <v>ENCINILLAS</v>
      </c>
      <c r="F24" s="137"/>
      <c r="G24" s="137"/>
      <c r="H24" s="137"/>
      <c r="I24" s="137"/>
      <c r="J24" s="137"/>
      <c r="K24" s="137"/>
    </row>
    <row r="25" spans="1:12" ht="15.95" customHeight="1">
      <c r="A25" s="139"/>
      <c r="B25" s="139"/>
      <c r="C25" s="139"/>
      <c r="D25" s="139"/>
      <c r="E25" s="138" t="str">
        <f>'INTRODUCIR DATOS'!D12</f>
        <v>ES0022000005229900QD</v>
      </c>
      <c r="F25" s="139"/>
      <c r="G25" s="139"/>
      <c r="H25" s="139"/>
      <c r="I25" s="139"/>
      <c r="J25" s="139"/>
      <c r="K25" s="139"/>
    </row>
    <row r="26" spans="1:12" ht="15.95" customHeight="1">
      <c r="A26" s="135"/>
      <c r="B26" s="135"/>
      <c r="C26" s="135"/>
      <c r="D26" s="140"/>
      <c r="E26" s="141"/>
      <c r="F26" s="141"/>
      <c r="G26" s="141"/>
      <c r="H26" s="140"/>
      <c r="I26" s="135"/>
      <c r="J26" s="135"/>
      <c r="K26" s="135"/>
    </row>
    <row r="27" spans="1:12" ht="13.5" customHeight="1">
      <c r="A27" s="135"/>
      <c r="B27" s="135"/>
      <c r="C27" s="135"/>
      <c r="D27" s="140"/>
      <c r="E27" s="141"/>
      <c r="F27" s="141"/>
      <c r="G27" s="141"/>
      <c r="H27" s="140"/>
      <c r="I27" s="135"/>
      <c r="J27" s="135"/>
      <c r="K27" s="135"/>
    </row>
    <row r="28" spans="1:12" ht="13.5" customHeight="1">
      <c r="A28" s="567" t="s">
        <v>106</v>
      </c>
      <c r="B28" s="568"/>
      <c r="C28" s="568"/>
      <c r="D28" s="82"/>
      <c r="E28"/>
      <c r="F28"/>
      <c r="G28"/>
      <c r="H28"/>
      <c r="I28"/>
      <c r="J28"/>
      <c r="K28"/>
      <c r="L28"/>
    </row>
    <row r="29" spans="1:12" ht="13.5" customHeight="1">
      <c r="A29"/>
      <c r="B29"/>
      <c r="C29"/>
      <c r="D29"/>
      <c r="E29"/>
      <c r="F29"/>
      <c r="G29"/>
      <c r="H29"/>
      <c r="I29"/>
      <c r="J29"/>
      <c r="K29"/>
      <c r="L29"/>
    </row>
    <row r="30" spans="1:12" ht="13.5" customHeight="1">
      <c r="A30"/>
      <c r="B30"/>
      <c r="C30"/>
      <c r="D30"/>
      <c r="E30"/>
      <c r="F30"/>
      <c r="G30"/>
      <c r="H30"/>
      <c r="I30"/>
      <c r="J30"/>
      <c r="K30"/>
      <c r="L30"/>
    </row>
    <row r="31" spans="1:12" ht="13.5" customHeight="1">
      <c r="A31"/>
      <c r="B31"/>
      <c r="C31"/>
      <c r="D31"/>
      <c r="E31"/>
      <c r="F31"/>
      <c r="G31"/>
      <c r="H31"/>
      <c r="I31"/>
      <c r="J31"/>
      <c r="K31"/>
      <c r="L31"/>
    </row>
    <row r="32" spans="1:12" ht="13.5" customHeight="1">
      <c r="A32"/>
      <c r="B32"/>
      <c r="C32"/>
      <c r="D32"/>
      <c r="E32"/>
      <c r="F32"/>
      <c r="G32"/>
      <c r="H32"/>
      <c r="I32"/>
      <c r="J32"/>
      <c r="K32"/>
      <c r="L32"/>
    </row>
    <row r="33" spans="1:12" ht="13.5" customHeight="1">
      <c r="A33"/>
      <c r="B33"/>
      <c r="C33"/>
      <c r="D33"/>
      <c r="E33"/>
      <c r="F33"/>
      <c r="G33"/>
      <c r="H33"/>
      <c r="I33"/>
      <c r="J33"/>
      <c r="K33"/>
      <c r="L33"/>
    </row>
    <row r="34" spans="1:12" ht="13.5" customHeight="1">
      <c r="A34"/>
      <c r="B34"/>
      <c r="C34"/>
      <c r="D34"/>
      <c r="E34"/>
      <c r="F34"/>
      <c r="G34"/>
      <c r="H34"/>
      <c r="I34"/>
      <c r="J34"/>
      <c r="K34"/>
      <c r="L34"/>
    </row>
    <row r="35" spans="1:12" ht="13.5" customHeight="1">
      <c r="A35" s="556" t="s">
        <v>107</v>
      </c>
      <c r="B35" s="556"/>
      <c r="C35" s="556"/>
      <c r="D35" s="556"/>
      <c r="E35" s="556"/>
      <c r="F35" s="556"/>
      <c r="G35" s="556"/>
      <c r="H35" s="556"/>
      <c r="I35" s="556"/>
      <c r="J35" s="556"/>
      <c r="K35" s="556"/>
    </row>
    <row r="36" spans="1:12" ht="13.5" customHeight="1">
      <c r="A36" s="557" t="s">
        <v>108</v>
      </c>
      <c r="B36" s="558"/>
      <c r="C36" s="558"/>
      <c r="D36" s="558"/>
      <c r="E36" s="558"/>
      <c r="F36" s="558"/>
      <c r="G36" s="558"/>
      <c r="H36" s="558"/>
      <c r="I36" s="558"/>
      <c r="J36" s="558"/>
      <c r="K36" s="558"/>
      <c r="L36"/>
    </row>
    <row r="37" spans="1:12" ht="13.5" customHeight="1">
      <c r="A37" s="142"/>
    </row>
    <row r="38" spans="1:12" ht="13.5" customHeight="1">
      <c r="B38" s="143"/>
      <c r="C38" s="143"/>
      <c r="D38" s="143"/>
      <c r="E38" s="143"/>
      <c r="F38" s="143"/>
      <c r="G38" s="143"/>
      <c r="H38" s="143"/>
      <c r="I38" s="143"/>
      <c r="J38" s="143"/>
      <c r="K38" s="143"/>
    </row>
    <row r="39" spans="1:12" ht="13.5" customHeight="1">
      <c r="B39" s="15"/>
      <c r="C39" s="15"/>
      <c r="D39" s="15"/>
      <c r="E39" s="15"/>
      <c r="F39" s="559" t="s">
        <v>109</v>
      </c>
      <c r="G39" s="559"/>
      <c r="H39" s="560" t="str">
        <f>'INTRODUCIR DATOS'!$D$9</f>
        <v>GEMA GARCIA ESCUDERO</v>
      </c>
      <c r="I39" s="560"/>
      <c r="J39" s="560"/>
      <c r="K39" s="560"/>
    </row>
    <row r="40" spans="1:12" ht="13.5" customHeight="1">
      <c r="B40" s="143"/>
      <c r="C40" s="15"/>
      <c r="D40" s="15"/>
      <c r="E40" s="15"/>
      <c r="F40" s="559" t="s">
        <v>110</v>
      </c>
      <c r="G40" s="559"/>
      <c r="H40" s="560" t="str">
        <f>'INTRODUCIR DATOS'!$D$10</f>
        <v>C/LOS HUERTOS</v>
      </c>
      <c r="I40" s="560"/>
      <c r="J40" s="560"/>
      <c r="K40" s="560"/>
    </row>
    <row r="41" spans="1:12" ht="13.5" customHeight="1">
      <c r="B41" s="143"/>
      <c r="C41" s="15"/>
      <c r="D41" s="15"/>
      <c r="E41" s="15"/>
      <c r="F41" s="559" t="s">
        <v>111</v>
      </c>
      <c r="G41" s="559"/>
      <c r="H41" s="560" t="str">
        <f>'INTRODUCIR DATOS'!$D$11</f>
        <v>ENCINILLAS</v>
      </c>
      <c r="I41" s="560"/>
      <c r="J41" s="560"/>
      <c r="K41" s="560"/>
    </row>
    <row r="42" spans="1:12" ht="13.5" customHeight="1">
      <c r="B42" s="15"/>
      <c r="C42" s="15"/>
      <c r="D42" s="15"/>
      <c r="E42" s="15"/>
      <c r="F42" s="559" t="s">
        <v>112</v>
      </c>
      <c r="G42" s="559"/>
      <c r="H42" s="558" t="str">
        <f>'INTRODUCIR DATOS'!D18</f>
        <v>2.0TD</v>
      </c>
      <c r="I42" s="558"/>
      <c r="J42" s="558"/>
      <c r="K42" s="558"/>
    </row>
    <row r="43" spans="1:12" ht="13.5" customHeight="1">
      <c r="B43" s="15"/>
      <c r="C43" s="15"/>
      <c r="D43" s="15"/>
      <c r="E43" s="15"/>
      <c r="F43" s="559" t="s">
        <v>113</v>
      </c>
      <c r="G43" s="559"/>
      <c r="H43" s="561">
        <f>'INTRODUCIR DATOS'!D13</f>
        <v>32</v>
      </c>
      <c r="I43" s="561"/>
      <c r="J43" s="561"/>
      <c r="K43" s="561"/>
    </row>
    <row r="44" spans="1:12" ht="13.5" customHeight="1">
      <c r="B44" s="15"/>
      <c r="C44" s="15"/>
      <c r="D44" s="15"/>
      <c r="E44" s="15"/>
      <c r="F44" s="15"/>
      <c r="G44" s="15"/>
      <c r="H44" s="15"/>
      <c r="I44" s="15"/>
      <c r="J44" s="15"/>
      <c r="K44" s="15"/>
    </row>
    <row r="45" spans="1:12" ht="13.5" customHeight="1">
      <c r="B45" s="15"/>
      <c r="C45" s="15"/>
      <c r="D45" s="15"/>
      <c r="E45" s="15"/>
      <c r="F45" s="15"/>
      <c r="G45" s="15"/>
      <c r="H45" s="15"/>
      <c r="I45" s="15"/>
      <c r="J45" s="15"/>
      <c r="K45" s="15"/>
    </row>
    <row r="46" spans="1:12" ht="13.5" customHeight="1">
      <c r="B46" s="83" t="s">
        <v>114</v>
      </c>
      <c r="C46" s="83" t="str">
        <f>'INTRODUCIR DATOS'!O12</f>
        <v>T0</v>
      </c>
      <c r="D46" s="2"/>
      <c r="E46" s="2"/>
      <c r="F46" s="2"/>
      <c r="G46" s="2"/>
      <c r="H46" s="2"/>
      <c r="I46" s="2"/>
      <c r="J46" s="2"/>
      <c r="K46" s="16"/>
    </row>
    <row r="47" spans="1:12" ht="13.5" customHeight="1">
      <c r="B47" s="84"/>
      <c r="C47" s="84"/>
      <c r="D47" s="3" t="s">
        <v>115</v>
      </c>
      <c r="E47" s="3" t="s">
        <v>116</v>
      </c>
      <c r="F47" s="3" t="s">
        <v>60</v>
      </c>
      <c r="G47" s="3" t="s">
        <v>62</v>
      </c>
      <c r="H47" s="3" t="s">
        <v>63</v>
      </c>
      <c r="I47" s="3" t="s">
        <v>65</v>
      </c>
      <c r="J47" s="3"/>
      <c r="K47" s="143"/>
    </row>
    <row r="48" spans="1:12" ht="13.5" customHeight="1">
      <c r="B48" s="84"/>
      <c r="C48" s="4" t="s">
        <v>117</v>
      </c>
      <c r="D48" s="14" t="b">
        <f>IF(AND('RESULTADO INDEXADO'!$A$2="AUDAX",$H$42='RESULTADO INDEXADO'!$C$2,$C$46='RESULTADO INDEXADO'!$B$2,'INTRODUCIR DATOS'!$E$25&lt;=10),'RESULTADO INDEXADO'!E2,IF(AND('RESULTADO INDEXADO'!$A$4="AUDAX",$H$42='RESULTADO INDEXADO'!$C$4,$C$46='RESULTADO INDEXADO'!$B$4,'INTRODUCIR DATOS'!$E$25&gt;10,'INTRODUCIR DATOS'!$E$25&lt;=15),'RESULTADO INDEXADO'!E4,IF(AND('RESULTADO INDEXADO'!$A$6="AUDAX",$H$42='RESULTADO INDEXADO'!$C$6,$C$46='RESULTADO INDEXADO'!$B$6,'INTRODUCIR DATOS'!$E$25&lt;=10),'RESULTADO INDEXADO'!E6,IF(AND('RESULTADO INDEXADO'!$A$8="AUDAX",$H$42='RESULTADO INDEXADO'!$C$8,$C$46='RESULTADO INDEXADO'!$B$8,'INTRODUCIR DATOS'!$E$25&gt;10,'INTRODUCIR DATOS'!$E$25&lt;=15),'RESULTADO INDEXADO'!E8,IF(AND('RESULTADO INDEXADO'!$A$10="AUDAX",$H$42='RESULTADO INDEXADO'!$C$10,$C$46='RESULTADO INDEXADO'!$B$10,'INTRODUCIR DATOS'!$E$25&lt;=10),'RESULTADO INDEXADO'!E10,IF(AND('RESULTADO INDEXADO'!$A$12="AUDAX",$H$42='RESULTADO INDEXADO'!$C$12,$C$46='RESULTADO INDEXADO'!$B$12,'INTRODUCIR DATOS'!$E$25&gt;10,'INTRODUCIR DATOS'!$E$25&lt;=15),'RESULTADO INDEXADO'!E12,IF(AND('RESULTADO INDEXADO'!$A$14="AUDAX",$H$42='RESULTADO INDEXADO'!$C$14,$C$46='RESULTADO INDEXADO'!$B$14,'INTRODUCIR DATOS'!$E$25&lt;=10),'RESULTADO INDEXADO'!E14,IF(AND('RESULTADO INDEXADO'!$A$16="AUDAX",$H$42='RESULTADO INDEXADO'!$C$16,$C$46='RESULTADO INDEXADO'!$B$16,'INTRODUCIR DATOS'!$E$25&gt;10,'INTRODUCIR DATOS'!$E$25&lt;=15),'RESULTADO INDEXADO'!E16,IF(AND('RESULTADO INDEXADO'!$A$18="AUDAX",$H$42='RESULTADO INDEXADO'!$C$18,$C$46='RESULTADO INDEXADO'!$B$18,'INTRODUCIR DATOS'!$E$25&lt;=10),'RESULTADO INDEXADO'!E18,IF(AND('RESULTADO INDEXADO'!$A$20="AUDAX",$H$42='RESULTADO INDEXADO'!$C$20,$C$46='RESULTADO INDEXADO'!$B$20,'INTRODUCIR DATOS'!$E$25&gt;10,'INTRODUCIR DATOS'!$E$25&lt;=15),'RESULTADO INDEXADO'!E20,IF(AND('RESULTADO INDEXADO'!$A$22="AUDAX",$H$42='RESULTADO INDEXADO'!$C$22,$C$46='RESULTADO INDEXADO'!$B$22),'RESULTADO INDEXADO'!E22,IF(AND('RESULTADO INDEXADO'!$A$24="AUDAX",$H$42='RESULTADO INDEXADO'!$C$24,$C$46='RESULTADO INDEXADO'!$B$24),'RESULTADO INDEXADO'!E24,IF(AND('RESULTADO INDEXADO'!$A$26="AUDAX",$H$42='RESULTADO INDEXADO'!$C$26,$C$46='RESULTADO INDEXADO'!$B$26),'RESULTADO INDEXADO'!E26,IF(AND('RESULTADO INDEXADO'!$A$28="AUDAX",$H$42='RESULTADO INDEXADO'!$C$28,$C$46='RESULTADO INDEXADO'!$B$28),'RESULTADO INDEXADO'!E28,IF(AND('RESULTADO INDEXADO'!$A$30="AUDAX",$H$42='RESULTADO INDEXADO'!$C$30,$C$46='RESULTADO INDEXADO'!$B$30),'RESULTADO INDEXADO'!E30,IF(AND('RESULTADO INDEXADO'!$A$32="AUDAX",$H$42='RESULTADO INDEXADO'!$C$32,$C$46='RESULTADO INDEXADO'!$B$32),'RESULTADO INDEXADO'!E32,IF(AND('RESULTADO INDEXADO'!$A$34="AUDAX",$H$42='RESULTADO INDEXADO'!$C$34,$C$46='RESULTADO INDEXADO'!$B$34),'RESULTADO INDEXADO'!E34,IF(AND('RESULTADO INDEXADO'!$A$36="AUDAX",$H$42='RESULTADO INDEXADO'!$C$36,$C$46='RESULTADO INDEXADO'!$B$36),'RESULTADO INDEXADO'!E36,IF(AND('RESULTADO INDEXADO'!$A$38="AUDAX",$H$42='RESULTADO INDEXADO'!$C$38,$C$46='RESULTADO INDEXADO'!$B$38),'RESULTADO INDEXADO'!E38,IF(AND('RESULTADO INDEXADO'!$A$40="AUDAX",$H$42='RESULTADO INDEXADO'!$C$40,$C$46='RESULTADO INDEXADO'!$B$40),'RESULTADO INDEXADO'!E40,""))))))))))))))))))))</f>
        <v>0</v>
      </c>
      <c r="E48" s="14" t="b">
        <f>IF(AND('RESULTADO INDEXADO'!$A$2="AUDAX",$H$42='RESULTADO INDEXADO'!$C$2,$C$46='RESULTADO INDEXADO'!$B$2,'INTRODUCIR DATOS'!$E$25&lt;=10),'RESULTADO INDEXADO'!F2,IF(AND('RESULTADO INDEXADO'!$A$4="AUDAX",$H$42='RESULTADO INDEXADO'!$C$4,$C$46='RESULTADO INDEXADO'!$B$4,'INTRODUCIR DATOS'!$E$25&gt;10,'INTRODUCIR DATOS'!$E$25&lt;=15),'RESULTADO INDEXADO'!F4,IF(AND('RESULTADO INDEXADO'!$A$6="AUDAX",$H$42='RESULTADO INDEXADO'!$C$6,$C$46='RESULTADO INDEXADO'!$B$6,'INTRODUCIR DATOS'!$E$25&lt;=10),'RESULTADO INDEXADO'!F6,IF(AND('RESULTADO INDEXADO'!$A$8="AUDAX",$H$42='RESULTADO INDEXADO'!$C$8,$C$46='RESULTADO INDEXADO'!$B$8,'INTRODUCIR DATOS'!$E$25&gt;10,'INTRODUCIR DATOS'!$E$25&lt;=15),'RESULTADO INDEXADO'!F8,IF(AND('RESULTADO INDEXADO'!$A$10="AUDAX",$H$42='RESULTADO INDEXADO'!$C$10,$C$46='RESULTADO INDEXADO'!$B$10,'INTRODUCIR DATOS'!$E$25&lt;=10),'RESULTADO INDEXADO'!F10,IF(AND('RESULTADO INDEXADO'!$A$12="AUDAX",$H$42='RESULTADO INDEXADO'!$C$12,$C$46='RESULTADO INDEXADO'!$B$12,'INTRODUCIR DATOS'!$E$25&gt;10,'INTRODUCIR DATOS'!$E$25&lt;=15),'RESULTADO INDEXADO'!F12,IF(AND('RESULTADO INDEXADO'!$A$14="AUDAX",$H$42='RESULTADO INDEXADO'!$C$14,$C$46='RESULTADO INDEXADO'!$B$14,'INTRODUCIR DATOS'!$E$25&lt;=10),'RESULTADO INDEXADO'!F14,IF(AND('RESULTADO INDEXADO'!$A$16="AUDAX",$H$42='RESULTADO INDEXADO'!$C$16,$C$46='RESULTADO INDEXADO'!$B$16,'INTRODUCIR DATOS'!$E$25&gt;10,'INTRODUCIR DATOS'!$E$25&lt;=15),'RESULTADO INDEXADO'!F16,IF(AND('RESULTADO INDEXADO'!$A$18="AUDAX",$H$42='RESULTADO INDEXADO'!$C$18,$C$46='RESULTADO INDEXADO'!$B$18,'INTRODUCIR DATOS'!$E$25&lt;=10),'RESULTADO INDEXADO'!F18,IF(AND('RESULTADO INDEXADO'!$A$20="AUDAX",$H$42='RESULTADO INDEXADO'!$C$20,$C$46='RESULTADO INDEXADO'!$B$20,'INTRODUCIR DATOS'!$E$25&gt;10,'INTRODUCIR DATOS'!$E$25&lt;=15),'RESULTADO INDEXADO'!F20,IF(AND('RESULTADO INDEXADO'!$A$22="AUDAX",$H$42='RESULTADO INDEXADO'!$C$22,$C$46='RESULTADO INDEXADO'!$B$22),'RESULTADO INDEXADO'!F22,IF(AND('RESULTADO INDEXADO'!$A$24="AUDAX",$H$42='RESULTADO INDEXADO'!$C$24,$C$46='RESULTADO INDEXADO'!$B$24),'RESULTADO INDEXADO'!F24,IF(AND('RESULTADO INDEXADO'!$A$26="AUDAX",$H$42='RESULTADO INDEXADO'!$C$26,$C$46='RESULTADO INDEXADO'!$B$26),'RESULTADO INDEXADO'!F26,IF(AND('RESULTADO INDEXADO'!$A$28="AUDAX",$H$42='RESULTADO INDEXADO'!$C$28,$C$46='RESULTADO INDEXADO'!$B$28),'RESULTADO INDEXADO'!F28,IF(AND('RESULTADO INDEXADO'!$A$30="AUDAX",$H$42='RESULTADO INDEXADO'!$C$30,$C$46='RESULTADO INDEXADO'!$B$30),'RESULTADO INDEXADO'!F30,IF(AND('RESULTADO INDEXADO'!$A$32="AUDAX",$H$42='RESULTADO INDEXADO'!$C$32,$C$46='RESULTADO INDEXADO'!$B$32),'RESULTADO INDEXADO'!F32,IF(AND('RESULTADO INDEXADO'!$A$34="AUDAX",$H$42='RESULTADO INDEXADO'!$C$34,$C$46='RESULTADO INDEXADO'!$B$34),'RESULTADO INDEXADO'!F34,IF(AND('RESULTADO INDEXADO'!$A$36="AUDAX",$H$42='RESULTADO INDEXADO'!$C$36,$C$46='RESULTADO INDEXADO'!$B$36),'RESULTADO INDEXADO'!F36,IF(AND('RESULTADO INDEXADO'!$A$38="AUDAX",$H$42='RESULTADO INDEXADO'!$C$38,$C$46='RESULTADO INDEXADO'!$B$38),'RESULTADO INDEXADO'!F38,IF(AND('RESULTADO INDEXADO'!$A$40="AUDAX",$H$42='RESULTADO INDEXADO'!$C$40,$C$46='RESULTADO INDEXADO'!$B$40),'RESULTADO INDEXADO'!F40,""))))))))))))))))))))</f>
        <v>0</v>
      </c>
      <c r="F48" s="14" t="b">
        <f>IF(AND('RESULTADO INDEXADO'!$A$2="AUDAX",$H$42='RESULTADO INDEXADO'!$C$2,$C$46='RESULTADO INDEXADO'!$B$2,'INTRODUCIR DATOS'!$E$25&lt;=10),'RESULTADO INDEXADO'!G2,IF(AND('RESULTADO INDEXADO'!$A$4="AUDAX",$H$42='RESULTADO INDEXADO'!$C$4,$C$46='RESULTADO INDEXADO'!$B$4,'INTRODUCIR DATOS'!$E$25&gt;10,'INTRODUCIR DATOS'!$E$25&lt;=15),'RESULTADO INDEXADO'!G4,IF(AND('RESULTADO INDEXADO'!$A$6="AUDAX",$H$42='RESULTADO INDEXADO'!$C$6,$C$46='RESULTADO INDEXADO'!$B$6,'INTRODUCIR DATOS'!$E$25&lt;=10),'RESULTADO INDEXADO'!G6,IF(AND('RESULTADO INDEXADO'!$A$8="AUDAX",$H$42='RESULTADO INDEXADO'!$C$8,$C$46='RESULTADO INDEXADO'!$B$8,'INTRODUCIR DATOS'!$E$25&gt;10,'INTRODUCIR DATOS'!$E$25&lt;=15),'RESULTADO INDEXADO'!G8,IF(AND('RESULTADO INDEXADO'!$A$10="AUDAX",$H$42='RESULTADO INDEXADO'!$C$10,$C$46='RESULTADO INDEXADO'!$B$10,'INTRODUCIR DATOS'!$E$25&lt;=10),'RESULTADO INDEXADO'!G10,IF(AND('RESULTADO INDEXADO'!$A$12="AUDAX",$H$42='RESULTADO INDEXADO'!$C$12,$C$46='RESULTADO INDEXADO'!$B$12,'INTRODUCIR DATOS'!$E$25&gt;10,'INTRODUCIR DATOS'!$E$25&lt;=15),'RESULTADO INDEXADO'!G12,IF(AND('RESULTADO INDEXADO'!$A$14="AUDAX",$H$42='RESULTADO INDEXADO'!$C$14,$C$46='RESULTADO INDEXADO'!$B$14,'INTRODUCIR DATOS'!$E$25&lt;=10),'RESULTADO INDEXADO'!G14,IF(AND('RESULTADO INDEXADO'!$A$16="AUDAX",$H$42='RESULTADO INDEXADO'!$C$16,$C$46='RESULTADO INDEXADO'!$B$16,'INTRODUCIR DATOS'!$E$25&gt;10,'INTRODUCIR DATOS'!$E$25&lt;=15),'RESULTADO INDEXADO'!G16,IF(AND('RESULTADO INDEXADO'!$A$18="AUDAX",$H$42='RESULTADO INDEXADO'!$C$18,$C$46='RESULTADO INDEXADO'!$B$18,'INTRODUCIR DATOS'!$E$25&lt;=10),'RESULTADO INDEXADO'!G18,IF(AND('RESULTADO INDEXADO'!$A$20="AUDAX",$H$42='RESULTADO INDEXADO'!$C$20,$C$46='RESULTADO INDEXADO'!$B$20,'INTRODUCIR DATOS'!$E$25&gt;10,'INTRODUCIR DATOS'!$E$25&lt;=15),'RESULTADO INDEXADO'!G20,IF(AND('RESULTADO INDEXADO'!$A$22="AUDAX",$H$42='RESULTADO INDEXADO'!$C$22,$C$46='RESULTADO INDEXADO'!$B$22),'RESULTADO INDEXADO'!G22,IF(AND('RESULTADO INDEXADO'!$A$24="AUDAX",$H$42='RESULTADO INDEXADO'!$C$24,$C$46='RESULTADO INDEXADO'!$B$24),'RESULTADO INDEXADO'!G24,IF(AND('RESULTADO INDEXADO'!$A$26="AUDAX",$H$42='RESULTADO INDEXADO'!$C$26,$C$46='RESULTADO INDEXADO'!$B$26),'RESULTADO INDEXADO'!G26,IF(AND('RESULTADO INDEXADO'!$A$28="AUDAX",$H$42='RESULTADO INDEXADO'!$C$28,$C$46='RESULTADO INDEXADO'!$B$28),'RESULTADO INDEXADO'!G28,IF(AND('RESULTADO INDEXADO'!$A$30="AUDAX",$H$42='RESULTADO INDEXADO'!$C$30,$C$46='RESULTADO INDEXADO'!$B$30),'RESULTADO INDEXADO'!G30,IF(AND('RESULTADO INDEXADO'!$A$32="AUDAX",$H$42='RESULTADO INDEXADO'!$C$32,$C$46='RESULTADO INDEXADO'!$B$32),'RESULTADO INDEXADO'!G32,IF(AND('RESULTADO INDEXADO'!$A$34="AUDAX",$H$42='RESULTADO INDEXADO'!$C$34,$C$46='RESULTADO INDEXADO'!$B$34),'RESULTADO INDEXADO'!G34,IF(AND('RESULTADO INDEXADO'!$A$36="AUDAX",$H$42='RESULTADO INDEXADO'!$C$36,$C$46='RESULTADO INDEXADO'!$B$36),'RESULTADO INDEXADO'!G36,IF(AND('RESULTADO INDEXADO'!$A$38="AUDAX",$H$42='RESULTADO INDEXADO'!$C$38,$C$46='RESULTADO INDEXADO'!$B$38),'RESULTADO INDEXADO'!G38,IF(AND('RESULTADO INDEXADO'!$A$40="AUDAX",$H$42='RESULTADO INDEXADO'!$C$40,$C$46='RESULTADO INDEXADO'!$B$40),'RESULTADO INDEXADO'!G40,""))))))))))))))))))))</f>
        <v>0</v>
      </c>
      <c r="G48" s="14" t="b">
        <f>IF(AND('RESULTADO INDEXADO'!$A$2="AUDAX",$H$42='RESULTADO INDEXADO'!$C$2,$C$46='RESULTADO INDEXADO'!$B$2,'INTRODUCIR DATOS'!$E$25&lt;=10),'RESULTADO INDEXADO'!H2,IF(AND('RESULTADO INDEXADO'!$A$4="AUDAX",$H$42='RESULTADO INDEXADO'!$C$4,$C$46='RESULTADO INDEXADO'!$B$4,'INTRODUCIR DATOS'!$E$25&gt;10,'INTRODUCIR DATOS'!$E$25&lt;=15),'RESULTADO INDEXADO'!H4,IF(AND('RESULTADO INDEXADO'!$A$6="AUDAX",$H$42='RESULTADO INDEXADO'!$C$6,$C$46='RESULTADO INDEXADO'!$B$6,'INTRODUCIR DATOS'!$E$25&lt;=10),'RESULTADO INDEXADO'!H6,IF(AND('RESULTADO INDEXADO'!$A$8="AUDAX",$H$42='RESULTADO INDEXADO'!$C$8,$C$46='RESULTADO INDEXADO'!$B$8,'INTRODUCIR DATOS'!$E$25&gt;10,'INTRODUCIR DATOS'!$E$25&lt;=15),'RESULTADO INDEXADO'!H8,IF(AND('RESULTADO INDEXADO'!$A$10="AUDAX",$H$42='RESULTADO INDEXADO'!$C$10,$C$46='RESULTADO INDEXADO'!$B$10,'INTRODUCIR DATOS'!$E$25&lt;=10),'RESULTADO INDEXADO'!H10,IF(AND('RESULTADO INDEXADO'!$A$12="AUDAX",$H$42='RESULTADO INDEXADO'!$C$12,$C$46='RESULTADO INDEXADO'!$B$12,'INTRODUCIR DATOS'!$E$25&gt;10,'INTRODUCIR DATOS'!$E$25&lt;=15),'RESULTADO INDEXADO'!H12,IF(AND('RESULTADO INDEXADO'!$A$14="AUDAX",$H$42='RESULTADO INDEXADO'!$C$14,$C$46='RESULTADO INDEXADO'!$B$14,'INTRODUCIR DATOS'!$E$25&lt;=10),'RESULTADO INDEXADO'!H14,IF(AND('RESULTADO INDEXADO'!$A$16="AUDAX",$H$42='RESULTADO INDEXADO'!$C$16,$C$46='RESULTADO INDEXADO'!$B$16,'INTRODUCIR DATOS'!$E$25&gt;10,'INTRODUCIR DATOS'!$E$25&lt;=15),'RESULTADO INDEXADO'!H16,IF(AND('RESULTADO INDEXADO'!$A$18="AUDAX",$H$42='RESULTADO INDEXADO'!$C$18,$C$46='RESULTADO INDEXADO'!$B$18,'INTRODUCIR DATOS'!$E$25&lt;=10),'RESULTADO INDEXADO'!H18,IF(AND('RESULTADO INDEXADO'!$A$20="AUDAX",$H$42='RESULTADO INDEXADO'!$C$20,$C$46='RESULTADO INDEXADO'!$B$20,'INTRODUCIR DATOS'!$E$25&gt;10,'INTRODUCIR DATOS'!$E$25&lt;=15),'RESULTADO INDEXADO'!H20,IF(AND('RESULTADO INDEXADO'!$A$22="AUDAX",$H$42='RESULTADO INDEXADO'!$C$22,$C$46='RESULTADO INDEXADO'!$B$22),'RESULTADO INDEXADO'!H22,IF(AND('RESULTADO INDEXADO'!$A$24="AUDAX",$H$42='RESULTADO INDEXADO'!$C$24,$C$46='RESULTADO INDEXADO'!$B$24),'RESULTADO INDEXADO'!H24,IF(AND('RESULTADO INDEXADO'!$A$26="AUDAX",$H$42='RESULTADO INDEXADO'!$C$26,$C$46='RESULTADO INDEXADO'!$B$26),'RESULTADO INDEXADO'!H26,IF(AND('RESULTADO INDEXADO'!$A$28="AUDAX",$H$42='RESULTADO INDEXADO'!$C$28,$C$46='RESULTADO INDEXADO'!$B$28),'RESULTADO INDEXADO'!H28,IF(AND('RESULTADO INDEXADO'!$A$30="AUDAX",$H$42='RESULTADO INDEXADO'!$C$30,$C$46='RESULTADO INDEXADO'!$B$30),'RESULTADO INDEXADO'!H30,IF(AND('RESULTADO INDEXADO'!$A$32="AUDAX",$H$42='RESULTADO INDEXADO'!$C$32,$C$46='RESULTADO INDEXADO'!$B$32),'RESULTADO INDEXADO'!H32,IF(AND('RESULTADO INDEXADO'!$A$34="AUDAX",$H$42='RESULTADO INDEXADO'!$C$34,$C$46='RESULTADO INDEXADO'!$B$34),'RESULTADO INDEXADO'!H34,IF(AND('RESULTADO INDEXADO'!$A$36="AUDAX",$H$42='RESULTADO INDEXADO'!$C$36,$C$46='RESULTADO INDEXADO'!$B$36),'RESULTADO INDEXADO'!H36,IF(AND('RESULTADO INDEXADO'!$A$38="AUDAX",$H$42='RESULTADO INDEXADO'!$C$38,$C$46='RESULTADO INDEXADO'!$B$38),'RESULTADO INDEXADO'!H38,IF(AND('RESULTADO INDEXADO'!$A$40="AUDAX",$H$42='RESULTADO INDEXADO'!$C$40,$C$46='RESULTADO INDEXADO'!$B$40),'RESULTADO INDEXADO'!H40,""))))))))))))))))))))</f>
        <v>0</v>
      </c>
      <c r="H48" s="14" t="b">
        <f>IF(AND('RESULTADO INDEXADO'!$A$2="AUDAX",$H$42='RESULTADO INDEXADO'!$C$2,$C$46='RESULTADO INDEXADO'!$B$2,'INTRODUCIR DATOS'!$E$25&lt;=10),'RESULTADO INDEXADO'!I2,IF(AND('RESULTADO INDEXADO'!$A$4="AUDAX",$H$42='RESULTADO INDEXADO'!$C$4,$C$46='RESULTADO INDEXADO'!$B$4,'INTRODUCIR DATOS'!$E$25&gt;10,'INTRODUCIR DATOS'!$E$25&lt;=15),'RESULTADO INDEXADO'!I4,IF(AND('RESULTADO INDEXADO'!$A$6="AUDAX",$H$42='RESULTADO INDEXADO'!$C$6,$C$46='RESULTADO INDEXADO'!$B$6,'INTRODUCIR DATOS'!$E$25&lt;=10),'RESULTADO INDEXADO'!I6,IF(AND('RESULTADO INDEXADO'!$A$8="AUDAX",$H$42='RESULTADO INDEXADO'!$C$8,$C$46='RESULTADO INDEXADO'!$B$8,'INTRODUCIR DATOS'!$E$25&gt;10,'INTRODUCIR DATOS'!$E$25&lt;=15),'RESULTADO INDEXADO'!I8,IF(AND('RESULTADO INDEXADO'!$A$10="AUDAX",$H$42='RESULTADO INDEXADO'!$C$10,$C$46='RESULTADO INDEXADO'!$B$10,'INTRODUCIR DATOS'!$E$25&lt;=10),'RESULTADO INDEXADO'!I10,IF(AND('RESULTADO INDEXADO'!$A$12="AUDAX",$H$42='RESULTADO INDEXADO'!$C$12,$C$46='RESULTADO INDEXADO'!$B$12,'INTRODUCIR DATOS'!$E$25&gt;10,'INTRODUCIR DATOS'!$E$25&lt;=15),'RESULTADO INDEXADO'!I12,IF(AND('RESULTADO INDEXADO'!$A$14="AUDAX",$H$42='RESULTADO INDEXADO'!$C$14,$C$46='RESULTADO INDEXADO'!$B$14,'INTRODUCIR DATOS'!$E$25&lt;=10),'RESULTADO INDEXADO'!I14,IF(AND('RESULTADO INDEXADO'!$A$16="AUDAX",$H$42='RESULTADO INDEXADO'!$C$16,$C$46='RESULTADO INDEXADO'!$B$16,'INTRODUCIR DATOS'!$E$25&gt;10,'INTRODUCIR DATOS'!$E$25&lt;=15),'RESULTADO INDEXADO'!I16,IF(AND('RESULTADO INDEXADO'!$A$18="AUDAX",$H$42='RESULTADO INDEXADO'!$C$18,$C$46='RESULTADO INDEXADO'!$B$18,'INTRODUCIR DATOS'!$E$25&lt;=10),'RESULTADO INDEXADO'!I18,IF(AND('RESULTADO INDEXADO'!$A$20="AUDAX",$H$42='RESULTADO INDEXADO'!$C$20,$C$46='RESULTADO INDEXADO'!$B$20,'INTRODUCIR DATOS'!$E$25&gt;10,'INTRODUCIR DATOS'!$E$25&lt;=15),'RESULTADO INDEXADO'!I20,IF(AND('RESULTADO INDEXADO'!$A$22="AUDAX",$H$42='RESULTADO INDEXADO'!$C$22,$C$46='RESULTADO INDEXADO'!$B$22),'RESULTADO INDEXADO'!I22,IF(AND('RESULTADO INDEXADO'!$A$24="AUDAX",$H$42='RESULTADO INDEXADO'!$C$24,$C$46='RESULTADO INDEXADO'!$B$24),'RESULTADO INDEXADO'!I24,IF(AND('RESULTADO INDEXADO'!$A$26="AUDAX",$H$42='RESULTADO INDEXADO'!$C$26,$C$46='RESULTADO INDEXADO'!$B$26),'RESULTADO INDEXADO'!I26,IF(AND('RESULTADO INDEXADO'!$A$28="AUDAX",$H$42='RESULTADO INDEXADO'!$C$28,$C$46='RESULTADO INDEXADO'!$B$28),'RESULTADO INDEXADO'!I28,IF(AND('RESULTADO INDEXADO'!$A$30="AUDAX",$H$42='RESULTADO INDEXADO'!$C$30,$C$46='RESULTADO INDEXADO'!$B$30),'RESULTADO INDEXADO'!I30,IF(AND('RESULTADO INDEXADO'!$A$32="AUDAX",$H$42='RESULTADO INDEXADO'!$C$32,$C$46='RESULTADO INDEXADO'!$B$32),'RESULTADO INDEXADO'!I32,IF(AND('RESULTADO INDEXADO'!$A$34="AUDAX",$H$42='RESULTADO INDEXADO'!$C$34,$C$46='RESULTADO INDEXADO'!$B$34),'RESULTADO INDEXADO'!I34,IF(AND('RESULTADO INDEXADO'!$A$36="AUDAX",$H$42='RESULTADO INDEXADO'!$C$36,$C$46='RESULTADO INDEXADO'!$B$36),'RESULTADO INDEXADO'!I36,IF(AND('RESULTADO INDEXADO'!$A$38="AUDAX",$H$42='RESULTADO INDEXADO'!$C$38,$C$46='RESULTADO INDEXADO'!$B$38),'RESULTADO INDEXADO'!I38,IF(AND('RESULTADO INDEXADO'!$A$40="AUDAX",$H$42='RESULTADO INDEXADO'!$C$40,$C$46='RESULTADO INDEXADO'!$B$40),'RESULTADO INDEXADO'!I40,""))))))))))))))))))))</f>
        <v>0</v>
      </c>
      <c r="I48" s="14" t="b">
        <f>IF(AND('RESULTADO INDEXADO'!$A$2="AUDAX",$H$42='RESULTADO INDEXADO'!$C$2,$C$46='RESULTADO INDEXADO'!$B$2,'INTRODUCIR DATOS'!$E$25&lt;=10),'RESULTADO INDEXADO'!J2,IF(AND('RESULTADO INDEXADO'!$A$4="AUDAX",$H$42='RESULTADO INDEXADO'!$C$4,$C$46='RESULTADO INDEXADO'!$B$4,'INTRODUCIR DATOS'!$E$25&gt;10,'INTRODUCIR DATOS'!$E$25&lt;=15),'RESULTADO INDEXADO'!J4,IF(AND('RESULTADO INDEXADO'!$A$6="AUDAX",$H$42='RESULTADO INDEXADO'!$C$6,$C$46='RESULTADO INDEXADO'!$B$6,'INTRODUCIR DATOS'!$E$25&lt;=10),'RESULTADO INDEXADO'!J6,IF(AND('RESULTADO INDEXADO'!$A$8="AUDAX",$H$42='RESULTADO INDEXADO'!$C$8,$C$46='RESULTADO INDEXADO'!$B$8,'INTRODUCIR DATOS'!$E$25&gt;10,'INTRODUCIR DATOS'!$E$25&lt;=15),'RESULTADO INDEXADO'!J8,IF(AND('RESULTADO INDEXADO'!$A$10="AUDAX",$H$42='RESULTADO INDEXADO'!$C$10,$C$46='RESULTADO INDEXADO'!$B$10,'INTRODUCIR DATOS'!$E$25&lt;=10),'RESULTADO INDEXADO'!J10,IF(AND('RESULTADO INDEXADO'!$A$12="AUDAX",$H$42='RESULTADO INDEXADO'!$C$12,$C$46='RESULTADO INDEXADO'!$B$12,'INTRODUCIR DATOS'!$E$25&gt;10,'INTRODUCIR DATOS'!$E$25&lt;=15),'RESULTADO INDEXADO'!J12,IF(AND('RESULTADO INDEXADO'!$A$14="AUDAX",$H$42='RESULTADO INDEXADO'!$C$14,$C$46='RESULTADO INDEXADO'!$B$14,'INTRODUCIR DATOS'!$E$25&lt;=10),'RESULTADO INDEXADO'!J14,IF(AND('RESULTADO INDEXADO'!$A$16="AUDAX",$H$42='RESULTADO INDEXADO'!$C$16,$C$46='RESULTADO INDEXADO'!$B$16,'INTRODUCIR DATOS'!$E$25&gt;10,'INTRODUCIR DATOS'!$E$25&lt;=15),'RESULTADO INDEXADO'!J16,IF(AND('RESULTADO INDEXADO'!$A$18="AUDAX",$H$42='RESULTADO INDEXADO'!$C$18,$C$46='RESULTADO INDEXADO'!$B$18,'INTRODUCIR DATOS'!$E$25&lt;=10),'RESULTADO INDEXADO'!J18,IF(AND('RESULTADO INDEXADO'!$A$20="AUDAX",$H$42='RESULTADO INDEXADO'!$C$20,$C$46='RESULTADO INDEXADO'!$B$20,'INTRODUCIR DATOS'!$E$25&gt;10,'INTRODUCIR DATOS'!$E$25&lt;=15),'RESULTADO INDEXADO'!J20,IF(AND('RESULTADO INDEXADO'!$A$22="AUDAX",$H$42='RESULTADO INDEXADO'!$C$22,$C$46='RESULTADO INDEXADO'!$B$22),'RESULTADO INDEXADO'!J22,IF(AND('RESULTADO INDEXADO'!$A$24="AUDAX",$H$42='RESULTADO INDEXADO'!$C$24,$C$46='RESULTADO INDEXADO'!$B$24),'RESULTADO INDEXADO'!J24,IF(AND('RESULTADO INDEXADO'!$A$26="AUDAX",$H$42='RESULTADO INDEXADO'!$C$26,$C$46='RESULTADO INDEXADO'!$B$26),'RESULTADO INDEXADO'!J26,IF(AND('RESULTADO INDEXADO'!$A$28="AUDAX",$H$42='RESULTADO INDEXADO'!$C$28,$C$46='RESULTADO INDEXADO'!$B$28),'RESULTADO INDEXADO'!J28,IF(AND('RESULTADO INDEXADO'!$A$30="AUDAX",$H$42='RESULTADO INDEXADO'!$C$30,$C$46='RESULTADO INDEXADO'!$B$30),'RESULTADO INDEXADO'!J30,IF(AND('RESULTADO INDEXADO'!$A$32="AUDAX",$H$42='RESULTADO INDEXADO'!$C$32,$C$46='RESULTADO INDEXADO'!$B$32),'RESULTADO INDEXADO'!J32,IF(AND('RESULTADO INDEXADO'!$A$34="AUDAX",$H$42='RESULTADO INDEXADO'!$C$34,$C$46='RESULTADO INDEXADO'!$B$34),'RESULTADO INDEXADO'!J34,IF(AND('RESULTADO INDEXADO'!$A$36="AUDAX",$H$42='RESULTADO INDEXADO'!$C$36,$C$46='RESULTADO INDEXADO'!$B$36),'RESULTADO INDEXADO'!J36,IF(AND('RESULTADO INDEXADO'!$A$38="AUDAX",$H$42='RESULTADO INDEXADO'!$C$38,$C$46='RESULTADO INDEXADO'!$B$38),'RESULTADO INDEXADO'!J38,IF(AND('RESULTADO INDEXADO'!$A$40="AUDAX",$H$42='RESULTADO INDEXADO'!$C$40,$C$46='RESULTADO INDEXADO'!$B$40),'RESULTADO INDEXADO'!J40,""))))))))))))))))))))</f>
        <v>0</v>
      </c>
      <c r="K48" s="143"/>
    </row>
    <row r="49" spans="2:11" ht="13.5" customHeight="1">
      <c r="B49" s="84"/>
      <c r="C49" s="4" t="s">
        <v>118</v>
      </c>
      <c r="D49" s="14" t="b">
        <f>IF(AND('RESULTADO INDEXADO'!$A$2="AUDAX",$H$42='RESULTADO INDEXADO'!$C$2,$C$46='RESULTADO INDEXADO'!$B$2,'INTRODUCIR DATOS'!$E$25&lt;=10),'RESULTADO INDEXADO'!E3,IF(AND('RESULTADO INDEXADO'!$A$4="AUDAX",$H$42='RESULTADO INDEXADO'!$C$4,$C$46='RESULTADO INDEXADO'!$B$4,'INTRODUCIR DATOS'!$E$25&gt;10,'INTRODUCIR DATOS'!$E$25&lt;=15),'RESULTADO INDEXADO'!E5,IF(AND('RESULTADO INDEXADO'!$A$6="AUDAX",$H$42='RESULTADO INDEXADO'!$C$6,$C$46='RESULTADO INDEXADO'!$B$6,'INTRODUCIR DATOS'!$E$25&lt;=10),'RESULTADO INDEXADO'!E7,IF(AND('RESULTADO INDEXADO'!$A$8="AUDAX",$H$42='RESULTADO INDEXADO'!$C$8,$C$46='RESULTADO INDEXADO'!$B$8,'INTRODUCIR DATOS'!$E$25&gt;10,'INTRODUCIR DATOS'!$E$25&lt;=15),'RESULTADO INDEXADO'!E9,IF(AND('RESULTADO INDEXADO'!$A$10="AUDAX",$H$42='RESULTADO INDEXADO'!$C$10,$C$46='RESULTADO INDEXADO'!$B$10,'INTRODUCIR DATOS'!$E$25&lt;=10),'RESULTADO INDEXADO'!E11,IF(AND('RESULTADO INDEXADO'!$A$12="AUDAX",$H$42='RESULTADO INDEXADO'!$C$12,$C$46='RESULTADO INDEXADO'!$B$12,'INTRODUCIR DATOS'!$E$25&gt;10,'INTRODUCIR DATOS'!$E$25&lt;=15),'RESULTADO INDEXADO'!E13,IF(AND('RESULTADO INDEXADO'!$A$14="AUDAX",$H$42='RESULTADO INDEXADO'!$C$14,$C$46='RESULTADO INDEXADO'!$B$14,'INTRODUCIR DATOS'!$E$25&lt;=10),'RESULTADO INDEXADO'!E15,IF(AND('RESULTADO INDEXADO'!$A$16="AUDAX",$H$42='RESULTADO INDEXADO'!$C$16,$C$46='RESULTADO INDEXADO'!$B$16,'INTRODUCIR DATOS'!$E$25&gt;10,'INTRODUCIR DATOS'!$E$25&lt;=15),'RESULTADO INDEXADO'!E17,IF(AND('RESULTADO INDEXADO'!$A$18="AUDAX",$H$42='RESULTADO INDEXADO'!$C$18,$C$46='RESULTADO INDEXADO'!$B$18,'INTRODUCIR DATOS'!$E$25&lt;=10),'RESULTADO INDEXADO'!E19,IF(AND('RESULTADO INDEXADO'!$A$20="AUDAX",$H$42='RESULTADO INDEXADO'!$C$20,$C$46='RESULTADO INDEXADO'!$B$20,'INTRODUCIR DATOS'!$E$25&gt;10,'INTRODUCIR DATOS'!$E$25&lt;=15),'RESULTADO INDEXADO'!E21,IF(AND('RESULTADO INDEXADO'!$A$22="AUDAX",$H$42='RESULTADO INDEXADO'!$C$22,$C$46='RESULTADO INDEXADO'!$B$22),'RESULTADO INDEXADO'!E23,IF(AND('RESULTADO INDEXADO'!$A$24="AUDAX",$H$42='RESULTADO INDEXADO'!$C$24,$C$46='RESULTADO INDEXADO'!$B$24),'RESULTADO INDEXADO'!E25,IF(AND('RESULTADO INDEXADO'!$A$26="AUDAX",$H$42='RESULTADO INDEXADO'!$C$26,$C$46='RESULTADO INDEXADO'!$B$26),'RESULTADO INDEXADO'!E27,IF(AND('RESULTADO INDEXADO'!$A$28="AUDAX",$H$42='RESULTADO INDEXADO'!$C$28,$C$46='RESULTADO INDEXADO'!$B$28),'RESULTADO INDEXADO'!E29,IF(AND('RESULTADO INDEXADO'!$A$30="AUDAX",$H$42='RESULTADO INDEXADO'!$C$30,$C$46='RESULTADO INDEXADO'!$B$30),'RESULTADO INDEXADO'!E31,IF(AND('RESULTADO INDEXADO'!$A$32="AUDAX",$H$42='RESULTADO INDEXADO'!$C$32,$C$46='RESULTADO INDEXADO'!$B$32),'RESULTADO INDEXADO'!E33,IF(AND('RESULTADO INDEXADO'!$A$34="AUDAX",$H$42='RESULTADO INDEXADO'!$C$34,$C$46='RESULTADO INDEXADO'!$B$34),'RESULTADO INDEXADO'!E35,IF(AND('RESULTADO INDEXADO'!$A$36="AUDAX",$H$42='RESULTADO INDEXADO'!$C$36,$C$46='RESULTADO INDEXADO'!$B$36),'RESULTADO INDEXADO'!E37,IF(AND('RESULTADO INDEXADO'!$A$38="AUDAX",$H$42='RESULTADO INDEXADO'!$C$38,$C$46='RESULTADO INDEXADO'!$B$38),'RESULTADO INDEXADO'!E39,IF(AND('RESULTADO INDEXADO'!$A$40="AUDAX",$H$42='RESULTADO INDEXADO'!$C$40,$C$46='RESULTADO INDEXADO'!$B$40),'RESULTADO INDEXADO'!E41,""))))))))))))))))))))</f>
        <v>0</v>
      </c>
      <c r="E49" s="14" t="b">
        <f>IF(AND('RESULTADO INDEXADO'!$A$2="AUDAX",$H$42='RESULTADO INDEXADO'!$C$2,$C$46='RESULTADO INDEXADO'!$B$2,'INTRODUCIR DATOS'!$E$25&lt;=10),'RESULTADO INDEXADO'!F3,IF(AND('RESULTADO INDEXADO'!$A$4="AUDAX",$H$42='RESULTADO INDEXADO'!$C$4,$C$46='RESULTADO INDEXADO'!$B$4,'INTRODUCIR DATOS'!$E$25&gt;10,'INTRODUCIR DATOS'!$E$25&lt;=15),'RESULTADO INDEXADO'!F5,IF(AND('RESULTADO INDEXADO'!$A$6="AUDAX",$H$42='RESULTADO INDEXADO'!$C$6,$C$46='RESULTADO INDEXADO'!$B$6,'INTRODUCIR DATOS'!$E$25&lt;=10),'RESULTADO INDEXADO'!F7,IF(AND('RESULTADO INDEXADO'!$A$8="AUDAX",$H$42='RESULTADO INDEXADO'!$C$8,$C$46='RESULTADO INDEXADO'!$B$8,'INTRODUCIR DATOS'!$E$25&gt;10,'INTRODUCIR DATOS'!$E$25&lt;=15),'RESULTADO INDEXADO'!F9,IF(AND('RESULTADO INDEXADO'!$A$10="AUDAX",$H$42='RESULTADO INDEXADO'!$C$10,$C$46='RESULTADO INDEXADO'!$B$10,'INTRODUCIR DATOS'!$E$25&lt;=10),'RESULTADO INDEXADO'!F11,IF(AND('RESULTADO INDEXADO'!$A$12="AUDAX",$H$42='RESULTADO INDEXADO'!$C$12,$C$46='RESULTADO INDEXADO'!$B$12,'INTRODUCIR DATOS'!$E$25&gt;10,'INTRODUCIR DATOS'!$E$25&lt;=15),'RESULTADO INDEXADO'!F13,IF(AND('RESULTADO INDEXADO'!$A$14="AUDAX",$H$42='RESULTADO INDEXADO'!$C$14,$C$46='RESULTADO INDEXADO'!$B$14,'INTRODUCIR DATOS'!$E$25&lt;=10),'RESULTADO INDEXADO'!F15,IF(AND('RESULTADO INDEXADO'!$A$16="AUDAX",$H$42='RESULTADO INDEXADO'!$C$16,$C$46='RESULTADO INDEXADO'!$B$16,'INTRODUCIR DATOS'!$E$25&gt;10,'INTRODUCIR DATOS'!$E$25&lt;=15),'RESULTADO INDEXADO'!F17,IF(AND('RESULTADO INDEXADO'!$A$18="AUDAX",$H$42='RESULTADO INDEXADO'!$C$18,$C$46='RESULTADO INDEXADO'!$B$18,'INTRODUCIR DATOS'!$E$25&lt;=10),'RESULTADO INDEXADO'!F19,IF(AND('RESULTADO INDEXADO'!$A$20="AUDAX",$H$42='RESULTADO INDEXADO'!$C$20,$C$46='RESULTADO INDEXADO'!$B$20,'INTRODUCIR DATOS'!$E$25&gt;10,'INTRODUCIR DATOS'!$E$25&lt;=15),'RESULTADO INDEXADO'!F21,IF(AND('RESULTADO INDEXADO'!$A$22="AUDAX",$H$42='RESULTADO INDEXADO'!$C$22,$C$46='RESULTADO INDEXADO'!$B$22),'RESULTADO INDEXADO'!F23,IF(AND('RESULTADO INDEXADO'!$A$24="AUDAX",$H$42='RESULTADO INDEXADO'!$C$24,$C$46='RESULTADO INDEXADO'!$B$24),'RESULTADO INDEXADO'!F25,IF(AND('RESULTADO INDEXADO'!$A$26="AUDAX",$H$42='RESULTADO INDEXADO'!$C$26,$C$46='RESULTADO INDEXADO'!$B$26),'RESULTADO INDEXADO'!F27,IF(AND('RESULTADO INDEXADO'!$A$28="AUDAX",$H$42='RESULTADO INDEXADO'!$C$28,$C$46='RESULTADO INDEXADO'!$B$28),'RESULTADO INDEXADO'!F29,IF(AND('RESULTADO INDEXADO'!$A$30="AUDAX",$H$42='RESULTADO INDEXADO'!$C$30,$C$46='RESULTADO INDEXADO'!$B$30),'RESULTADO INDEXADO'!F31,IF(AND('RESULTADO INDEXADO'!$A$32="AUDAX",$H$42='RESULTADO INDEXADO'!$C$32,$C$46='RESULTADO INDEXADO'!$B$32),'RESULTADO INDEXADO'!F33,IF(AND('RESULTADO INDEXADO'!$A$34="AUDAX",$H$42='RESULTADO INDEXADO'!$C$34,$C$46='RESULTADO INDEXADO'!$B$34),'RESULTADO INDEXADO'!F35,IF(AND('RESULTADO INDEXADO'!$A$36="AUDAX",$H$42='RESULTADO INDEXADO'!$C$36,$C$46='RESULTADO INDEXADO'!$B$36),'RESULTADO INDEXADO'!F37,IF(AND('RESULTADO INDEXADO'!$A$38="AUDAX",$H$42='RESULTADO INDEXADO'!$C$38,$C$46='RESULTADO INDEXADO'!$B$38),'RESULTADO INDEXADO'!F39,IF(AND('RESULTADO INDEXADO'!$A$40="AUDAX",$H$42='RESULTADO INDEXADO'!$C$40,$C$46='RESULTADO INDEXADO'!$B$40),'RESULTADO INDEXADO'!F41,""))))))))))))))))))))</f>
        <v>0</v>
      </c>
      <c r="F49" s="14" t="b">
        <f>IF(AND('RESULTADO INDEXADO'!$A$2="AUDAX",$H$42='RESULTADO INDEXADO'!$C$2,$C$46='RESULTADO INDEXADO'!$B$2,'INTRODUCIR DATOS'!$E$25&lt;=10),'RESULTADO INDEXADO'!G3,IF(AND('RESULTADO INDEXADO'!$A$4="AUDAX",$H$42='RESULTADO INDEXADO'!$C$4,$C$46='RESULTADO INDEXADO'!$B$4,'INTRODUCIR DATOS'!$E$25&gt;10,'INTRODUCIR DATOS'!$E$25&lt;=15),'RESULTADO INDEXADO'!G5,IF(AND('RESULTADO INDEXADO'!$A$6="AUDAX",$H$42='RESULTADO INDEXADO'!$C$6,$C$46='RESULTADO INDEXADO'!$B$6,'INTRODUCIR DATOS'!$E$25&lt;=10),'RESULTADO INDEXADO'!G7,IF(AND('RESULTADO INDEXADO'!$A$8="AUDAX",$H$42='RESULTADO INDEXADO'!$C$8,$C$46='RESULTADO INDEXADO'!$B$8,'INTRODUCIR DATOS'!$E$25&gt;10,'INTRODUCIR DATOS'!$E$25&lt;=15),'RESULTADO INDEXADO'!G9,IF(AND('RESULTADO INDEXADO'!$A$10="AUDAX",$H$42='RESULTADO INDEXADO'!$C$10,$C$46='RESULTADO INDEXADO'!$B$10,'INTRODUCIR DATOS'!$E$25&lt;=10),'RESULTADO INDEXADO'!G11,IF(AND('RESULTADO INDEXADO'!$A$12="AUDAX",$H$42='RESULTADO INDEXADO'!$C$12,$C$46='RESULTADO INDEXADO'!$B$12,'INTRODUCIR DATOS'!$E$25&gt;10,'INTRODUCIR DATOS'!$E$25&lt;=15),'RESULTADO INDEXADO'!G13,IF(AND('RESULTADO INDEXADO'!$A$14="AUDAX",$H$42='RESULTADO INDEXADO'!$C$14,$C$46='RESULTADO INDEXADO'!$B$14,'INTRODUCIR DATOS'!$E$25&lt;=10),'RESULTADO INDEXADO'!G15,IF(AND('RESULTADO INDEXADO'!$A$16="AUDAX",$H$42='RESULTADO INDEXADO'!$C$16,$C$46='RESULTADO INDEXADO'!$B$16,'INTRODUCIR DATOS'!$E$25&gt;10,'INTRODUCIR DATOS'!$E$25&lt;=15),'RESULTADO INDEXADO'!G17,IF(AND('RESULTADO INDEXADO'!$A$18="AUDAX",$H$42='RESULTADO INDEXADO'!$C$18,$C$46='RESULTADO INDEXADO'!$B$18,'INTRODUCIR DATOS'!$E$25&lt;=10),'RESULTADO INDEXADO'!G19,IF(AND('RESULTADO INDEXADO'!$A$20="AUDAX",$H$42='RESULTADO INDEXADO'!$C$20,$C$46='RESULTADO INDEXADO'!$B$20,'INTRODUCIR DATOS'!$E$25&gt;10,'INTRODUCIR DATOS'!$E$25&lt;=15),'RESULTADO INDEXADO'!G21,IF(AND('RESULTADO INDEXADO'!$A$22="AUDAX",$H$42='RESULTADO INDEXADO'!$C$22,$C$46='RESULTADO INDEXADO'!$B$22),'RESULTADO INDEXADO'!G23,IF(AND('RESULTADO INDEXADO'!$A$24="AUDAX",$H$42='RESULTADO INDEXADO'!$C$24,$C$46='RESULTADO INDEXADO'!$B$24),'RESULTADO INDEXADO'!G25,IF(AND('RESULTADO INDEXADO'!$A$26="AUDAX",$H$42='RESULTADO INDEXADO'!$C$26,$C$46='RESULTADO INDEXADO'!$B$26),'RESULTADO INDEXADO'!G27,IF(AND('RESULTADO INDEXADO'!$A$28="AUDAX",$H$42='RESULTADO INDEXADO'!$C$28,$C$46='RESULTADO INDEXADO'!$B$28),'RESULTADO INDEXADO'!G29,IF(AND('RESULTADO INDEXADO'!$A$30="AUDAX",$H$42='RESULTADO INDEXADO'!$C$30,$C$46='RESULTADO INDEXADO'!$B$30),'RESULTADO INDEXADO'!G31,IF(AND('RESULTADO INDEXADO'!$A$32="AUDAX",$H$42='RESULTADO INDEXADO'!$C$32,$C$46='RESULTADO INDEXADO'!$B$32),'RESULTADO INDEXADO'!G33,IF(AND('RESULTADO INDEXADO'!$A$34="AUDAX",$H$42='RESULTADO INDEXADO'!$C$34,$C$46='RESULTADO INDEXADO'!$B$34),'RESULTADO INDEXADO'!G35,IF(AND('RESULTADO INDEXADO'!$A$36="AUDAX",$H$42='RESULTADO INDEXADO'!$C$36,$C$46='RESULTADO INDEXADO'!$B$36),'RESULTADO INDEXADO'!G37,IF(AND('RESULTADO INDEXADO'!$A$38="AUDAX",$H$42='RESULTADO INDEXADO'!$C$38,$C$46='RESULTADO INDEXADO'!$B$38),'RESULTADO INDEXADO'!G39,IF(AND('RESULTADO INDEXADO'!$A$40="AUDAX",$H$42='RESULTADO INDEXADO'!$C$40,$C$46='RESULTADO INDEXADO'!$B$40),'RESULTADO INDEXADO'!G41,""))))))))))))))))))))</f>
        <v>0</v>
      </c>
      <c r="G49" s="14" t="b">
        <f>IF(AND('RESULTADO INDEXADO'!$A$2="AUDAX",$H$42='RESULTADO INDEXADO'!$C$2,$C$46='RESULTADO INDEXADO'!$B$2,'INTRODUCIR DATOS'!$E$25&lt;=10),'RESULTADO INDEXADO'!H3,IF(AND('RESULTADO INDEXADO'!$A$4="AUDAX",$H$42='RESULTADO INDEXADO'!$C$4,$C$46='RESULTADO INDEXADO'!$B$4,'INTRODUCIR DATOS'!$E$25&gt;10,'INTRODUCIR DATOS'!$E$25&lt;=15),'RESULTADO INDEXADO'!H5,IF(AND('RESULTADO INDEXADO'!$A$6="AUDAX",$H$42='RESULTADO INDEXADO'!$C$6,$C$46='RESULTADO INDEXADO'!$B$6,'INTRODUCIR DATOS'!$E$25&lt;=10),'RESULTADO INDEXADO'!H7,IF(AND('RESULTADO INDEXADO'!$A$8="AUDAX",$H$42='RESULTADO INDEXADO'!$C$8,$C$46='RESULTADO INDEXADO'!$B$8,'INTRODUCIR DATOS'!$E$25&gt;10,'INTRODUCIR DATOS'!$E$25&lt;=15),'RESULTADO INDEXADO'!H9,IF(AND('RESULTADO INDEXADO'!$A$10="AUDAX",$H$42='RESULTADO INDEXADO'!$C$10,$C$46='RESULTADO INDEXADO'!$B$10,'INTRODUCIR DATOS'!$E$25&lt;=10),'RESULTADO INDEXADO'!H11,IF(AND('RESULTADO INDEXADO'!$A$12="AUDAX",$H$42='RESULTADO INDEXADO'!$C$12,$C$46='RESULTADO INDEXADO'!$B$12,'INTRODUCIR DATOS'!$E$25&gt;10,'INTRODUCIR DATOS'!$E$25&lt;=15),'RESULTADO INDEXADO'!H13,IF(AND('RESULTADO INDEXADO'!$A$14="AUDAX",$H$42='RESULTADO INDEXADO'!$C$14,$C$46='RESULTADO INDEXADO'!$B$14,'INTRODUCIR DATOS'!$E$25&lt;=10),'RESULTADO INDEXADO'!H15,IF(AND('RESULTADO INDEXADO'!$A$16="AUDAX",$H$42='RESULTADO INDEXADO'!$C$16,$C$46='RESULTADO INDEXADO'!$B$16,'INTRODUCIR DATOS'!$E$25&gt;10,'INTRODUCIR DATOS'!$E$25&lt;=15),'RESULTADO INDEXADO'!H17,IF(AND('RESULTADO INDEXADO'!$A$18="AUDAX",$H$42='RESULTADO INDEXADO'!$C$18,$C$46='RESULTADO INDEXADO'!$B$18,'INTRODUCIR DATOS'!$E$25&lt;=10),'RESULTADO INDEXADO'!H19,IF(AND('RESULTADO INDEXADO'!$A$20="AUDAX",$H$42='RESULTADO INDEXADO'!$C$20,$C$46='RESULTADO INDEXADO'!$B$20,'INTRODUCIR DATOS'!$E$25&gt;10,'INTRODUCIR DATOS'!$E$25&lt;=15),'RESULTADO INDEXADO'!H21,IF(AND('RESULTADO INDEXADO'!$A$22="AUDAX",$H$42='RESULTADO INDEXADO'!$C$22,$C$46='RESULTADO INDEXADO'!$B$22),'RESULTADO INDEXADO'!H23,IF(AND('RESULTADO INDEXADO'!$A$24="AUDAX",$H$42='RESULTADO INDEXADO'!$C$24,$C$46='RESULTADO INDEXADO'!$B$24),'RESULTADO INDEXADO'!H25,IF(AND('RESULTADO INDEXADO'!$A$26="AUDAX",$H$42='RESULTADO INDEXADO'!$C$26,$C$46='RESULTADO INDEXADO'!$B$26),'RESULTADO INDEXADO'!H27,IF(AND('RESULTADO INDEXADO'!$A$28="AUDAX",$H$42='RESULTADO INDEXADO'!$C$28,$C$46='RESULTADO INDEXADO'!$B$28),'RESULTADO INDEXADO'!H29,IF(AND('RESULTADO INDEXADO'!$A$30="AUDAX",$H$42='RESULTADO INDEXADO'!$C$30,$C$46='RESULTADO INDEXADO'!$B$30),'RESULTADO INDEXADO'!H31,IF(AND('RESULTADO INDEXADO'!$A$32="AUDAX",$H$42='RESULTADO INDEXADO'!$C$32,$C$46='RESULTADO INDEXADO'!$B$32),'RESULTADO INDEXADO'!H33,IF(AND('RESULTADO INDEXADO'!$A$34="AUDAX",$H$42='RESULTADO INDEXADO'!$C$34,$C$46='RESULTADO INDEXADO'!$B$34),'RESULTADO INDEXADO'!H35,IF(AND('RESULTADO INDEXADO'!$A$36="AUDAX",$H$42='RESULTADO INDEXADO'!$C$36,$C$46='RESULTADO INDEXADO'!$B$36),'RESULTADO INDEXADO'!H37,IF(AND('RESULTADO INDEXADO'!$A$38="AUDAX",$H$42='RESULTADO INDEXADO'!$C$38,$C$46='RESULTADO INDEXADO'!$B$38),'RESULTADO INDEXADO'!H39,IF(AND('RESULTADO INDEXADO'!$A$40="AUDAX",$H$42='RESULTADO INDEXADO'!$C$40,$C$46='RESULTADO INDEXADO'!$B$40),'RESULTADO INDEXADO'!H41,""))))))))))))))))))))</f>
        <v>0</v>
      </c>
      <c r="H49" s="14" t="b">
        <f>IF(AND('RESULTADO INDEXADO'!$A$2="AUDAX",$H$42='RESULTADO INDEXADO'!$C$2,$C$46='RESULTADO INDEXADO'!$B$2,'INTRODUCIR DATOS'!$E$25&lt;=10),'RESULTADO INDEXADO'!I3,IF(AND('RESULTADO INDEXADO'!$A$4="AUDAX",$H$42='RESULTADO INDEXADO'!$C$4,$C$46='RESULTADO INDEXADO'!$B$4,'INTRODUCIR DATOS'!$E$25&gt;10,'INTRODUCIR DATOS'!$E$25&lt;=15),'RESULTADO INDEXADO'!I5,IF(AND('RESULTADO INDEXADO'!$A$6="AUDAX",$H$42='RESULTADO INDEXADO'!$C$6,$C$46='RESULTADO INDEXADO'!$B$6,'INTRODUCIR DATOS'!$E$25&lt;=10),'RESULTADO INDEXADO'!I7,IF(AND('RESULTADO INDEXADO'!$A$8="AUDAX",$H$42='RESULTADO INDEXADO'!$C$8,$C$46='RESULTADO INDEXADO'!$B$8,'INTRODUCIR DATOS'!$E$25&gt;10,'INTRODUCIR DATOS'!$E$25&lt;=15),'RESULTADO INDEXADO'!I9,IF(AND('RESULTADO INDEXADO'!$A$10="AUDAX",$H$42='RESULTADO INDEXADO'!$C$10,$C$46='RESULTADO INDEXADO'!$B$10,'INTRODUCIR DATOS'!$E$25&lt;=10),'RESULTADO INDEXADO'!I11,IF(AND('RESULTADO INDEXADO'!$A$12="AUDAX",$H$42='RESULTADO INDEXADO'!$C$12,$C$46='RESULTADO INDEXADO'!$B$12,'INTRODUCIR DATOS'!$E$25&gt;10,'INTRODUCIR DATOS'!$E$25&lt;=15),'RESULTADO INDEXADO'!I13,IF(AND('RESULTADO INDEXADO'!$A$14="AUDAX",$H$42='RESULTADO INDEXADO'!$C$14,$C$46='RESULTADO INDEXADO'!$B$14,'INTRODUCIR DATOS'!$E$25&lt;=10),'RESULTADO INDEXADO'!I15,IF(AND('RESULTADO INDEXADO'!$A$16="AUDAX",$H$42='RESULTADO INDEXADO'!$C$16,$C$46='RESULTADO INDEXADO'!$B$16,'INTRODUCIR DATOS'!$E$25&gt;10,'INTRODUCIR DATOS'!$E$25&lt;=15),'RESULTADO INDEXADO'!I17,IF(AND('RESULTADO INDEXADO'!$A$18="AUDAX",$H$42='RESULTADO INDEXADO'!$C$18,$C$46='RESULTADO INDEXADO'!$B$18,'INTRODUCIR DATOS'!$E$25&lt;=10),'RESULTADO INDEXADO'!I19,IF(AND('RESULTADO INDEXADO'!$A$20="AUDAX",$H$42='RESULTADO INDEXADO'!$C$20,$C$46='RESULTADO INDEXADO'!$B$20,'INTRODUCIR DATOS'!$E$25&gt;10,'INTRODUCIR DATOS'!$E$25&lt;=15),'RESULTADO INDEXADO'!I21,IF(AND('RESULTADO INDEXADO'!$A$22="AUDAX",$H$42='RESULTADO INDEXADO'!$C$22,$C$46='RESULTADO INDEXADO'!$B$22),'RESULTADO INDEXADO'!I23,IF(AND('RESULTADO INDEXADO'!$A$24="AUDAX",$H$42='RESULTADO INDEXADO'!$C$24,$C$46='RESULTADO INDEXADO'!$B$24),'RESULTADO INDEXADO'!I25,IF(AND('RESULTADO INDEXADO'!$A$26="AUDAX",$H$42='RESULTADO INDEXADO'!$C$26,$C$46='RESULTADO INDEXADO'!$B$26),'RESULTADO INDEXADO'!I27,IF(AND('RESULTADO INDEXADO'!$A$28="AUDAX",$H$42='RESULTADO INDEXADO'!$C$28,$C$46='RESULTADO INDEXADO'!$B$28),'RESULTADO INDEXADO'!I29,IF(AND('RESULTADO INDEXADO'!$A$30="AUDAX",$H$42='RESULTADO INDEXADO'!$C$30,$C$46='RESULTADO INDEXADO'!$B$30),'RESULTADO INDEXADO'!I31,IF(AND('RESULTADO INDEXADO'!$A$32="AUDAX",$H$42='RESULTADO INDEXADO'!$C$32,$C$46='RESULTADO INDEXADO'!$B$32),'RESULTADO INDEXADO'!I33,IF(AND('RESULTADO INDEXADO'!$A$34="AUDAX",$H$42='RESULTADO INDEXADO'!$C$34,$C$46='RESULTADO INDEXADO'!$B$34),'RESULTADO INDEXADO'!I35,IF(AND('RESULTADO INDEXADO'!$A$36="AUDAX",$H$42='RESULTADO INDEXADO'!$C$36,$C$46='RESULTADO INDEXADO'!$B$36),'RESULTADO INDEXADO'!I37,IF(AND('RESULTADO INDEXADO'!$A$38="AUDAX",$H$42='RESULTADO INDEXADO'!$C$38,$C$46='RESULTADO INDEXADO'!$B$38),'RESULTADO INDEXADO'!I39,IF(AND('RESULTADO INDEXADO'!$A$40="AUDAX",$H$42='RESULTADO INDEXADO'!$C$40,$C$46='RESULTADO INDEXADO'!$B$40),'RESULTADO INDEXADO'!I41,""))))))))))))))))))))</f>
        <v>0</v>
      </c>
      <c r="I49" s="14" t="b">
        <f>IF(AND('RESULTADO INDEXADO'!$A$2="AUDAX",$H$42='RESULTADO INDEXADO'!$C$2,$C$46='RESULTADO INDEXADO'!$B$2,'INTRODUCIR DATOS'!$E$25&lt;=10),'RESULTADO INDEXADO'!J3,IF(AND('RESULTADO INDEXADO'!$A$4="AUDAX",$H$42='RESULTADO INDEXADO'!$C$4,$C$46='RESULTADO INDEXADO'!$B$4,'INTRODUCIR DATOS'!$E$25&gt;10,'INTRODUCIR DATOS'!$E$25&lt;=15),'RESULTADO INDEXADO'!J5,IF(AND('RESULTADO INDEXADO'!$A$6="AUDAX",$H$42='RESULTADO INDEXADO'!$C$6,$C$46='RESULTADO INDEXADO'!$B$6,'INTRODUCIR DATOS'!$E$25&lt;=10),'RESULTADO INDEXADO'!J7,IF(AND('RESULTADO INDEXADO'!$A$8="AUDAX",$H$42='RESULTADO INDEXADO'!$C$8,$C$46='RESULTADO INDEXADO'!$B$8,'INTRODUCIR DATOS'!$E$25&gt;10,'INTRODUCIR DATOS'!$E$25&lt;=15),'RESULTADO INDEXADO'!J9,IF(AND('RESULTADO INDEXADO'!$A$10="AUDAX",$H$42='RESULTADO INDEXADO'!$C$10,$C$46='RESULTADO INDEXADO'!$B$10,'INTRODUCIR DATOS'!$E$25&lt;=10),'RESULTADO INDEXADO'!J11,IF(AND('RESULTADO INDEXADO'!$A$12="AUDAX",$H$42='RESULTADO INDEXADO'!$C$12,$C$46='RESULTADO INDEXADO'!$B$12,'INTRODUCIR DATOS'!$E$25&gt;10,'INTRODUCIR DATOS'!$E$25&lt;=15),'RESULTADO INDEXADO'!J13,IF(AND('RESULTADO INDEXADO'!$A$14="AUDAX",$H$42='RESULTADO INDEXADO'!$C$14,$C$46='RESULTADO INDEXADO'!$B$14,'INTRODUCIR DATOS'!$E$25&lt;=10),'RESULTADO INDEXADO'!J15,IF(AND('RESULTADO INDEXADO'!$A$16="AUDAX",$H$42='RESULTADO INDEXADO'!$C$16,$C$46='RESULTADO INDEXADO'!$B$16,'INTRODUCIR DATOS'!$E$25&gt;10,'INTRODUCIR DATOS'!$E$25&lt;=15),'RESULTADO INDEXADO'!J17,IF(AND('RESULTADO INDEXADO'!$A$18="AUDAX",$H$42='RESULTADO INDEXADO'!$C$18,$C$46='RESULTADO INDEXADO'!$B$18,'INTRODUCIR DATOS'!$E$25&lt;=10),'RESULTADO INDEXADO'!J19,IF(AND('RESULTADO INDEXADO'!$A$20="AUDAX",$H$42='RESULTADO INDEXADO'!$C$20,$C$46='RESULTADO INDEXADO'!$B$20,'INTRODUCIR DATOS'!$E$25&gt;10,'INTRODUCIR DATOS'!$E$25&lt;=15),'RESULTADO INDEXADO'!J21,IF(AND('RESULTADO INDEXADO'!$A$22="AUDAX",$H$42='RESULTADO INDEXADO'!$C$22,$C$46='RESULTADO INDEXADO'!$B$22),'RESULTADO INDEXADO'!J23,IF(AND('RESULTADO INDEXADO'!$A$24="AUDAX",$H$42='RESULTADO INDEXADO'!$C$24,$C$46='RESULTADO INDEXADO'!$B$24),'RESULTADO INDEXADO'!J25,IF(AND('RESULTADO INDEXADO'!$A$26="AUDAX",$H$42='RESULTADO INDEXADO'!$C$26,$C$46='RESULTADO INDEXADO'!$B$26),'RESULTADO INDEXADO'!J27,IF(AND('RESULTADO INDEXADO'!$A$28="AUDAX",$H$42='RESULTADO INDEXADO'!$C$28,$C$46='RESULTADO INDEXADO'!$B$28),'RESULTADO INDEXADO'!J29,IF(AND('RESULTADO INDEXADO'!$A$30="AUDAX",$H$42='RESULTADO INDEXADO'!$C$30,$C$46='RESULTADO INDEXADO'!$B$30),'RESULTADO INDEXADO'!J31,IF(AND('RESULTADO INDEXADO'!$A$32="AUDAX",$H$42='RESULTADO INDEXADO'!$C$32,$C$46='RESULTADO INDEXADO'!$B$32),'RESULTADO INDEXADO'!J33,IF(AND('RESULTADO INDEXADO'!$A$34="AUDAX",$H$42='RESULTADO INDEXADO'!$C$34,$C$46='RESULTADO INDEXADO'!$B$34),'RESULTADO INDEXADO'!J35,IF(AND('RESULTADO INDEXADO'!$A$36="AUDAX",$H$42='RESULTADO INDEXADO'!$C$36,$C$46='RESULTADO INDEXADO'!$B$36),'RESULTADO INDEXADO'!J37,IF(AND('RESULTADO INDEXADO'!$A$38="AUDAX",$H$42='RESULTADO INDEXADO'!$C$38,$C$46='RESULTADO INDEXADO'!$B$38),'RESULTADO INDEXADO'!J39,IF(AND('RESULTADO INDEXADO'!$A$40="AUDAX",$H$42='RESULTADO INDEXADO'!$C$40,$C$46='RESULTADO INDEXADO'!$B$40),'RESULTADO INDEXADO'!J41,""))))))))))))))))))))</f>
        <v>0</v>
      </c>
      <c r="K49" s="143"/>
    </row>
    <row r="50" spans="2:11" ht="13.5" customHeight="1">
      <c r="B50" s="84"/>
      <c r="C50" s="15"/>
      <c r="D50" s="6"/>
      <c r="E50" s="6"/>
      <c r="F50" s="6"/>
      <c r="G50" s="6"/>
      <c r="H50" s="6"/>
      <c r="I50" s="6"/>
      <c r="K50" s="6"/>
    </row>
    <row r="51" spans="2:11" ht="13.5" customHeight="1">
      <c r="B51" s="85"/>
      <c r="C51" s="85"/>
      <c r="D51" s="85"/>
      <c r="E51" s="85"/>
      <c r="F51" s="85"/>
      <c r="G51" s="85"/>
      <c r="H51" s="85"/>
      <c r="I51" s="85"/>
      <c r="J51" s="85"/>
      <c r="K51" s="85"/>
    </row>
    <row r="52" spans="2:11" ht="13.5" customHeight="1">
      <c r="B52" s="566" t="s">
        <v>119</v>
      </c>
      <c r="C52" s="566"/>
      <c r="D52" s="566"/>
      <c r="E52" s="566"/>
      <c r="F52" s="566"/>
      <c r="G52" s="566"/>
      <c r="H52" s="566"/>
      <c r="I52" s="566"/>
      <c r="J52" s="566"/>
      <c r="K52" s="566"/>
    </row>
    <row r="53" spans="2:11" ht="13.5" customHeight="1">
      <c r="B53" s="86" t="s">
        <v>120</v>
      </c>
      <c r="C53" s="86"/>
      <c r="D53" s="87"/>
      <c r="E53" s="87"/>
      <c r="F53" s="87"/>
      <c r="G53" s="86"/>
      <c r="H53" s="86"/>
      <c r="I53" s="87"/>
      <c r="J53" s="88"/>
      <c r="K53" s="225">
        <f>F54+F55+F56+I54+I55+I56</f>
        <v>0</v>
      </c>
    </row>
    <row r="54" spans="2:11" ht="13.5" customHeight="1">
      <c r="B54" s="89"/>
      <c r="C54" s="89"/>
      <c r="D54" s="17" t="s">
        <v>115</v>
      </c>
      <c r="E54" s="89">
        <f>'INTRODUCIR DATOS'!$E$25</f>
        <v>6</v>
      </c>
      <c r="F54" s="8">
        <f>E54*D48*H43</f>
        <v>0</v>
      </c>
      <c r="G54" s="17" t="s">
        <v>62</v>
      </c>
      <c r="H54" s="89">
        <f>'INTRODUCIR DATOS'!$E$28</f>
        <v>0</v>
      </c>
      <c r="I54" s="8">
        <f>IF(G48="",0,H54*G48*H43)</f>
        <v>0</v>
      </c>
      <c r="J54" s="90"/>
      <c r="K54" s="90"/>
    </row>
    <row r="55" spans="2:11" ht="13.5" customHeight="1">
      <c r="B55" s="89"/>
      <c r="C55" s="89"/>
      <c r="D55" s="17" t="s">
        <v>116</v>
      </c>
      <c r="E55" s="89">
        <f>'INTRODUCIR DATOS'!$E$26</f>
        <v>6</v>
      </c>
      <c r="F55" s="8">
        <f>E55*E48*H43</f>
        <v>0</v>
      </c>
      <c r="G55" s="17" t="s">
        <v>63</v>
      </c>
      <c r="H55" s="89">
        <f>'INTRODUCIR DATOS'!$E$29</f>
        <v>0</v>
      </c>
      <c r="I55" s="8">
        <f>IF(H48="",0,H55*H48*H43)</f>
        <v>0</v>
      </c>
      <c r="J55" s="90"/>
      <c r="K55" s="90"/>
    </row>
    <row r="56" spans="2:11" ht="13.5" customHeight="1">
      <c r="B56" s="9"/>
      <c r="C56" s="9"/>
      <c r="D56" s="17" t="s">
        <v>60</v>
      </c>
      <c r="E56" s="89">
        <f>'INTRODUCIR DATOS'!$E$27</f>
        <v>0</v>
      </c>
      <c r="F56" s="8">
        <f>IF(F48="",0,E56*F48*H43)</f>
        <v>0</v>
      </c>
      <c r="G56" s="18" t="s">
        <v>65</v>
      </c>
      <c r="H56" s="89">
        <f>'INTRODUCIR DATOS'!$E$30</f>
        <v>0</v>
      </c>
      <c r="I56" s="8">
        <f>IF(I48="",0,H56*I48*H43)</f>
        <v>0</v>
      </c>
      <c r="J56" s="9"/>
      <c r="K56" s="9"/>
    </row>
    <row r="57" spans="2:11" ht="13.5" customHeight="1">
      <c r="B57" s="9" t="s">
        <v>121</v>
      </c>
      <c r="C57" s="9"/>
      <c r="D57" s="9"/>
      <c r="E57" s="89"/>
      <c r="F57" s="9"/>
      <c r="G57" s="9" t="s">
        <v>121</v>
      </c>
      <c r="H57" s="89"/>
      <c r="I57" s="9"/>
      <c r="J57" s="9"/>
      <c r="K57" s="9"/>
    </row>
    <row r="58" spans="2:11" ht="13.5" customHeight="1">
      <c r="B58" s="86" t="s">
        <v>122</v>
      </c>
      <c r="C58" s="91"/>
      <c r="D58" s="87"/>
      <c r="E58" s="86"/>
      <c r="F58" s="86"/>
      <c r="G58" s="91"/>
      <c r="H58" s="87"/>
      <c r="I58" s="87"/>
      <c r="J58" s="88"/>
      <c r="K58" s="225">
        <f>F59+F60+F61+I59+I60+I61</f>
        <v>0</v>
      </c>
    </row>
    <row r="59" spans="2:11" ht="13.5" customHeight="1">
      <c r="B59" s="89"/>
      <c r="C59" s="89"/>
      <c r="D59" s="17" t="s">
        <v>115</v>
      </c>
      <c r="E59" s="89">
        <f>'INTRODUCIR DATOS'!$E$32</f>
        <v>327</v>
      </c>
      <c r="F59" s="338">
        <f>E59*D49</f>
        <v>0</v>
      </c>
      <c r="G59" s="17" t="s">
        <v>62</v>
      </c>
      <c r="H59" s="89">
        <f>'INTRODUCIR DATOS'!$E$35</f>
        <v>0</v>
      </c>
      <c r="I59" s="7">
        <f>IF(G49="",0,H59*G49)</f>
        <v>0</v>
      </c>
      <c r="J59" s="90"/>
      <c r="K59" s="90"/>
    </row>
    <row r="60" spans="2:11" ht="13.5" customHeight="1">
      <c r="B60" s="89"/>
      <c r="C60" s="89"/>
      <c r="D60" s="17" t="s">
        <v>116</v>
      </c>
      <c r="E60" s="89">
        <f>'INTRODUCIR DATOS'!$E$33</f>
        <v>0</v>
      </c>
      <c r="F60" s="338">
        <f>E60*E49</f>
        <v>0</v>
      </c>
      <c r="G60" s="17" t="s">
        <v>63</v>
      </c>
      <c r="H60" s="89">
        <f>'INTRODUCIR DATOS'!$E$36</f>
        <v>0</v>
      </c>
      <c r="I60" s="7">
        <f>IF(H49="",0,H60*H49)</f>
        <v>0</v>
      </c>
      <c r="J60" s="90"/>
      <c r="K60" s="90"/>
    </row>
    <row r="61" spans="2:11" ht="13.5" customHeight="1">
      <c r="B61" s="89"/>
      <c r="C61" s="89"/>
      <c r="D61" s="17" t="s">
        <v>60</v>
      </c>
      <c r="E61" s="89">
        <f>'INTRODUCIR DATOS'!$E$34</f>
        <v>0</v>
      </c>
      <c r="F61" s="338">
        <f>E61*F49</f>
        <v>0</v>
      </c>
      <c r="G61" s="17" t="s">
        <v>65</v>
      </c>
      <c r="H61" s="89">
        <f>'INTRODUCIR DATOS'!$E$37</f>
        <v>0</v>
      </c>
      <c r="I61" s="7">
        <f>IF(I49="",0,H61*I49)</f>
        <v>0</v>
      </c>
      <c r="J61" s="90"/>
      <c r="K61" s="90"/>
    </row>
    <row r="62" spans="2:11" ht="13.5" customHeight="1">
      <c r="B62" s="89" t="s">
        <v>123</v>
      </c>
      <c r="C62" s="92"/>
      <c r="D62" s="337"/>
      <c r="E62" s="337"/>
      <c r="F62" s="337"/>
      <c r="G62" s="89"/>
      <c r="H62" s="92"/>
      <c r="I62" s="337"/>
      <c r="J62" s="337"/>
      <c r="K62" s="11">
        <v>0</v>
      </c>
    </row>
    <row r="63" spans="2:11" ht="13.5" customHeight="1">
      <c r="B63" s="89" t="s">
        <v>124</v>
      </c>
      <c r="C63" s="92"/>
      <c r="D63" s="92"/>
      <c r="E63" s="92"/>
      <c r="F63" s="92"/>
      <c r="G63" s="92"/>
      <c r="H63" s="92"/>
      <c r="I63" s="92"/>
      <c r="J63" s="92"/>
      <c r="K63" s="12">
        <v>0</v>
      </c>
    </row>
    <row r="64" spans="2:11" ht="13.5" customHeight="1">
      <c r="B64" s="89" t="s">
        <v>125</v>
      </c>
      <c r="C64" s="89"/>
      <c r="D64" s="89"/>
      <c r="E64" s="552"/>
      <c r="F64" s="552"/>
      <c r="G64" s="552"/>
      <c r="H64" s="9">
        <f>K58+K53+K62</f>
        <v>0</v>
      </c>
      <c r="I64" s="553" t="s">
        <v>121</v>
      </c>
      <c r="J64" s="553"/>
      <c r="K64" s="338">
        <f>H64*'INTRODUCIR DATOS'!$D$17</f>
        <v>0</v>
      </c>
    </row>
    <row r="65" spans="1:12" ht="13.5" customHeight="1">
      <c r="B65" s="89" t="s">
        <v>130</v>
      </c>
      <c r="C65" s="89"/>
      <c r="D65" s="89"/>
      <c r="E65" s="90"/>
      <c r="F65" s="90"/>
      <c r="G65" s="89"/>
      <c r="H65" s="9"/>
      <c r="I65" s="338"/>
      <c r="J65" s="338"/>
      <c r="K65" s="338">
        <f>'INTRODUCIR DATOS'!$D$15</f>
        <v>0</v>
      </c>
    </row>
    <row r="66" spans="1:12" ht="13.5" customHeight="1">
      <c r="B66" s="89" t="s">
        <v>28</v>
      </c>
      <c r="C66" s="89"/>
      <c r="D66" s="89"/>
      <c r="E66" s="89"/>
      <c r="F66" s="89"/>
      <c r="G66" s="338"/>
      <c r="H66" s="13"/>
      <c r="I66" s="13"/>
      <c r="J66" s="90"/>
      <c r="K66" s="338">
        <f>'INTRODUCIR DATOS'!$D$16</f>
        <v>0.85</v>
      </c>
    </row>
    <row r="67" spans="1:12" ht="13.5" customHeight="1">
      <c r="B67" s="89" t="s">
        <v>126</v>
      </c>
      <c r="C67" s="89"/>
      <c r="D67" s="89"/>
      <c r="E67" s="552" t="str">
        <f>IF('INTRODUCIR DATOS'!$D$21=21%,"21%",IF('INTRODUCIR DATOS'!$D$21=10%,"10%",""))</f>
        <v>21%</v>
      </c>
      <c r="F67" s="552"/>
      <c r="G67" s="552"/>
      <c r="H67" s="9">
        <f>K53+K58+K64+K66</f>
        <v>0.85</v>
      </c>
      <c r="I67" s="13"/>
      <c r="J67" s="90"/>
      <c r="K67" s="338">
        <f>IF('INTRODUCIR DATOS'!$D$21=21%,H67*0.21,IF('INTRODUCIR DATOS'!$D$21=10%,H67*0.1,""))</f>
        <v>0.17849999999999999</v>
      </c>
    </row>
    <row r="68" spans="1:12" ht="13.5" customHeight="1">
      <c r="B68" s="86" t="s">
        <v>127</v>
      </c>
      <c r="C68" s="91"/>
      <c r="D68" s="87"/>
      <c r="E68" s="86"/>
      <c r="F68" s="86"/>
      <c r="G68" s="91"/>
      <c r="H68" s="87"/>
      <c r="I68" s="87"/>
      <c r="J68" s="88"/>
      <c r="K68" s="225">
        <f>SUM(K53:K67)</f>
        <v>1.0285</v>
      </c>
    </row>
    <row r="69" spans="1:12" ht="13.5" customHeight="1">
      <c r="B69" s="89" t="s">
        <v>128</v>
      </c>
      <c r="C69" s="89"/>
      <c r="D69" s="89"/>
      <c r="E69" s="89"/>
      <c r="F69" s="89"/>
      <c r="G69" s="338"/>
      <c r="H69" s="338"/>
      <c r="I69" s="89"/>
      <c r="J69" s="90"/>
      <c r="K69" s="338">
        <f>'INTRODUCIR DATOS'!$D$14</f>
        <v>114.15</v>
      </c>
    </row>
    <row r="70" spans="1:12" ht="13.5" customHeight="1">
      <c r="B70" s="86" t="s">
        <v>129</v>
      </c>
      <c r="C70" s="86"/>
      <c r="D70" s="87"/>
      <c r="E70" s="87"/>
      <c r="F70" s="87"/>
      <c r="G70" s="86"/>
      <c r="H70" s="86"/>
      <c r="I70" s="87"/>
      <c r="J70" s="108">
        <f>IF(K68=0,"--",(K69-K68)/K69)</f>
        <v>0.99098992553657472</v>
      </c>
      <c r="K70" s="225">
        <f>IF((K68=0),"--",K69-K68)</f>
        <v>113.12150000000001</v>
      </c>
    </row>
    <row r="71" spans="1:12" ht="13.5" customHeight="1">
      <c r="B71" s="143"/>
      <c r="C71" s="143"/>
      <c r="D71" s="143"/>
      <c r="E71" s="143"/>
      <c r="F71" s="143"/>
      <c r="G71" s="143"/>
      <c r="H71" s="143"/>
      <c r="I71" s="143"/>
      <c r="J71" s="143"/>
      <c r="K71" s="143"/>
    </row>
    <row r="72" spans="1:12" ht="13.5" customHeight="1">
      <c r="A72" s="556" t="s">
        <v>107</v>
      </c>
      <c r="B72" s="556"/>
      <c r="C72" s="556"/>
      <c r="D72" s="556"/>
      <c r="E72" s="556"/>
      <c r="F72" s="556"/>
      <c r="G72" s="556"/>
      <c r="H72" s="556"/>
      <c r="I72" s="556"/>
      <c r="J72" s="556"/>
      <c r="K72" s="556"/>
    </row>
    <row r="73" spans="1:12" ht="13.5" customHeight="1">
      <c r="A73" s="557" t="s">
        <v>108</v>
      </c>
      <c r="B73" s="558"/>
      <c r="C73" s="558"/>
      <c r="D73" s="558"/>
      <c r="E73" s="558"/>
      <c r="F73" s="558"/>
      <c r="G73" s="558"/>
      <c r="H73" s="558"/>
      <c r="I73" s="558"/>
      <c r="J73" s="558"/>
      <c r="K73" s="558"/>
    </row>
    <row r="74" spans="1:12" ht="13.5" customHeight="1">
      <c r="B74" s="143"/>
      <c r="C74" s="143"/>
      <c r="D74" s="143"/>
      <c r="E74" s="143"/>
      <c r="F74" s="143"/>
      <c r="G74" s="143"/>
      <c r="H74" s="143"/>
      <c r="I74" s="143"/>
      <c r="J74" s="143"/>
      <c r="K74" s="143"/>
    </row>
    <row r="75" spans="1:12" ht="13.5" customHeight="1">
      <c r="B75"/>
      <c r="C75" s="15"/>
      <c r="D75" s="15"/>
      <c r="E75" s="15"/>
      <c r="F75" s="559" t="s">
        <v>109</v>
      </c>
      <c r="G75" s="559"/>
      <c r="H75" s="560" t="str">
        <f>'INTRODUCIR DATOS'!$D$9</f>
        <v>GEMA GARCIA ESCUDERO</v>
      </c>
      <c r="I75" s="560"/>
      <c r="J75" s="560"/>
      <c r="K75" s="560"/>
      <c r="L75" s="27"/>
    </row>
    <row r="76" spans="1:12" ht="13.5" customHeight="1">
      <c r="B76" s="143"/>
      <c r="C76" s="15"/>
      <c r="D76" s="15"/>
      <c r="E76" s="15"/>
      <c r="F76" s="559" t="s">
        <v>110</v>
      </c>
      <c r="G76" s="559"/>
      <c r="H76" s="560" t="str">
        <f>'INTRODUCIR DATOS'!$D$10</f>
        <v>C/LOS HUERTOS</v>
      </c>
      <c r="I76" s="560"/>
      <c r="J76" s="560"/>
      <c r="K76" s="560"/>
      <c r="L76" s="27"/>
    </row>
    <row r="77" spans="1:12" ht="13.5" customHeight="1">
      <c r="B77" s="143"/>
      <c r="C77" s="15"/>
      <c r="D77" s="15"/>
      <c r="E77" s="15"/>
      <c r="F77" s="559" t="s">
        <v>111</v>
      </c>
      <c r="G77" s="559"/>
      <c r="H77" s="560" t="str">
        <f>'INTRODUCIR DATOS'!$D$11</f>
        <v>ENCINILLAS</v>
      </c>
      <c r="I77" s="560"/>
      <c r="J77" s="560"/>
      <c r="K77" s="560"/>
      <c r="L77" s="27"/>
    </row>
    <row r="78" spans="1:12" ht="13.5" customHeight="1">
      <c r="B78" s="15"/>
      <c r="C78" s="15"/>
      <c r="D78" s="15"/>
      <c r="E78" s="15"/>
      <c r="F78" s="559" t="s">
        <v>112</v>
      </c>
      <c r="G78" s="559"/>
      <c r="H78" s="558" t="str">
        <f>'INTRODUCIR DATOS'!$D$18</f>
        <v>2.0TD</v>
      </c>
      <c r="I78" s="558"/>
      <c r="J78" s="558"/>
      <c r="K78" s="558"/>
      <c r="L78" s="28"/>
    </row>
    <row r="79" spans="1:12" ht="13.5" customHeight="1">
      <c r="B79" s="15"/>
      <c r="C79" s="15"/>
      <c r="D79" s="15"/>
      <c r="E79" s="15"/>
      <c r="F79" s="559" t="s">
        <v>113</v>
      </c>
      <c r="G79" s="559"/>
      <c r="H79" s="561">
        <f>'INTRODUCIR DATOS'!$D$13</f>
        <v>32</v>
      </c>
      <c r="I79" s="561"/>
      <c r="J79" s="561"/>
      <c r="K79" s="561"/>
      <c r="L79" s="29"/>
    </row>
    <row r="80" spans="1:12" ht="13.5" customHeight="1">
      <c r="B80" s="15"/>
      <c r="C80" s="15"/>
      <c r="D80" s="15"/>
      <c r="E80" s="15"/>
      <c r="F80" s="15"/>
      <c r="G80" s="15"/>
      <c r="H80" s="15"/>
      <c r="I80" s="15"/>
      <c r="J80" s="15"/>
      <c r="K80" s="15"/>
    </row>
    <row r="81" spans="1:11" ht="13.5" customHeight="1">
      <c r="B81" s="93" t="s">
        <v>114</v>
      </c>
      <c r="C81" s="83" t="str">
        <f>'INTRODUCIR DATOS'!O13</f>
        <v>ONLINE+</v>
      </c>
      <c r="D81" s="2"/>
      <c r="E81" s="2"/>
      <c r="F81" s="2"/>
      <c r="G81" s="2"/>
      <c r="H81" s="2"/>
      <c r="I81" s="2"/>
      <c r="J81" s="2"/>
      <c r="K81" s="16"/>
    </row>
    <row r="82" spans="1:11" ht="13.5" customHeight="1">
      <c r="B82" s="84"/>
      <c r="C82" s="84"/>
      <c r="D82" s="3" t="s">
        <v>115</v>
      </c>
      <c r="E82" s="3" t="s">
        <v>116</v>
      </c>
      <c r="F82" s="3" t="s">
        <v>60</v>
      </c>
      <c r="G82" s="3" t="s">
        <v>62</v>
      </c>
      <c r="H82" s="3" t="s">
        <v>63</v>
      </c>
      <c r="I82" s="3" t="s">
        <v>65</v>
      </c>
      <c r="J82" s="3"/>
      <c r="K82" s="143"/>
    </row>
    <row r="83" spans="1:11" ht="13.5" customHeight="1">
      <c r="B83" s="84"/>
      <c r="C83" s="4" t="s">
        <v>117</v>
      </c>
      <c r="D83" s="14" t="b">
        <f>IF(AND('RESULTADO INDEXADO'!$A$42="ALDRO",$H$42='RESULTADO INDEXADO'!$C$42,$C$81='RESULTADO INDEXADO'!$B$42),'RESULTADO INDEXADO'!E42,IF(AND('RESULTADO INDEXADO'!$A$44="ALDRO",$H$42='RESULTADO INDEXADO'!$C$44,$C$81='RESULTADO INDEXADO'!$B$44),'RESULTADO INDEXADO'!E44,IF(AND('RESULTADO INDEXADO'!$A$46="ALDRO",$H$42='RESULTADO INDEXADO'!$C$46,$C$81='RESULTADO INDEXADO'!$B$46),'RESULTADO INDEXADO'!E46,IF(AND('RESULTADO INDEXADO'!$A$48="ALDRO",$H$42='RESULTADO INDEXADO'!$C$48,$C$81='RESULTADO INDEXADO'!$B$48),'RESULTADO INDEXADO'!E48,IF(AND('RESULTADO INDEXADO'!$A$50="ALDRO",$H$42='RESULTADO INDEXADO'!$C$50,$C$81='RESULTADO INDEXADO'!$B$50),'RESULTADO INDEXADO'!E50,IF(AND('RESULTADO INDEXADO'!$A$52="ALDRO",$H$42='RESULTADO INDEXADO'!$C$52,$C$81='RESULTADO INDEXADO'!$B$52),'RESULTADO INDEXADO'!E52,IF(AND('RESULTADO INDEXADO'!$A$54="ALDRO",$H$42='RESULTADO INDEXADO'!$C$54,$C$81='RESULTADO INDEXADO'!$B$54),'RESULTADO INDEXADO'!E54,IF(AND('RESULTADO INDEXADO'!$A$56="ALDRO",$H$42='RESULTADO INDEXADO'!$C$56,$C$81='RESULTADO INDEXADO'!$B$56),'RESULTADO INDEXADO'!E56,IF(AND('RESULTADO INDEXADO'!$A$58="ALDRO",$H$42='RESULTADO INDEXADO'!$C$58,$C$81='RESULTADO INDEXADO'!$B$58),'RESULTADO INDEXADO'!E58,IF(AND('RESULTADO INDEXADO'!$A$60="ALDRO",$H$42='RESULTADO INDEXADO'!$C$60,$C$81='RESULTADO INDEXADO'!$B$60),'RESULTADO INDEXADO'!E60,IF(AND('RESULTADO INDEXADO'!$A$62="ALDRO",$H$42='RESULTADO INDEXADO'!$C$62,$C$81='RESULTADO INDEXADO'!$B$62),'RESULTADO INDEXADO'!E62,IF(AND('RESULTADO INDEXADO'!$A$64="ALDRO",$H$42='RESULTADO INDEXADO'!$C$64,$C$81='RESULTADO INDEXADO'!$B$64),'RESULTADO INDEXADO'!E64,IF(AND('RESULTADO INDEXADO'!$A$66="ALDRO",$H$42='RESULTADO INDEXADO'!$C$66,$C$81='RESULTADO INDEXADO'!$B$66),'RESULTADO INDEXADO'!E66,IF(AND('RESULTADO INDEXADO'!$A$68="ALDRO",$H$42='RESULTADO INDEXADO'!$C$68,$C$81='RESULTADO INDEXADO'!$B$68),'RESULTADO INDEXADO'!E68,IF(AND('RESULTADO INDEXADO'!$A$70="ALDRO",$H$42='RESULTADO INDEXADO'!$C$70,$C$81='RESULTADO INDEXADO'!$B$70),'RESULTADO INDEXADO'!E70,IF(AND('RESULTADO INDEXADO'!$A$72="ALDRO",$H$42='RESULTADO INDEXADO'!$C$72,$C$81='RESULTADO INDEXADO'!$B$72),'RESULTADO INDEXADO'!E72,IF(AND('RESULTADO INDEXADO'!$A$74="ALDRO",$H$42='RESULTADO INDEXADO'!$C$74,$C$81='RESULTADO INDEXADO'!$B$74),'RESULTADO INDEXADO'!E74,IF(AND('RESULTADO INDEXADO'!$A$76="ALDRO",$H$42='RESULTADO INDEXADO'!$C$76,$C$81='RESULTADO INDEXADO'!$B$76),'RESULTADO INDEXADO'!E76,IF(AND('RESULTADO INDEXADO'!$A$78="ALDRO",$H$42='RESULTADO INDEXADO'!$C$78,$C$81='RESULTADO INDEXADO'!$B$78),'RESULTADO INDEXADO'!E78,IF(AND('RESULTADO INDEXADO'!$A$80="ALDRO",$H$42='RESULTADO INDEXADO'!$C$80,$C$81='RESULTADO INDEXADO'!$B$80),'RESULTADO INDEXADO'!E80,""))))))))))))))))))))</f>
        <v>0</v>
      </c>
      <c r="E83" s="14" t="b">
        <f>IF(AND('RESULTADO INDEXADO'!$A$42="ALDRO",$H$42='RESULTADO INDEXADO'!$C$42,$C$81='RESULTADO INDEXADO'!$B$42),'RESULTADO INDEXADO'!F42,IF(AND('RESULTADO INDEXADO'!$A$44="ALDRO",$H$42='RESULTADO INDEXADO'!$C$44,$C$81='RESULTADO INDEXADO'!$B$44),'RESULTADO INDEXADO'!F44,IF(AND('RESULTADO INDEXADO'!$A$46="ALDRO",$H$42='RESULTADO INDEXADO'!$C$46,$C$81='RESULTADO INDEXADO'!$B$46),'RESULTADO INDEXADO'!F46,IF(AND('RESULTADO INDEXADO'!$A$48="ALDRO",$H$42='RESULTADO INDEXADO'!$C$48,$C$81='RESULTADO INDEXADO'!$B$48),'RESULTADO INDEXADO'!F48,IF(AND('RESULTADO INDEXADO'!$A$50="ALDRO",$H$42='RESULTADO INDEXADO'!$C$50,$C$81='RESULTADO INDEXADO'!$B$50),'RESULTADO INDEXADO'!F50,IF(AND('RESULTADO INDEXADO'!$A$52="ALDRO",$H$42='RESULTADO INDEXADO'!$C$52,$C$81='RESULTADO INDEXADO'!$B$52),'RESULTADO INDEXADO'!F52,IF(AND('RESULTADO INDEXADO'!$A$54="ALDRO",$H$42='RESULTADO INDEXADO'!$C$54,$C$81='RESULTADO INDEXADO'!$B$54),'RESULTADO INDEXADO'!F54,IF(AND('RESULTADO INDEXADO'!$A$56="ALDRO",$H$42='RESULTADO INDEXADO'!$C$56,$C$81='RESULTADO INDEXADO'!$B$56),'RESULTADO INDEXADO'!F56,IF(AND('RESULTADO INDEXADO'!$A$58="ALDRO",$H$42='RESULTADO INDEXADO'!$C$58,$C$81='RESULTADO INDEXADO'!$B$58),'RESULTADO INDEXADO'!F58,IF(AND('RESULTADO INDEXADO'!$A$60="ALDRO",$H$42='RESULTADO INDEXADO'!$C$60,$C$81='RESULTADO INDEXADO'!$B$60),'RESULTADO INDEXADO'!F60,IF(AND('RESULTADO INDEXADO'!$A$62="ALDRO",$H$42='RESULTADO INDEXADO'!$C$62,$C$81='RESULTADO INDEXADO'!$B$62),'RESULTADO INDEXADO'!F62,IF(AND('RESULTADO INDEXADO'!$A$64="ALDRO",$H$42='RESULTADO INDEXADO'!$C$64,$C$81='RESULTADO INDEXADO'!$B$64),'RESULTADO INDEXADO'!F64,IF(AND('RESULTADO INDEXADO'!$A$66="ALDRO",$H$42='RESULTADO INDEXADO'!$C$66,$C$81='RESULTADO INDEXADO'!$B$66),'RESULTADO INDEXADO'!F66,IF(AND('RESULTADO INDEXADO'!$A$68="ALDRO",$H$42='RESULTADO INDEXADO'!$C$68,$C$81='RESULTADO INDEXADO'!$B$68),'RESULTADO INDEXADO'!F68,IF(AND('RESULTADO INDEXADO'!$A$70="ALDRO",$H$42='RESULTADO INDEXADO'!$C$70,$C$81='RESULTADO INDEXADO'!$B$70),'RESULTADO INDEXADO'!F70,IF(AND('RESULTADO INDEXADO'!$A$72="ALDRO",$H$42='RESULTADO INDEXADO'!$C$72,$C$81='RESULTADO INDEXADO'!$B$72),'RESULTADO INDEXADO'!F72,IF(AND('RESULTADO INDEXADO'!$A$74="ALDRO",$H$42='RESULTADO INDEXADO'!$C$74,$C$81='RESULTADO INDEXADO'!$B$74),'RESULTADO INDEXADO'!F74,IF(AND('RESULTADO INDEXADO'!$A$76="ALDRO",$H$42='RESULTADO INDEXADO'!$C$76,$C$81='RESULTADO INDEXADO'!$B$76),'RESULTADO INDEXADO'!F76,IF(AND('RESULTADO INDEXADO'!$A$78="ALDRO",$H$42='RESULTADO INDEXADO'!$C$78,$C$81='RESULTADO INDEXADO'!$B$78),'RESULTADO INDEXADO'!F78,IF(AND('RESULTADO INDEXADO'!$A$80="ALDRO",$H$42='RESULTADO INDEXADO'!$C$80,$C$81='RESULTADO INDEXADO'!$B$80),'RESULTADO INDEXADO'!F80,""))))))))))))))))))))</f>
        <v>0</v>
      </c>
      <c r="F83" s="14" t="b">
        <f>IF(AND('RESULTADO INDEXADO'!$A$42="ALDRO",$H$42='RESULTADO INDEXADO'!$C$42,$C$81='RESULTADO INDEXADO'!$B$42),'RESULTADO INDEXADO'!G42,IF(AND('RESULTADO INDEXADO'!$A$44="ALDRO",$H$42='RESULTADO INDEXADO'!$C$44,$C$81='RESULTADO INDEXADO'!$B$44),'RESULTADO INDEXADO'!G44,IF(AND('RESULTADO INDEXADO'!$A$46="ALDRO",$H$42='RESULTADO INDEXADO'!$C$46,$C$81='RESULTADO INDEXADO'!$B$46),'RESULTADO INDEXADO'!G46,IF(AND('RESULTADO INDEXADO'!$A$48="ALDRO",$H$42='RESULTADO INDEXADO'!$C$48,$C$81='RESULTADO INDEXADO'!$B$48),'RESULTADO INDEXADO'!G48,IF(AND('RESULTADO INDEXADO'!$A$50="ALDRO",$H$42='RESULTADO INDEXADO'!$C$50,$C$81='RESULTADO INDEXADO'!$B$50),'RESULTADO INDEXADO'!G50,IF(AND('RESULTADO INDEXADO'!$A$52="ALDRO",$H$42='RESULTADO INDEXADO'!$C$52,$C$81='RESULTADO INDEXADO'!$B$52),'RESULTADO INDEXADO'!G52,IF(AND('RESULTADO INDEXADO'!$A$54="ALDRO",$H$42='RESULTADO INDEXADO'!$C$54,$C$81='RESULTADO INDEXADO'!$B$54),'RESULTADO INDEXADO'!G54,IF(AND('RESULTADO INDEXADO'!$A$56="ALDRO",$H$42='RESULTADO INDEXADO'!$C$56,$C$81='RESULTADO INDEXADO'!$B$56),'RESULTADO INDEXADO'!G56,IF(AND('RESULTADO INDEXADO'!$A$58="ALDRO",$H$42='RESULTADO INDEXADO'!$C$58,$C$81='RESULTADO INDEXADO'!$B$58),'RESULTADO INDEXADO'!G58,IF(AND('RESULTADO INDEXADO'!$A$60="ALDRO",$H$42='RESULTADO INDEXADO'!$C$60,$C$81='RESULTADO INDEXADO'!$B$60),'RESULTADO INDEXADO'!G60,IF(AND('RESULTADO INDEXADO'!$A$62="ALDRO",$H$42='RESULTADO INDEXADO'!$C$62,$C$81='RESULTADO INDEXADO'!$B$62),'RESULTADO INDEXADO'!G62,IF(AND('RESULTADO INDEXADO'!$A$64="ALDRO",$H$42='RESULTADO INDEXADO'!$C$64,$C$81='RESULTADO INDEXADO'!$B$64),'RESULTADO INDEXADO'!G64,IF(AND('RESULTADO INDEXADO'!$A$66="ALDRO",$H$42='RESULTADO INDEXADO'!$C$66,$C$81='RESULTADO INDEXADO'!$B$66),'RESULTADO INDEXADO'!G66,IF(AND('RESULTADO INDEXADO'!$A$68="ALDRO",$H$42='RESULTADO INDEXADO'!$C$68,$C$81='RESULTADO INDEXADO'!$B$68),'RESULTADO INDEXADO'!G68,IF(AND('RESULTADO INDEXADO'!$A$70="ALDRO",$H$42='RESULTADO INDEXADO'!$C$70,$C$81='RESULTADO INDEXADO'!$B$70),'RESULTADO INDEXADO'!G70,IF(AND('RESULTADO INDEXADO'!$A$72="ALDRO",$H$42='RESULTADO INDEXADO'!$C$72,$C$81='RESULTADO INDEXADO'!$B$72),'RESULTADO INDEXADO'!G72,IF(AND('RESULTADO INDEXADO'!$A$74="ALDRO",$H$42='RESULTADO INDEXADO'!$C$74,$C$81='RESULTADO INDEXADO'!$B$74),'RESULTADO INDEXADO'!G74,IF(AND('RESULTADO INDEXADO'!$A$76="ALDRO",$H$42='RESULTADO INDEXADO'!$C$76,$C$81='RESULTADO INDEXADO'!$B$76),'RESULTADO INDEXADO'!G76,IF(AND('RESULTADO INDEXADO'!$A$78="ALDRO",$H$42='RESULTADO INDEXADO'!$C$78,$C$81='RESULTADO INDEXADO'!$B$78),'RESULTADO INDEXADO'!G78,IF(AND('RESULTADO INDEXADO'!$A$80="ALDRO",$H$42='RESULTADO INDEXADO'!$C$80,$C$81='RESULTADO INDEXADO'!$B$80),'RESULTADO INDEXADO'!G80,""))))))))))))))))))))</f>
        <v>0</v>
      </c>
      <c r="G83" s="14" t="b">
        <f>IF(AND('RESULTADO INDEXADO'!$A$42="ALDRO",$H$42='RESULTADO INDEXADO'!$C$42,$C$81='RESULTADO INDEXADO'!$B$42),'RESULTADO INDEXADO'!H42,IF(AND('RESULTADO INDEXADO'!$A$44="ALDRO",$H$42='RESULTADO INDEXADO'!$C$44,$C$81='RESULTADO INDEXADO'!$B$44),'RESULTADO INDEXADO'!H44,IF(AND('RESULTADO INDEXADO'!$A$46="ALDRO",$H$42='RESULTADO INDEXADO'!$C$46,$C$81='RESULTADO INDEXADO'!$B$46),'RESULTADO INDEXADO'!H46,IF(AND('RESULTADO INDEXADO'!$A$48="ALDRO",$H$42='RESULTADO INDEXADO'!$C$48,$C$81='RESULTADO INDEXADO'!$B$48),'RESULTADO INDEXADO'!H48,IF(AND('RESULTADO INDEXADO'!$A$50="ALDRO",$H$42='RESULTADO INDEXADO'!$C$50,$C$81='RESULTADO INDEXADO'!$B$50),'RESULTADO INDEXADO'!H50,IF(AND('RESULTADO INDEXADO'!$A$52="ALDRO",$H$42='RESULTADO INDEXADO'!$C$52,$C$81='RESULTADO INDEXADO'!$B$52),'RESULTADO INDEXADO'!H52,IF(AND('RESULTADO INDEXADO'!$A$54="ALDRO",$H$42='RESULTADO INDEXADO'!$C$54,$C$81='RESULTADO INDEXADO'!$B$54),'RESULTADO INDEXADO'!H54,IF(AND('RESULTADO INDEXADO'!$A$56="ALDRO",$H$42='RESULTADO INDEXADO'!$C$56,$C$81='RESULTADO INDEXADO'!$B$56),'RESULTADO INDEXADO'!H56,IF(AND('RESULTADO INDEXADO'!$A$58="ALDRO",$H$42='RESULTADO INDEXADO'!$C$58,$C$81='RESULTADO INDEXADO'!$B$58),'RESULTADO INDEXADO'!H58,IF(AND('RESULTADO INDEXADO'!$A$60="ALDRO",$H$42='RESULTADO INDEXADO'!$C$60,$C$81='RESULTADO INDEXADO'!$B$60),'RESULTADO INDEXADO'!H60,IF(AND('RESULTADO INDEXADO'!$A$62="ALDRO",$H$42='RESULTADO INDEXADO'!$C$62,$C$81='RESULTADO INDEXADO'!$B$62),'RESULTADO INDEXADO'!H62,IF(AND('RESULTADO INDEXADO'!$A$64="ALDRO",$H$42='RESULTADO INDEXADO'!$C$64,$C$81='RESULTADO INDEXADO'!$B$64),'RESULTADO INDEXADO'!H64,IF(AND('RESULTADO INDEXADO'!$A$66="ALDRO",$H$42='RESULTADO INDEXADO'!$C$66,$C$81='RESULTADO INDEXADO'!$B$66),'RESULTADO INDEXADO'!H66,IF(AND('RESULTADO INDEXADO'!$A$68="ALDRO",$H$42='RESULTADO INDEXADO'!$C$68,$C$81='RESULTADO INDEXADO'!$B$68),'RESULTADO INDEXADO'!H68,IF(AND('RESULTADO INDEXADO'!$A$70="ALDRO",$H$42='RESULTADO INDEXADO'!$C$70,$C$81='RESULTADO INDEXADO'!$B$70),'RESULTADO INDEXADO'!H70,IF(AND('RESULTADO INDEXADO'!$A$72="ALDRO",$H$42='RESULTADO INDEXADO'!$C$72,$C$81='RESULTADO INDEXADO'!$B$72),'RESULTADO INDEXADO'!H72,IF(AND('RESULTADO INDEXADO'!$A$74="ALDRO",$H$42='RESULTADO INDEXADO'!$C$74,$C$81='RESULTADO INDEXADO'!$B$74),'RESULTADO INDEXADO'!H74,IF(AND('RESULTADO INDEXADO'!$A$76="ALDRO",$H$42='RESULTADO INDEXADO'!$C$76,$C$81='RESULTADO INDEXADO'!$B$76),'RESULTADO INDEXADO'!H76,IF(AND('RESULTADO INDEXADO'!$A$78="ALDRO",$H$42='RESULTADO INDEXADO'!$C$78,$C$81='RESULTADO INDEXADO'!$B$78),'RESULTADO INDEXADO'!H78,IF(AND('RESULTADO INDEXADO'!$A$80="ALDRO",$H$42='RESULTADO INDEXADO'!$C$80,$C$81='RESULTADO INDEXADO'!$B$80),'RESULTADO INDEXADO'!H80,""))))))))))))))))))))</f>
        <v>0</v>
      </c>
      <c r="H83" s="14" t="b">
        <f>IF(AND('RESULTADO INDEXADO'!$A$42="ALDRO",$H$42='RESULTADO INDEXADO'!$C$42,$C$81='RESULTADO INDEXADO'!$B$42),'RESULTADO INDEXADO'!I42,IF(AND('RESULTADO INDEXADO'!$A$44="ALDRO",$H$42='RESULTADO INDEXADO'!$C$44,$C$81='RESULTADO INDEXADO'!$B$44),'RESULTADO INDEXADO'!I44,IF(AND('RESULTADO INDEXADO'!$A$46="ALDRO",$H$42='RESULTADO INDEXADO'!$C$46,$C$81='RESULTADO INDEXADO'!$B$46),'RESULTADO INDEXADO'!I46,IF(AND('RESULTADO INDEXADO'!$A$48="ALDRO",$H$42='RESULTADO INDEXADO'!$C$48,$C$81='RESULTADO INDEXADO'!$B$48),'RESULTADO INDEXADO'!I48,IF(AND('RESULTADO INDEXADO'!$A$50="ALDRO",$H$42='RESULTADO INDEXADO'!$C$50,$C$81='RESULTADO INDEXADO'!$B$50),'RESULTADO INDEXADO'!I50,IF(AND('RESULTADO INDEXADO'!$A$52="ALDRO",$H$42='RESULTADO INDEXADO'!$C$52,$C$81='RESULTADO INDEXADO'!$B$52),'RESULTADO INDEXADO'!I52,IF(AND('RESULTADO INDEXADO'!$A$54="ALDRO",$H$42='RESULTADO INDEXADO'!$C$54,$C$81='RESULTADO INDEXADO'!$B$54),'RESULTADO INDEXADO'!I54,IF(AND('RESULTADO INDEXADO'!$A$56="ALDRO",$H$42='RESULTADO INDEXADO'!$C$56,$C$81='RESULTADO INDEXADO'!$B$56),'RESULTADO INDEXADO'!I56,IF(AND('RESULTADO INDEXADO'!$A$58="ALDRO",$H$42='RESULTADO INDEXADO'!$C$58,$C$81='RESULTADO INDEXADO'!$B$58),'RESULTADO INDEXADO'!I58,IF(AND('RESULTADO INDEXADO'!$A$60="ALDRO",$H$42='RESULTADO INDEXADO'!$C$60,$C$81='RESULTADO INDEXADO'!$B$60),'RESULTADO INDEXADO'!I60,IF(AND('RESULTADO INDEXADO'!$A$62="ALDRO",$H$42='RESULTADO INDEXADO'!$C$62,$C$81='RESULTADO INDEXADO'!$B$62),'RESULTADO INDEXADO'!I62,IF(AND('RESULTADO INDEXADO'!$A$64="ALDRO",$H$42='RESULTADO INDEXADO'!$C$64,$C$81='RESULTADO INDEXADO'!$B$64),'RESULTADO INDEXADO'!I64,IF(AND('RESULTADO INDEXADO'!$A$66="ALDRO",$H$42='RESULTADO INDEXADO'!$C$66,$C$81='RESULTADO INDEXADO'!$B$66),'RESULTADO INDEXADO'!I66,IF(AND('RESULTADO INDEXADO'!$A$68="ALDRO",$H$42='RESULTADO INDEXADO'!$C$68,$C$81='RESULTADO INDEXADO'!$B$68),'RESULTADO INDEXADO'!I68,IF(AND('RESULTADO INDEXADO'!$A$70="ALDRO",$H$42='RESULTADO INDEXADO'!$C$70,$C$81='RESULTADO INDEXADO'!$B$70),'RESULTADO INDEXADO'!I70,IF(AND('RESULTADO INDEXADO'!$A$72="ALDRO",$H$42='RESULTADO INDEXADO'!$C$72,$C$81='RESULTADO INDEXADO'!$B$72),'RESULTADO INDEXADO'!I72,IF(AND('RESULTADO INDEXADO'!$A$74="ALDRO",$H$42='RESULTADO INDEXADO'!$C$74,$C$81='RESULTADO INDEXADO'!$B$74),'RESULTADO INDEXADO'!I74,IF(AND('RESULTADO INDEXADO'!$A$76="ALDRO",$H$42='RESULTADO INDEXADO'!$C$76,$C$81='RESULTADO INDEXADO'!$B$76),'RESULTADO INDEXADO'!I76,IF(AND('RESULTADO INDEXADO'!$A$78="ALDRO",$H$42='RESULTADO INDEXADO'!$C$78,$C$81='RESULTADO INDEXADO'!$B$78),'RESULTADO INDEXADO'!I78,IF(AND('RESULTADO INDEXADO'!$A$80="ALDRO",$H$42='RESULTADO INDEXADO'!$C$80,$C$81='RESULTADO INDEXADO'!$B$80),'RESULTADO INDEXADO'!I80,""))))))))))))))))))))</f>
        <v>0</v>
      </c>
      <c r="I83" s="14" t="b">
        <f>IF(AND('RESULTADO INDEXADO'!$A$42="ALDRO",$H$42='RESULTADO INDEXADO'!$C$42,$C$81='RESULTADO INDEXADO'!$B$42),'RESULTADO INDEXADO'!J42,IF(AND('RESULTADO INDEXADO'!$A$44="ALDRO",$H$42='RESULTADO INDEXADO'!$C$44,$C$81='RESULTADO INDEXADO'!$B$44),'RESULTADO INDEXADO'!J44,IF(AND('RESULTADO INDEXADO'!$A$46="ALDRO",$H$42='RESULTADO INDEXADO'!$C$46,$C$81='RESULTADO INDEXADO'!$B$46),'RESULTADO INDEXADO'!J46,IF(AND('RESULTADO INDEXADO'!$A$48="ALDRO",$H$42='RESULTADO INDEXADO'!$C$48,$C$81='RESULTADO INDEXADO'!$B$48),'RESULTADO INDEXADO'!J48,IF(AND('RESULTADO INDEXADO'!$A$50="ALDRO",$H$42='RESULTADO INDEXADO'!$C$50,$C$81='RESULTADO INDEXADO'!$B$50),'RESULTADO INDEXADO'!J50,IF(AND('RESULTADO INDEXADO'!$A$52="ALDRO",$H$42='RESULTADO INDEXADO'!$C$52,$C$81='RESULTADO INDEXADO'!$B$52),'RESULTADO INDEXADO'!J52,IF(AND('RESULTADO INDEXADO'!$A$54="ALDRO",$H$42='RESULTADO INDEXADO'!$C$54,$C$81='RESULTADO INDEXADO'!$B$54),'RESULTADO INDEXADO'!J54,IF(AND('RESULTADO INDEXADO'!$A$56="ALDRO",$H$42='RESULTADO INDEXADO'!$C$56,$C$81='RESULTADO INDEXADO'!$B$56),'RESULTADO INDEXADO'!J56,IF(AND('RESULTADO INDEXADO'!$A$58="ALDRO",$H$42='RESULTADO INDEXADO'!$C$58,$C$81='RESULTADO INDEXADO'!$B$58),'RESULTADO INDEXADO'!J58,IF(AND('RESULTADO INDEXADO'!$A$60="ALDRO",$H$42='RESULTADO INDEXADO'!$C$60,$C$81='RESULTADO INDEXADO'!$B$60),'RESULTADO INDEXADO'!J60,IF(AND('RESULTADO INDEXADO'!$A$62="ALDRO",$H$42='RESULTADO INDEXADO'!$C$62,$C$81='RESULTADO INDEXADO'!$B$62),'RESULTADO INDEXADO'!J62,IF(AND('RESULTADO INDEXADO'!$A$64="ALDRO",$H$42='RESULTADO INDEXADO'!$C$64,$C$81='RESULTADO INDEXADO'!$B$64),'RESULTADO INDEXADO'!J64,IF(AND('RESULTADO INDEXADO'!$A$66="ALDRO",$H$42='RESULTADO INDEXADO'!$C$66,$C$81='RESULTADO INDEXADO'!$B$66),'RESULTADO INDEXADO'!J66,IF(AND('RESULTADO INDEXADO'!$A$68="ALDRO",$H$42='RESULTADO INDEXADO'!$C$68,$C$81='RESULTADO INDEXADO'!$B$68),'RESULTADO INDEXADO'!J68,IF(AND('RESULTADO INDEXADO'!$A$70="ALDRO",$H$42='RESULTADO INDEXADO'!$C$70,$C$81='RESULTADO INDEXADO'!$B$70),'RESULTADO INDEXADO'!J70,IF(AND('RESULTADO INDEXADO'!$A$72="ALDRO",$H$42='RESULTADO INDEXADO'!$C$72,$C$81='RESULTADO INDEXADO'!$B$72),'RESULTADO INDEXADO'!J72,IF(AND('RESULTADO INDEXADO'!$A$74="ALDRO",$H$42='RESULTADO INDEXADO'!$C$74,$C$81='RESULTADO INDEXADO'!$B$74),'RESULTADO INDEXADO'!J74,IF(AND('RESULTADO INDEXADO'!$A$76="ALDRO",$H$42='RESULTADO INDEXADO'!$C$76,$C$81='RESULTADO INDEXADO'!$B$76),'RESULTADO INDEXADO'!J76,IF(AND('RESULTADO INDEXADO'!$A$78="ALDRO",$H$42='RESULTADO INDEXADO'!$C$78,$C$81='RESULTADO INDEXADO'!$B$78),'RESULTADO INDEXADO'!J78,IF(AND('RESULTADO INDEXADO'!$A$80="ALDRO",$H$42='RESULTADO INDEXADO'!$C$80,$C$81='RESULTADO INDEXADO'!$B$80),'RESULTADO INDEXADO'!J80,""))))))))))))))))))))</f>
        <v>0</v>
      </c>
      <c r="K83" s="143"/>
    </row>
    <row r="84" spans="1:11" ht="13.5" customHeight="1">
      <c r="B84" s="84"/>
      <c r="C84" s="4" t="s">
        <v>118</v>
      </c>
      <c r="D84" s="14" t="b">
        <f>IF(AND('RESULTADO INDEXADO'!$A$42="ALDRO",$H$42='RESULTADO INDEXADO'!$C$42,$C$81='RESULTADO INDEXADO'!$B$42),'RESULTADO INDEXADO'!E43,IF(AND('RESULTADO INDEXADO'!$A$44="ALDRO",$H$42='RESULTADO INDEXADO'!$C$44,$C$81='RESULTADO INDEXADO'!$B$44),'RESULTADO INDEXADO'!E45,IF(AND('RESULTADO INDEXADO'!$A$46="ALDRO",$H$42='RESULTADO INDEXADO'!$C$46,$C$81='RESULTADO INDEXADO'!$B$46),'RESULTADO INDEXADO'!E47,IF(AND('RESULTADO INDEXADO'!$A$48="ALDRO",$H$42='RESULTADO INDEXADO'!$C$48,$C$81='RESULTADO INDEXADO'!$B$48),'RESULTADO INDEXADO'!E49,IF(AND('RESULTADO INDEXADO'!$A$50="ALDRO",$H$42='RESULTADO INDEXADO'!$C$50,$C$81='RESULTADO INDEXADO'!$B$50),'RESULTADO INDEXADO'!E51,IF(AND('RESULTADO INDEXADO'!$A$52="ALDRO",$H$42='RESULTADO INDEXADO'!$C$52,$C$81='RESULTADO INDEXADO'!$B$52),'RESULTADO INDEXADO'!E53,IF(AND('RESULTADO INDEXADO'!$A$54="ALDRO",$H$42='RESULTADO INDEXADO'!$C$54,$C$81='RESULTADO INDEXADO'!$B$54),'RESULTADO INDEXADO'!E55,IF(AND('RESULTADO INDEXADO'!$A$56="ALDRO",$H$42='RESULTADO INDEXADO'!$C$56,$C$81='RESULTADO INDEXADO'!$B$56),'RESULTADO INDEXADO'!E57,IF(AND('RESULTADO INDEXADO'!$A$58="ALDRO",$H$42='RESULTADO INDEXADO'!$C$58,$C$81='RESULTADO INDEXADO'!$B$58),'RESULTADO INDEXADO'!E59,IF(AND('RESULTADO INDEXADO'!$A$60="ALDRO",$H$42='RESULTADO INDEXADO'!$C$60,$C$81='RESULTADO INDEXADO'!$B$60),'RESULTADO INDEXADO'!E61,IF(AND('RESULTADO INDEXADO'!$A$62="ALDRO",$H$42='RESULTADO INDEXADO'!$C$62,$C$81='RESULTADO INDEXADO'!$B$62),'RESULTADO INDEXADO'!E63,IF(AND('RESULTADO INDEXADO'!$A$64="ALDRO",$H$42='RESULTADO INDEXADO'!$C$64,$C$81='RESULTADO INDEXADO'!$B$64),'RESULTADO INDEXADO'!E65,IF(AND('RESULTADO INDEXADO'!$A$66="ALDRO",$H$42='RESULTADO INDEXADO'!$C$66,$C$81='RESULTADO INDEXADO'!$B$66),'RESULTADO INDEXADO'!E67,IF(AND('RESULTADO INDEXADO'!$A$68="ALDRO",$H$42='RESULTADO INDEXADO'!$C$68,$C$81='RESULTADO INDEXADO'!$B$68),'RESULTADO INDEXADO'!E69,IF(AND('RESULTADO INDEXADO'!$A$70="ALDRO",$H$42='RESULTADO INDEXADO'!$C$70,$C$81='RESULTADO INDEXADO'!$B$70),'RESULTADO INDEXADO'!E71,IF(AND('RESULTADO INDEXADO'!$A$72="ALDRO",$H$42='RESULTADO INDEXADO'!$C$72,$C$81='RESULTADO INDEXADO'!$B$72),'RESULTADO INDEXADO'!E73,IF(AND('RESULTADO INDEXADO'!$A$74="ALDRO",$H$42='RESULTADO INDEXADO'!$C$74,$C$81='RESULTADO INDEXADO'!$B$74),'RESULTADO INDEXADO'!E75,IF(AND('RESULTADO INDEXADO'!$A$76="ALDRO",$H$42='RESULTADO INDEXADO'!$C$76,$C$81='RESULTADO INDEXADO'!$B$76),'RESULTADO INDEXADO'!E77,IF(AND('RESULTADO INDEXADO'!$A$78="ALDRO",$H$42='RESULTADO INDEXADO'!$C$78,$C$81='RESULTADO INDEXADO'!$B$78),'RESULTADO INDEXADO'!E79,IF(AND('RESULTADO INDEXADO'!$A$80="ALDRO",$H$42='RESULTADO INDEXADO'!$C$80,$C$81='RESULTADO INDEXADO'!$B$80),'RESULTADO INDEXADO'!E81,""))))))))))))))))))))</f>
        <v>0</v>
      </c>
      <c r="E84" s="14" t="b">
        <f>IF(AND('RESULTADO INDEXADO'!$A$42="ALDRO",$H$42='RESULTADO INDEXADO'!$C$42,$C$81='RESULTADO INDEXADO'!$B$42),'RESULTADO INDEXADO'!F43,IF(AND('RESULTADO INDEXADO'!$A$44="ALDRO",$H$42='RESULTADO INDEXADO'!$C$44,$C$81='RESULTADO INDEXADO'!$B$44),'RESULTADO INDEXADO'!F45,IF(AND('RESULTADO INDEXADO'!$A$46="ALDRO",$H$42='RESULTADO INDEXADO'!$C$46,$C$81='RESULTADO INDEXADO'!$B$46),'RESULTADO INDEXADO'!F47,IF(AND('RESULTADO INDEXADO'!$A$48="ALDRO",$H$42='RESULTADO INDEXADO'!$C$48,$C$81='RESULTADO INDEXADO'!$B$48),'RESULTADO INDEXADO'!F49,IF(AND('RESULTADO INDEXADO'!$A$50="ALDRO",$H$42='RESULTADO INDEXADO'!$C$50,$C$81='RESULTADO INDEXADO'!$B$50),'RESULTADO INDEXADO'!F51,IF(AND('RESULTADO INDEXADO'!$A$52="ALDRO",$H$42='RESULTADO INDEXADO'!$C$52,$C$81='RESULTADO INDEXADO'!$B$52),'RESULTADO INDEXADO'!F53,IF(AND('RESULTADO INDEXADO'!$A$54="ALDRO",$H$42='RESULTADO INDEXADO'!$C$54,$C$81='RESULTADO INDEXADO'!$B$54),'RESULTADO INDEXADO'!F55,IF(AND('RESULTADO INDEXADO'!$A$56="ALDRO",$H$42='RESULTADO INDEXADO'!$C$56,$C$81='RESULTADO INDEXADO'!$B$56),'RESULTADO INDEXADO'!F57,IF(AND('RESULTADO INDEXADO'!$A$58="ALDRO",$H$42='RESULTADO INDEXADO'!$C$58,$C$81='RESULTADO INDEXADO'!$B$58),'RESULTADO INDEXADO'!F59,IF(AND('RESULTADO INDEXADO'!$A$60="ALDRO",$H$42='RESULTADO INDEXADO'!$C$60,$C$81='RESULTADO INDEXADO'!$B$60),'RESULTADO INDEXADO'!F61,IF(AND('RESULTADO INDEXADO'!$A$62="ALDRO",$H$42='RESULTADO INDEXADO'!$C$62,$C$81='RESULTADO INDEXADO'!$B$62),'RESULTADO INDEXADO'!F63,IF(AND('RESULTADO INDEXADO'!$A$64="ALDRO",$H$42='RESULTADO INDEXADO'!$C$64,$C$81='RESULTADO INDEXADO'!$B$64),'RESULTADO INDEXADO'!F65,IF(AND('RESULTADO INDEXADO'!$A$66="ALDRO",$H$42='RESULTADO INDEXADO'!$C$66,$C$81='RESULTADO INDEXADO'!$B$66),'RESULTADO INDEXADO'!F67,IF(AND('RESULTADO INDEXADO'!$A$68="ALDRO",$H$42='RESULTADO INDEXADO'!$C$68,$C$81='RESULTADO INDEXADO'!$B$68),'RESULTADO INDEXADO'!F69,IF(AND('RESULTADO INDEXADO'!$A$70="ALDRO",$H$42='RESULTADO INDEXADO'!$C$70,$C$81='RESULTADO INDEXADO'!$B$70),'RESULTADO INDEXADO'!F71,IF(AND('RESULTADO INDEXADO'!$A$72="ALDRO",$H$42='RESULTADO INDEXADO'!$C$72,$C$81='RESULTADO INDEXADO'!$B$72),'RESULTADO INDEXADO'!F73,IF(AND('RESULTADO INDEXADO'!$A$74="ALDRO",$H$42='RESULTADO INDEXADO'!$C$74,$C$81='RESULTADO INDEXADO'!$B$74),'RESULTADO INDEXADO'!F75,IF(AND('RESULTADO INDEXADO'!$A$76="ALDRO",$H$42='RESULTADO INDEXADO'!$C$76,$C$81='RESULTADO INDEXADO'!$B$76),'RESULTADO INDEXADO'!F77,IF(AND('RESULTADO INDEXADO'!$A$78="ALDRO",$H$42='RESULTADO INDEXADO'!$C$78,$C$81='RESULTADO INDEXADO'!$B$78),'RESULTADO INDEXADO'!F79,IF(AND('RESULTADO INDEXADO'!$A$80="ALDRO",$H$42='RESULTADO INDEXADO'!$C$80,$C$81='RESULTADO INDEXADO'!$B$80),'RESULTADO INDEXADO'!F81,""))))))))))))))))))))</f>
        <v>0</v>
      </c>
      <c r="F84" s="14" t="b">
        <f>IF(AND('RESULTADO INDEXADO'!$A$42="ALDRO",$H$42='RESULTADO INDEXADO'!$C$42,$C$81='RESULTADO INDEXADO'!$B$42),'RESULTADO INDEXADO'!G43,IF(AND('RESULTADO INDEXADO'!$A$44="ALDRO",$H$42='RESULTADO INDEXADO'!$C$44,$C$81='RESULTADO INDEXADO'!$B$44),'RESULTADO INDEXADO'!G45,IF(AND('RESULTADO INDEXADO'!$A$46="ALDRO",$H$42='RESULTADO INDEXADO'!$C$46,$C$81='RESULTADO INDEXADO'!$B$46),'RESULTADO INDEXADO'!G47,IF(AND('RESULTADO INDEXADO'!$A$48="ALDRO",$H$42='RESULTADO INDEXADO'!$C$48,$C$81='RESULTADO INDEXADO'!$B$48),'RESULTADO INDEXADO'!G49,IF(AND('RESULTADO INDEXADO'!$A$50="ALDRO",$H$42='RESULTADO INDEXADO'!$C$50,$C$81='RESULTADO INDEXADO'!$B$50),'RESULTADO INDEXADO'!G51,IF(AND('RESULTADO INDEXADO'!$A$52="ALDRO",$H$42='RESULTADO INDEXADO'!$C$52,$C$81='RESULTADO INDEXADO'!$B$52),'RESULTADO INDEXADO'!G53,IF(AND('RESULTADO INDEXADO'!$A$54="ALDRO",$H$42='RESULTADO INDEXADO'!$C$54,$C$81='RESULTADO INDEXADO'!$B$54),'RESULTADO INDEXADO'!G55,IF(AND('RESULTADO INDEXADO'!$A$56="ALDRO",$H$42='RESULTADO INDEXADO'!$C$56,$C$81='RESULTADO INDEXADO'!$B$56),'RESULTADO INDEXADO'!G57,IF(AND('RESULTADO INDEXADO'!$A$58="ALDRO",$H$42='RESULTADO INDEXADO'!$C$58,$C$81='RESULTADO INDEXADO'!$B$58),'RESULTADO INDEXADO'!G59,IF(AND('RESULTADO INDEXADO'!$A$60="ALDRO",$H$42='RESULTADO INDEXADO'!$C$60,$C$81='RESULTADO INDEXADO'!$B$60),'RESULTADO INDEXADO'!G61,IF(AND('RESULTADO INDEXADO'!$A$62="ALDRO",$H$42='RESULTADO INDEXADO'!$C$62,$C$81='RESULTADO INDEXADO'!$B$62),'RESULTADO INDEXADO'!G63,IF(AND('RESULTADO INDEXADO'!$A$64="ALDRO",$H$42='RESULTADO INDEXADO'!$C$64,$C$81='RESULTADO INDEXADO'!$B$64),'RESULTADO INDEXADO'!G65,IF(AND('RESULTADO INDEXADO'!$A$66="ALDRO",$H$42='RESULTADO INDEXADO'!$C$66,$C$81='RESULTADO INDEXADO'!$B$66),'RESULTADO INDEXADO'!G67,IF(AND('RESULTADO INDEXADO'!$A$68="ALDRO",$H$42='RESULTADO INDEXADO'!$C$68,$C$81='RESULTADO INDEXADO'!$B$68),'RESULTADO INDEXADO'!G69,IF(AND('RESULTADO INDEXADO'!$A$70="ALDRO",$H$42='RESULTADO INDEXADO'!$C$70,$C$81='RESULTADO INDEXADO'!$B$70),'RESULTADO INDEXADO'!G71,IF(AND('RESULTADO INDEXADO'!$A$72="ALDRO",$H$42='RESULTADO INDEXADO'!$C$72,$C$81='RESULTADO INDEXADO'!$B$72),'RESULTADO INDEXADO'!G73,IF(AND('RESULTADO INDEXADO'!$A$74="ALDRO",$H$42='RESULTADO INDEXADO'!$C$74,$C$81='RESULTADO INDEXADO'!$B$74),'RESULTADO INDEXADO'!G75,IF(AND('RESULTADO INDEXADO'!$A$76="ALDRO",$H$42='RESULTADO INDEXADO'!$C$76,$C$81='RESULTADO INDEXADO'!$B$76),'RESULTADO INDEXADO'!G77,IF(AND('RESULTADO INDEXADO'!$A$78="ALDRO",$H$42='RESULTADO INDEXADO'!$C$78,$C$81='RESULTADO INDEXADO'!$B$78),'RESULTADO INDEXADO'!G79,IF(AND('RESULTADO INDEXADO'!$A$80="ALDRO",$H$42='RESULTADO INDEXADO'!$C$80,$C$81='RESULTADO INDEXADO'!$B$80),'RESULTADO INDEXADO'!G81,""))))))))))))))))))))</f>
        <v>0</v>
      </c>
      <c r="G84" s="14" t="b">
        <f>IF(AND('RESULTADO INDEXADO'!$A$42="ALDRO",$H$42='RESULTADO INDEXADO'!$C$42,$C$81='RESULTADO INDEXADO'!$B$42),'RESULTADO INDEXADO'!H43,IF(AND('RESULTADO INDEXADO'!$A$44="ALDRO",$H$42='RESULTADO INDEXADO'!$C$44,$C$81='RESULTADO INDEXADO'!$B$44),'RESULTADO INDEXADO'!H45,IF(AND('RESULTADO INDEXADO'!$A$46="ALDRO",$H$42='RESULTADO INDEXADO'!$C$46,$C$81='RESULTADO INDEXADO'!$B$46),'RESULTADO INDEXADO'!H47,IF(AND('RESULTADO INDEXADO'!$A$48="ALDRO",$H$42='RESULTADO INDEXADO'!$C$48,$C$81='RESULTADO INDEXADO'!$B$48),'RESULTADO INDEXADO'!H49,IF(AND('RESULTADO INDEXADO'!$A$50="ALDRO",$H$42='RESULTADO INDEXADO'!$C$50,$C$81='RESULTADO INDEXADO'!$B$50),'RESULTADO INDEXADO'!H51,IF(AND('RESULTADO INDEXADO'!$A$52="ALDRO",$H$42='RESULTADO INDEXADO'!$C$52,$C$81='RESULTADO INDEXADO'!$B$52),'RESULTADO INDEXADO'!H53,IF(AND('RESULTADO INDEXADO'!$A$54="ALDRO",$H$42='RESULTADO INDEXADO'!$C$54,$C$81='RESULTADO INDEXADO'!$B$54),'RESULTADO INDEXADO'!H55,IF(AND('RESULTADO INDEXADO'!$A$56="ALDRO",$H$42='RESULTADO INDEXADO'!$C$56,$C$81='RESULTADO INDEXADO'!$B$56),'RESULTADO INDEXADO'!H57,IF(AND('RESULTADO INDEXADO'!$A$58="ALDRO",$H$42='RESULTADO INDEXADO'!$C$58,$C$81='RESULTADO INDEXADO'!$B$58),'RESULTADO INDEXADO'!H59,IF(AND('RESULTADO INDEXADO'!$A$60="ALDRO",$H$42='RESULTADO INDEXADO'!$C$60,$C$81='RESULTADO INDEXADO'!$B$60),'RESULTADO INDEXADO'!H61,IF(AND('RESULTADO INDEXADO'!$A$62="ALDRO",$H$42='RESULTADO INDEXADO'!$C$62,$C$81='RESULTADO INDEXADO'!$B$62),'RESULTADO INDEXADO'!H63,IF(AND('RESULTADO INDEXADO'!$A$64="ALDRO",$H$42='RESULTADO INDEXADO'!$C$64,$C$81='RESULTADO INDEXADO'!$B$64),'RESULTADO INDEXADO'!H65,IF(AND('RESULTADO INDEXADO'!$A$66="ALDRO",$H$42='RESULTADO INDEXADO'!$C$66,$C$81='RESULTADO INDEXADO'!$B$66),'RESULTADO INDEXADO'!H67,IF(AND('RESULTADO INDEXADO'!$A$68="ALDRO",$H$42='RESULTADO INDEXADO'!$C$68,$C$81='RESULTADO INDEXADO'!$B$68),'RESULTADO INDEXADO'!H69,IF(AND('RESULTADO INDEXADO'!$A$70="ALDRO",$H$42='RESULTADO INDEXADO'!$C$70,$C$81='RESULTADO INDEXADO'!$B$70),'RESULTADO INDEXADO'!H71,IF(AND('RESULTADO INDEXADO'!$A$72="ALDRO",$H$42='RESULTADO INDEXADO'!$C$72,$C$81='RESULTADO INDEXADO'!$B$72),'RESULTADO INDEXADO'!H73,IF(AND('RESULTADO INDEXADO'!$A$74="ALDRO",$H$42='RESULTADO INDEXADO'!$C$74,$C$81='RESULTADO INDEXADO'!$B$74),'RESULTADO INDEXADO'!H75,IF(AND('RESULTADO INDEXADO'!$A$76="ALDRO",$H$42='RESULTADO INDEXADO'!$C$76,$C$81='RESULTADO INDEXADO'!$B$76),'RESULTADO INDEXADO'!H77,IF(AND('RESULTADO INDEXADO'!$A$78="ALDRO",$H$42='RESULTADO INDEXADO'!$C$78,$C$81='RESULTADO INDEXADO'!$B$78),'RESULTADO INDEXADO'!H79,IF(AND('RESULTADO INDEXADO'!$A$80="ALDRO",$H$42='RESULTADO INDEXADO'!$C$80,$C$81='RESULTADO INDEXADO'!$B$80),'RESULTADO INDEXADO'!H81,""))))))))))))))))))))</f>
        <v>0</v>
      </c>
      <c r="H84" s="14" t="b">
        <f>IF(AND('RESULTADO INDEXADO'!$A$42="ALDRO",$H$42='RESULTADO INDEXADO'!$C$42,$C$81='RESULTADO INDEXADO'!$B$42),'RESULTADO INDEXADO'!I43,IF(AND('RESULTADO INDEXADO'!$A$44="ALDRO",$H$42='RESULTADO INDEXADO'!$C$44,$C$81='RESULTADO INDEXADO'!$B$44),'RESULTADO INDEXADO'!I45,IF(AND('RESULTADO INDEXADO'!$A$46="ALDRO",$H$42='RESULTADO INDEXADO'!$C$46,$C$81='RESULTADO INDEXADO'!$B$46),'RESULTADO INDEXADO'!I47,IF(AND('RESULTADO INDEXADO'!$A$48="ALDRO",$H$42='RESULTADO INDEXADO'!$C$48,$C$81='RESULTADO INDEXADO'!$B$48),'RESULTADO INDEXADO'!I49,IF(AND('RESULTADO INDEXADO'!$A$50="ALDRO",$H$42='RESULTADO INDEXADO'!$C$50,$C$81='RESULTADO INDEXADO'!$B$50),'RESULTADO INDEXADO'!I51,IF(AND('RESULTADO INDEXADO'!$A$52="ALDRO",$H$42='RESULTADO INDEXADO'!$C$52,$C$81='RESULTADO INDEXADO'!$B$52),'RESULTADO INDEXADO'!I53,IF(AND('RESULTADO INDEXADO'!$A$54="ALDRO",$H$42='RESULTADO INDEXADO'!$C$54,$C$81='RESULTADO INDEXADO'!$B$54),'RESULTADO INDEXADO'!I55,IF(AND('RESULTADO INDEXADO'!$A$56="ALDRO",$H$42='RESULTADO INDEXADO'!$C$56,$C$81='RESULTADO INDEXADO'!$B$56),'RESULTADO INDEXADO'!I57,IF(AND('RESULTADO INDEXADO'!$A$58="ALDRO",$H$42='RESULTADO INDEXADO'!$C$58,$C$81='RESULTADO INDEXADO'!$B$58),'RESULTADO INDEXADO'!I59,IF(AND('RESULTADO INDEXADO'!$A$60="ALDRO",$H$42='RESULTADO INDEXADO'!$C$60,$C$81='RESULTADO INDEXADO'!$B$60),'RESULTADO INDEXADO'!I61,IF(AND('RESULTADO INDEXADO'!$A$62="ALDRO",$H$42='RESULTADO INDEXADO'!$C$62,$C$81='RESULTADO INDEXADO'!$B$62),'RESULTADO INDEXADO'!I63,IF(AND('RESULTADO INDEXADO'!$A$64="ALDRO",$H$42='RESULTADO INDEXADO'!$C$64,$C$81='RESULTADO INDEXADO'!$B$64),'RESULTADO INDEXADO'!I65,IF(AND('RESULTADO INDEXADO'!$A$66="ALDRO",$H$42='RESULTADO INDEXADO'!$C$66,$C$81='RESULTADO INDEXADO'!$B$66),'RESULTADO INDEXADO'!I67,IF(AND('RESULTADO INDEXADO'!$A$68="ALDRO",$H$42='RESULTADO INDEXADO'!$C$68,$C$81='RESULTADO INDEXADO'!$B$68),'RESULTADO INDEXADO'!I69,IF(AND('RESULTADO INDEXADO'!$A$70="ALDRO",$H$42='RESULTADO INDEXADO'!$C$70,$C$81='RESULTADO INDEXADO'!$B$70),'RESULTADO INDEXADO'!I71,IF(AND('RESULTADO INDEXADO'!$A$72="ALDRO",$H$42='RESULTADO INDEXADO'!$C$72,$C$81='RESULTADO INDEXADO'!$B$72),'RESULTADO INDEXADO'!I73,IF(AND('RESULTADO INDEXADO'!$A$74="ALDRO",$H$42='RESULTADO INDEXADO'!$C$74,$C$81='RESULTADO INDEXADO'!$B$74),'RESULTADO INDEXADO'!I75,IF(AND('RESULTADO INDEXADO'!$A$76="ALDRO",$H$42='RESULTADO INDEXADO'!$C$76,$C$81='RESULTADO INDEXADO'!$B$76),'RESULTADO INDEXADO'!I77,IF(AND('RESULTADO INDEXADO'!$A$78="ALDRO",$H$42='RESULTADO INDEXADO'!$C$78,$C$81='RESULTADO INDEXADO'!$B$78),'RESULTADO INDEXADO'!I79,IF(AND('RESULTADO INDEXADO'!$A$80="ALDRO",$H$42='RESULTADO INDEXADO'!$C$80,$C$81='RESULTADO INDEXADO'!$B$80),'RESULTADO INDEXADO'!I81,""))))))))))))))))))))</f>
        <v>0</v>
      </c>
      <c r="I84" s="14" t="b">
        <f>IF(AND('RESULTADO INDEXADO'!$A$42="ALDRO",$H$42='RESULTADO INDEXADO'!$C$42,$C$81='RESULTADO INDEXADO'!$B$42),'RESULTADO INDEXADO'!J43,IF(AND('RESULTADO INDEXADO'!$A$44="ALDRO",$H$42='RESULTADO INDEXADO'!$C$44,$C$81='RESULTADO INDEXADO'!$B$44),'RESULTADO INDEXADO'!J45,IF(AND('RESULTADO INDEXADO'!$A$46="ALDRO",$H$42='RESULTADO INDEXADO'!$C$46,$C$81='RESULTADO INDEXADO'!$B$46),'RESULTADO INDEXADO'!J47,IF(AND('RESULTADO INDEXADO'!$A$48="ALDRO",$H$42='RESULTADO INDEXADO'!$C$48,$C$81='RESULTADO INDEXADO'!$B$48),'RESULTADO INDEXADO'!J49,IF(AND('RESULTADO INDEXADO'!$A$50="ALDRO",$H$42='RESULTADO INDEXADO'!$C$50,$C$81='RESULTADO INDEXADO'!$B$50),'RESULTADO INDEXADO'!J51,IF(AND('RESULTADO INDEXADO'!$A$52="ALDRO",$H$42='RESULTADO INDEXADO'!$C$52,$C$81='RESULTADO INDEXADO'!$B$52),'RESULTADO INDEXADO'!J53,IF(AND('RESULTADO INDEXADO'!$A$54="ALDRO",$H$42='RESULTADO INDEXADO'!$C$54,$C$81='RESULTADO INDEXADO'!$B$54),'RESULTADO INDEXADO'!J55,IF(AND('RESULTADO INDEXADO'!$A$56="ALDRO",$H$42='RESULTADO INDEXADO'!$C$56,$C$81='RESULTADO INDEXADO'!$B$56),'RESULTADO INDEXADO'!J57,IF(AND('RESULTADO INDEXADO'!$A$58="ALDRO",$H$42='RESULTADO INDEXADO'!$C$58,$C$81='RESULTADO INDEXADO'!$B$58),'RESULTADO INDEXADO'!J59,IF(AND('RESULTADO INDEXADO'!$A$60="ALDRO",$H$42='RESULTADO INDEXADO'!$C$60,$C$81='RESULTADO INDEXADO'!$B$60),'RESULTADO INDEXADO'!J61,IF(AND('RESULTADO INDEXADO'!$A$62="ALDRO",$H$42='RESULTADO INDEXADO'!$C$62,$C$81='RESULTADO INDEXADO'!$B$62),'RESULTADO INDEXADO'!J63,IF(AND('RESULTADO INDEXADO'!$A$64="ALDRO",$H$42='RESULTADO INDEXADO'!$C$64,$C$81='RESULTADO INDEXADO'!$B$64),'RESULTADO INDEXADO'!J65,IF(AND('RESULTADO INDEXADO'!$A$66="ALDRO",$H$42='RESULTADO INDEXADO'!$C$66,$C$81='RESULTADO INDEXADO'!$B$66),'RESULTADO INDEXADO'!J67,IF(AND('RESULTADO INDEXADO'!$A$68="ALDRO",$H$42='RESULTADO INDEXADO'!$C$68,$C$81='RESULTADO INDEXADO'!$B$68),'RESULTADO INDEXADO'!J69,IF(AND('RESULTADO INDEXADO'!$A$70="ALDRO",$H$42='RESULTADO INDEXADO'!$C$70,$C$81='RESULTADO INDEXADO'!$B$70),'RESULTADO INDEXADO'!J71,IF(AND('RESULTADO INDEXADO'!$A$72="ALDRO",$H$42='RESULTADO INDEXADO'!$C$72,$C$81='RESULTADO INDEXADO'!$B$72),'RESULTADO INDEXADO'!J73,IF(AND('RESULTADO INDEXADO'!$A$74="ALDRO",$H$42='RESULTADO INDEXADO'!$C$74,$C$81='RESULTADO INDEXADO'!$B$74),'RESULTADO INDEXADO'!J75,IF(AND('RESULTADO INDEXADO'!$A$76="ALDRO",$H$42='RESULTADO INDEXADO'!$C$76,$C$81='RESULTADO INDEXADO'!$B$76),'RESULTADO INDEXADO'!J77,IF(AND('RESULTADO INDEXADO'!$A$78="ALDRO",$H$42='RESULTADO INDEXADO'!$C$78,$C$81='RESULTADO INDEXADO'!$B$78),'RESULTADO INDEXADO'!J79,IF(AND('RESULTADO INDEXADO'!$A$80="ALDRO",$H$42='RESULTADO INDEXADO'!$C$80,$C$81='RESULTADO INDEXADO'!$B$80),'RESULTADO INDEXADO'!J81,""))))))))))))))))))))</f>
        <v>0</v>
      </c>
      <c r="K84" s="143"/>
    </row>
    <row r="85" spans="1:11" ht="13.5" customHeight="1">
      <c r="A85" s="558" t="str">
        <f>'INTRODUCIR DATOS'!G62</f>
        <v>*Incluye 2% de descuento sobre TE por facturación electronica 12M</v>
      </c>
      <c r="B85" s="558"/>
      <c r="C85" s="558"/>
      <c r="D85" s="558"/>
      <c r="E85" s="558"/>
      <c r="F85" s="558"/>
      <c r="G85" s="558"/>
      <c r="H85" s="558"/>
      <c r="I85" s="558"/>
      <c r="J85" s="558"/>
      <c r="K85" s="558"/>
    </row>
    <row r="86" spans="1:11" ht="13.5" customHeight="1">
      <c r="A86" s="558">
        <f>IF(C81="ONLINE",'INTRODUCIR DATOS'!G63,IF(C81="ONLINE+",'INTRODUCIR DATOS'!G63,""))</f>
        <v>0</v>
      </c>
      <c r="B86" s="558"/>
      <c r="C86" s="558"/>
      <c r="D86" s="558"/>
      <c r="E86" s="558"/>
      <c r="F86" s="558"/>
      <c r="G86" s="558"/>
      <c r="H86" s="558"/>
      <c r="I86" s="558"/>
      <c r="J86" s="558"/>
      <c r="K86" s="558"/>
    </row>
    <row r="87" spans="1:11" ht="13.5" customHeight="1">
      <c r="B87" s="551" t="s">
        <v>119</v>
      </c>
      <c r="C87" s="551"/>
      <c r="D87" s="551"/>
      <c r="E87" s="551"/>
      <c r="F87" s="551"/>
      <c r="G87" s="551"/>
      <c r="H87" s="551"/>
      <c r="I87" s="551"/>
      <c r="J87" s="551"/>
      <c r="K87" s="551"/>
    </row>
    <row r="88" spans="1:11" ht="13.5" customHeight="1">
      <c r="B88" s="94" t="s">
        <v>120</v>
      </c>
      <c r="C88" s="94"/>
      <c r="D88" s="95"/>
      <c r="E88" s="95"/>
      <c r="F88" s="95"/>
      <c r="G88" s="94"/>
      <c r="H88" s="94"/>
      <c r="I88" s="95"/>
      <c r="J88" s="96"/>
      <c r="K88" s="226">
        <f>F89+F90+F91+I89+I90+I91</f>
        <v>0</v>
      </c>
    </row>
    <row r="89" spans="1:11" ht="13.5" customHeight="1">
      <c r="B89" s="89"/>
      <c r="C89" s="89"/>
      <c r="D89" s="17" t="s">
        <v>115</v>
      </c>
      <c r="E89" s="89">
        <f>'INTRODUCIR DATOS'!$E$25</f>
        <v>6</v>
      </c>
      <c r="F89" s="8">
        <f>E89*D83*H79</f>
        <v>0</v>
      </c>
      <c r="G89" s="17" t="s">
        <v>62</v>
      </c>
      <c r="H89" s="89">
        <f>'INTRODUCIR DATOS'!$E$28</f>
        <v>0</v>
      </c>
      <c r="I89" s="8">
        <f>IF(G83="",0,H89*G83*H79)</f>
        <v>0</v>
      </c>
      <c r="J89" s="90"/>
      <c r="K89" s="90"/>
    </row>
    <row r="90" spans="1:11" ht="13.5" customHeight="1">
      <c r="B90" s="89"/>
      <c r="C90" s="89"/>
      <c r="D90" s="17" t="s">
        <v>116</v>
      </c>
      <c r="E90" s="89">
        <f>'INTRODUCIR DATOS'!$E$26</f>
        <v>6</v>
      </c>
      <c r="F90" s="8">
        <f>E90*E83*H79</f>
        <v>0</v>
      </c>
      <c r="G90" s="17" t="s">
        <v>63</v>
      </c>
      <c r="H90" s="89">
        <f>'INTRODUCIR DATOS'!$E$29</f>
        <v>0</v>
      </c>
      <c r="I90" s="8">
        <f>IF(H83="",0,H90*H83*H79)</f>
        <v>0</v>
      </c>
      <c r="J90" s="90"/>
      <c r="K90" s="90"/>
    </row>
    <row r="91" spans="1:11" ht="13.5" customHeight="1">
      <c r="B91" s="9"/>
      <c r="C91" s="9"/>
      <c r="D91" s="17" t="s">
        <v>60</v>
      </c>
      <c r="E91" s="89">
        <f>'INTRODUCIR DATOS'!$E$27</f>
        <v>0</v>
      </c>
      <c r="F91" s="8">
        <f>IF(F83="",0,E91*F83*H79)</f>
        <v>0</v>
      </c>
      <c r="G91" s="18" t="s">
        <v>65</v>
      </c>
      <c r="H91" s="89">
        <f>'INTRODUCIR DATOS'!$E$30</f>
        <v>0</v>
      </c>
      <c r="I91" s="8">
        <f>IF(I83="",0,H91*I83*H79)</f>
        <v>0</v>
      </c>
      <c r="J91" s="9"/>
      <c r="K91" s="9"/>
    </row>
    <row r="92" spans="1:11" ht="13.5" customHeight="1">
      <c r="B92" s="9" t="s">
        <v>121</v>
      </c>
      <c r="C92" s="9"/>
      <c r="D92" s="9"/>
      <c r="E92" s="89"/>
      <c r="F92" s="9"/>
      <c r="G92" s="9" t="s">
        <v>121</v>
      </c>
      <c r="H92" s="89"/>
      <c r="I92" s="9"/>
      <c r="J92" s="9"/>
      <c r="K92" s="9"/>
    </row>
    <row r="93" spans="1:11" ht="13.5" customHeight="1">
      <c r="B93" s="94" t="s">
        <v>122</v>
      </c>
      <c r="C93" s="94"/>
      <c r="D93" s="95"/>
      <c r="E93" s="95"/>
      <c r="F93" s="95"/>
      <c r="G93" s="94"/>
      <c r="H93" s="94"/>
      <c r="I93" s="95"/>
      <c r="J93" s="96"/>
      <c r="K93" s="226">
        <f>F94+F95+F96+I94+I95+I96</f>
        <v>0</v>
      </c>
    </row>
    <row r="94" spans="1:11" ht="13.5" customHeight="1">
      <c r="B94" s="89"/>
      <c r="C94" s="89"/>
      <c r="D94" s="17" t="s">
        <v>115</v>
      </c>
      <c r="E94" s="89">
        <f>'INTRODUCIR DATOS'!$E$32</f>
        <v>327</v>
      </c>
      <c r="F94" s="338">
        <f>E94*D84</f>
        <v>0</v>
      </c>
      <c r="G94" s="17" t="s">
        <v>62</v>
      </c>
      <c r="H94" s="89">
        <f>'INTRODUCIR DATOS'!$E$35</f>
        <v>0</v>
      </c>
      <c r="I94" s="7">
        <f>IF(G84="",0,H94*G84)</f>
        <v>0</v>
      </c>
      <c r="J94" s="90"/>
      <c r="K94" s="90"/>
    </row>
    <row r="95" spans="1:11" ht="13.5" customHeight="1">
      <c r="B95" s="89"/>
      <c r="C95" s="89"/>
      <c r="D95" s="17" t="s">
        <v>116</v>
      </c>
      <c r="E95" s="89">
        <f>'INTRODUCIR DATOS'!$E$33</f>
        <v>0</v>
      </c>
      <c r="F95" s="338">
        <f>E95*E84</f>
        <v>0</v>
      </c>
      <c r="G95" s="17" t="s">
        <v>63</v>
      </c>
      <c r="H95" s="89">
        <f>'INTRODUCIR DATOS'!$E$36</f>
        <v>0</v>
      </c>
      <c r="I95" s="7">
        <f>IF(H84="",0,H95*H84)</f>
        <v>0</v>
      </c>
      <c r="J95" s="90"/>
      <c r="K95" s="90"/>
    </row>
    <row r="96" spans="1:11" ht="13.5" customHeight="1">
      <c r="B96" s="89"/>
      <c r="C96" s="89"/>
      <c r="D96" s="17" t="s">
        <v>60</v>
      </c>
      <c r="E96" s="89">
        <f>'INTRODUCIR DATOS'!$E$34</f>
        <v>0</v>
      </c>
      <c r="F96" s="338">
        <f>E96*F84</f>
        <v>0</v>
      </c>
      <c r="G96" s="17" t="s">
        <v>65</v>
      </c>
      <c r="H96" s="89">
        <f>'INTRODUCIR DATOS'!$E$37</f>
        <v>0</v>
      </c>
      <c r="I96" s="7">
        <f>IF(I84="",0,H96*I84)</f>
        <v>0</v>
      </c>
      <c r="J96" s="90"/>
      <c r="K96" s="90"/>
    </row>
    <row r="97" spans="1:11" ht="13.5" customHeight="1">
      <c r="B97" s="89" t="s">
        <v>123</v>
      </c>
      <c r="C97" s="92"/>
      <c r="D97" s="337"/>
      <c r="E97" s="337"/>
      <c r="F97" s="337"/>
      <c r="G97" s="89"/>
      <c r="H97" s="92"/>
      <c r="I97" s="337"/>
      <c r="J97" s="337"/>
      <c r="K97" s="11">
        <v>0</v>
      </c>
    </row>
    <row r="98" spans="1:11" ht="13.5" customHeight="1">
      <c r="B98" s="89" t="s">
        <v>124</v>
      </c>
      <c r="C98" s="92"/>
      <c r="D98" s="92"/>
      <c r="E98" s="92"/>
      <c r="F98" s="92"/>
      <c r="G98" s="92"/>
      <c r="H98" s="92"/>
      <c r="I98" s="92"/>
      <c r="J98" s="92"/>
      <c r="K98" s="12">
        <v>0</v>
      </c>
    </row>
    <row r="99" spans="1:11" ht="13.5" customHeight="1">
      <c r="B99" s="89" t="s">
        <v>125</v>
      </c>
      <c r="C99" s="89"/>
      <c r="D99" s="89"/>
      <c r="E99" s="552"/>
      <c r="F99" s="552"/>
      <c r="G99" s="552"/>
      <c r="H99" s="9">
        <f>K93+K88+K97-DESCUENTOS!G2</f>
        <v>-9.131475</v>
      </c>
      <c r="I99" s="553" t="s">
        <v>121</v>
      </c>
      <c r="J99" s="553"/>
      <c r="K99" s="338">
        <f>H99*'INTRODUCIR DATOS'!$D$17</f>
        <v>-4.5657375E-2</v>
      </c>
    </row>
    <row r="100" spans="1:11" ht="13.5" customHeight="1">
      <c r="B100" s="89" t="s">
        <v>130</v>
      </c>
      <c r="C100" s="89"/>
      <c r="D100" s="89"/>
      <c r="E100" s="90"/>
      <c r="F100" s="90"/>
      <c r="G100" s="89"/>
      <c r="H100" s="9"/>
      <c r="I100" s="338"/>
      <c r="J100" s="338"/>
      <c r="K100" s="338">
        <f>'INTRODUCIR DATOS'!$D$15</f>
        <v>0</v>
      </c>
    </row>
    <row r="101" spans="1:11" ht="13.5" customHeight="1">
      <c r="B101" s="89" t="s">
        <v>28</v>
      </c>
      <c r="C101" s="89"/>
      <c r="D101" s="89"/>
      <c r="E101" s="89"/>
      <c r="F101" s="89"/>
      <c r="G101" s="338"/>
      <c r="H101" s="13"/>
      <c r="I101" s="13"/>
      <c r="J101" s="90"/>
      <c r="K101" s="338">
        <f>'INTRODUCIR DATOS'!$D$16</f>
        <v>0.85</v>
      </c>
    </row>
    <row r="102" spans="1:11" ht="13.5" customHeight="1">
      <c r="B102" s="89" t="s">
        <v>126</v>
      </c>
      <c r="C102" s="89"/>
      <c r="D102" s="89"/>
      <c r="E102" s="569" t="str">
        <f>IF('INTRODUCIR DATOS'!$D$21=21%,"21%",IF('INTRODUCIR DATOS'!$D$21=10%,"10%",""))</f>
        <v>21%</v>
      </c>
      <c r="F102" s="569"/>
      <c r="G102" s="569"/>
      <c r="H102" s="9">
        <f>K88+K93+K99+K101+K103</f>
        <v>-8.3271323749999997</v>
      </c>
      <c r="I102" s="13"/>
      <c r="J102" s="90"/>
      <c r="K102" s="338">
        <f>IF('INTRODUCIR DATOS'!$D$21=21%,$H$102*0.21,IF('INTRODUCIR DATOS'!$D$21=10%,$H$102*0.1,""))</f>
        <v>-1.7486977987499999</v>
      </c>
    </row>
    <row r="103" spans="1:11" ht="13.5" customHeight="1">
      <c r="B103" s="89" t="s">
        <v>131</v>
      </c>
      <c r="C103" s="89"/>
      <c r="D103" s="89"/>
      <c r="E103" s="89"/>
      <c r="F103" s="89"/>
      <c r="G103" s="89"/>
      <c r="H103" s="9"/>
      <c r="I103" s="13"/>
      <c r="J103" s="90"/>
      <c r="K103" s="338">
        <f>IF($C$81=DESCUENTOS!B2,DESCUENTOS!G2-(DESCUENTOS!G2*2),IF($C$81=DESCUENTOS!B3,DESCUENTOS!G3-(DESCUENTOS!G3*2)))</f>
        <v>-9.131475</v>
      </c>
    </row>
    <row r="104" spans="1:11" ht="13.5" customHeight="1">
      <c r="B104" s="94" t="s">
        <v>127</v>
      </c>
      <c r="C104" s="94"/>
      <c r="D104" s="95"/>
      <c r="E104" s="95"/>
      <c r="F104" s="95"/>
      <c r="G104" s="94"/>
      <c r="H104" s="94"/>
      <c r="I104" s="95"/>
      <c r="J104" s="96"/>
      <c r="K104" s="226">
        <f>SUM(K88:K103)</f>
        <v>-10.075830173749999</v>
      </c>
    </row>
    <row r="105" spans="1:11" ht="13.5" customHeight="1">
      <c r="B105" s="89" t="s">
        <v>128</v>
      </c>
      <c r="C105" s="89"/>
      <c r="D105" s="89"/>
      <c r="E105" s="89"/>
      <c r="F105" s="89"/>
      <c r="G105" s="338"/>
      <c r="H105" s="338"/>
      <c r="I105" s="89"/>
      <c r="J105" s="90"/>
      <c r="K105" s="338">
        <f>'INTRODUCIR DATOS'!$D$14</f>
        <v>114.15</v>
      </c>
    </row>
    <row r="106" spans="1:11" ht="13.5" customHeight="1">
      <c r="B106" s="94" t="s">
        <v>129</v>
      </c>
      <c r="C106" s="94"/>
      <c r="D106" s="95"/>
      <c r="E106" s="95"/>
      <c r="F106" s="95"/>
      <c r="G106" s="94"/>
      <c r="H106" s="94"/>
      <c r="I106" s="95"/>
      <c r="J106" s="109">
        <f>IF(K104=0,"--",(K105-K104)/K105)</f>
        <v>1.0882683326653526</v>
      </c>
      <c r="K106" s="226">
        <f>IF((K104=0),"--",K105-K104)</f>
        <v>124.22583017375001</v>
      </c>
    </row>
    <row r="107" spans="1:11" ht="13.5" customHeight="1">
      <c r="B107" s="143"/>
      <c r="C107" s="143"/>
      <c r="D107" s="143"/>
      <c r="E107" s="143"/>
      <c r="F107" s="143"/>
      <c r="G107" s="143"/>
      <c r="H107" s="143"/>
      <c r="I107" s="143"/>
      <c r="J107" s="143"/>
      <c r="K107" s="143"/>
    </row>
    <row r="108" spans="1:11" ht="13.5" customHeight="1">
      <c r="B108" s="143"/>
      <c r="C108" s="143"/>
      <c r="D108" s="143"/>
      <c r="E108" s="143"/>
      <c r="F108" s="143"/>
      <c r="G108" s="143"/>
      <c r="H108" s="143"/>
      <c r="I108" s="143"/>
      <c r="J108" s="143"/>
      <c r="K108" s="143"/>
    </row>
    <row r="109" spans="1:11" ht="13.5" customHeight="1">
      <c r="A109" s="556" t="s">
        <v>107</v>
      </c>
      <c r="B109" s="556"/>
      <c r="C109" s="556"/>
      <c r="D109" s="556"/>
      <c r="E109" s="556"/>
      <c r="F109" s="556"/>
      <c r="G109" s="556"/>
      <c r="H109" s="556"/>
      <c r="I109" s="556"/>
      <c r="J109" s="556"/>
      <c r="K109" s="556"/>
    </row>
    <row r="110" spans="1:11" ht="13.5" customHeight="1">
      <c r="A110" s="557" t="s">
        <v>108</v>
      </c>
      <c r="B110" s="558"/>
      <c r="C110" s="558"/>
      <c r="D110" s="558"/>
      <c r="E110" s="558"/>
      <c r="F110" s="558"/>
      <c r="G110" s="558"/>
      <c r="H110" s="558"/>
      <c r="I110" s="558"/>
      <c r="J110" s="558"/>
      <c r="K110" s="558"/>
    </row>
  </sheetData>
  <sheetProtection algorithmName="SHA-512" hashValue="0W3CrhNMrz2F73kJpQ8MPB4ObqmVbnG+3Ti778D305289etyD+M6bbBu1NaiP1prNvwMbFT4vB6v6ueI34zuxg==" saltValue="hLiMakdqhodhx/PEUN91LQ==" spinCount="100000" sheet="1" objects="1" scenarios="1"/>
  <mergeCells count="40">
    <mergeCell ref="E102:G102"/>
    <mergeCell ref="A109:K109"/>
    <mergeCell ref="F78:G78"/>
    <mergeCell ref="H78:K78"/>
    <mergeCell ref="F79:G79"/>
    <mergeCell ref="H79:K79"/>
    <mergeCell ref="B87:K87"/>
    <mergeCell ref="A85:K85"/>
    <mergeCell ref="A86:K86"/>
    <mergeCell ref="F77:G77"/>
    <mergeCell ref="H77:K77"/>
    <mergeCell ref="A73:K73"/>
    <mergeCell ref="E99:G99"/>
    <mergeCell ref="I99:J99"/>
    <mergeCell ref="I64:J64"/>
    <mergeCell ref="E67:G67"/>
    <mergeCell ref="A72:K72"/>
    <mergeCell ref="F75:G75"/>
    <mergeCell ref="H75:K75"/>
    <mergeCell ref="A16:K17"/>
    <mergeCell ref="A21:F21"/>
    <mergeCell ref="G21:K21"/>
    <mergeCell ref="A28:C28"/>
    <mergeCell ref="A35:K35"/>
    <mergeCell ref="A110:K110"/>
    <mergeCell ref="A36:K36"/>
    <mergeCell ref="F39:G39"/>
    <mergeCell ref="H39:K39"/>
    <mergeCell ref="F40:G40"/>
    <mergeCell ref="H40:K40"/>
    <mergeCell ref="F41:G41"/>
    <mergeCell ref="H41:K41"/>
    <mergeCell ref="F76:G76"/>
    <mergeCell ref="H76:K76"/>
    <mergeCell ref="F42:G42"/>
    <mergeCell ref="H42:K42"/>
    <mergeCell ref="F43:G43"/>
    <mergeCell ref="H43:K43"/>
    <mergeCell ref="B52:K52"/>
    <mergeCell ref="E64:G64"/>
  </mergeCells>
  <conditionalFormatting sqref="K13 J11:J12">
    <cfRule type="expression" dxfId="679" priority="521">
      <formula>#REF!&lt;&gt;""</formula>
    </cfRule>
  </conditionalFormatting>
  <conditionalFormatting sqref="K13 J11:J12">
    <cfRule type="expression" dxfId="678" priority="520">
      <formula>#REF!&lt;&gt;""</formula>
    </cfRule>
  </conditionalFormatting>
  <conditionalFormatting sqref="E13:K13 J11:J12 D12:I12 A22">
    <cfRule type="expression" dxfId="677" priority="519">
      <formula>LEFT(#REF!,3)="Fee"</formula>
    </cfRule>
  </conditionalFormatting>
  <conditionalFormatting sqref="B14:K14">
    <cfRule type="expression" dxfId="676" priority="524">
      <formula>LEFT(#REF!,3)&lt;&gt;"Fee"</formula>
    </cfRule>
  </conditionalFormatting>
  <conditionalFormatting sqref="K50">
    <cfRule type="expression" dxfId="675" priority="493">
      <formula>#REF!&lt;&gt;""</formula>
    </cfRule>
  </conditionalFormatting>
  <conditionalFormatting sqref="K50">
    <cfRule type="expression" dxfId="674" priority="492">
      <formula>#REF!&lt;&gt;""</formula>
    </cfRule>
  </conditionalFormatting>
  <conditionalFormatting sqref="K50 D49:I50">
    <cfRule type="expression" dxfId="673" priority="491">
      <formula>LEFT(#REF!,3)="Fee"</formula>
    </cfRule>
  </conditionalFormatting>
  <conditionalFormatting sqref="B51:K51">
    <cfRule type="expression" dxfId="672" priority="496">
      <formula>LEFT(#REF!,3)&lt;&gt;"Fee"</formula>
    </cfRule>
  </conditionalFormatting>
  <conditionalFormatting sqref="A18:D18 A16 F18:K18">
    <cfRule type="expression" dxfId="671" priority="467">
      <formula>LEFT(#REF!,3)="Fee"</formula>
    </cfRule>
  </conditionalFormatting>
  <hyperlinks>
    <hyperlink ref="A36" r:id="rId1" xr:uid="{00000000-0004-0000-0200-000000000000}"/>
    <hyperlink ref="A73" r:id="rId2" xr:uid="{00000000-0004-0000-0200-000001000000}"/>
    <hyperlink ref="A110" r:id="rId3" xr:uid="{00000000-0004-0000-0200-000002000000}"/>
  </hyperlinks>
  <pageMargins left="0.7" right="0.7" top="0.75" bottom="0.75" header="0.3" footer="0.3"/>
  <pageSetup paperSize="9"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523" id="{5A608F20-3FC3-4A2E-B43B-C8FE6CFFB401}">
            <xm:f>'G:\Users\GEC\Documents\LUZ\[Copia de 20200615.xlsx]DATOS'!#REF!="NO"</xm:f>
            <x14:dxf>
              <border>
                <left/>
                <right/>
                <top/>
                <bottom/>
                <vertical/>
                <horizontal/>
              </border>
            </x14:dxf>
          </x14:cfRule>
          <xm:sqref>E13:K13 D11:J12 A22</xm:sqref>
        </x14:conditionalFormatting>
        <x14:conditionalFormatting xmlns:xm="http://schemas.microsoft.com/office/excel/2006/main">
          <x14:cfRule type="expression" priority="522" id="{5B2D8EAF-CD8F-4AB3-989C-85FD9113BB01}">
            <xm:f>OR('G:\Users\GEC\Documents\LUZ\[Copia de 20200615.xlsx]AUX'!#REF!=TRUE,'G:\Users\GEC\Documents\LUZ\[Copia de 20200615.xlsx]AUX'!#REF!=TRUE)</xm:f>
            <x14:dxf>
              <font>
                <color theme="0"/>
              </font>
              <fill>
                <patternFill>
                  <bgColor theme="0"/>
                </patternFill>
              </fill>
              <border>
                <left/>
                <right/>
                <top/>
                <bottom/>
                <vertical/>
                <horizontal/>
              </border>
            </x14:dxf>
          </x14:cfRule>
          <xm:sqref>B13:K14 B9:B12 J10 C10:H10 K9 C11:J12 A22</xm:sqref>
        </x14:conditionalFormatting>
        <x14:conditionalFormatting xmlns:xm="http://schemas.microsoft.com/office/excel/2006/main">
          <x14:cfRule type="expression" priority="518" id="{19CD2BFC-B8F5-4BA9-9ACC-459299BC1F4A}">
            <xm:f>'G:\Users\GEC\Documents\LUZ\[Copia de 20200615.xlsx]DATOS'!#REF!="NO"</xm:f>
            <x14:dxf>
              <font>
                <color theme="0"/>
              </font>
              <fill>
                <patternFill>
                  <bgColor theme="0"/>
                </patternFill>
              </fill>
            </x14:dxf>
          </x14:cfRule>
          <xm:sqref>C29:K29</xm:sqref>
        </x14:conditionalFormatting>
        <x14:conditionalFormatting xmlns:xm="http://schemas.microsoft.com/office/excel/2006/main">
          <x14:cfRule type="expression" priority="517" id="{4D69F751-186B-4080-820D-4EA3691F9CD3}">
            <xm:f>AND('G:\Users\GEC\Documents\LUZ\[Copia de 20200615.xlsx]DATOS'!#REF!="NO",'G:\Users\GEC\Documents\LUZ\[Copia de 20200615.xlsx]DATOS'!#REF!="NO")</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516" id="{EA3954D7-2BF4-4178-AB10-57A9073390AC}">
            <xm:f>OR('G:\Users\GEC\Documents\LUZ\[Copia de 20200615.xlsx]AUX'!#REF!=TRUE,'G:\Users\GEC\Documents\LUZ\[Copia de 20200615.xlsx]AUX'!#REF!=TRUE)</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515" id="{D15D65CF-52D1-4D0A-AACD-C00FDF71D537}">
            <xm:f>'G:\Users\GEC\Documents\LUZ\[Copia de 20200615.xlsx]AUX'!#REF!=TRUE</xm:f>
            <x14:dxf>
              <font>
                <color theme="0"/>
              </font>
              <fill>
                <patternFill>
                  <bgColor theme="0"/>
                </patternFill>
              </fill>
              <border>
                <left/>
                <right/>
                <top/>
                <bottom/>
                <vertical/>
                <horizontal/>
              </border>
            </x14:dxf>
          </x14:cfRule>
          <xm:sqref>B32:I32 K31:K32 I34:K34 B33:K33 C8:K8 H7:K7 B29:K30 H31:I31 B31:E31 B34:E34 F26:K28 A24:A25 B15:K15 B26:C27 A28</xm:sqref>
        </x14:conditionalFormatting>
        <x14:conditionalFormatting xmlns:xm="http://schemas.microsoft.com/office/excel/2006/main">
          <x14:cfRule type="expression" priority="513" id="{34D9A24F-8AA1-4B73-8633-4ADCB67E3E85}">
            <xm:f>OR('G:\Users\GEC\Documents\LUZ\[Copia de 20200615.xlsx]AUX'!#REF!=TRUE,'G:\Users\GEC\Documents\LUZ\[Copia de 20200615.xlsx]AUX'!#REF!=TRUE)</xm:f>
            <x14:dxf>
              <font>
                <color theme="0"/>
              </font>
              <fill>
                <patternFill>
                  <bgColor theme="0"/>
                </patternFill>
              </fill>
              <border>
                <left/>
                <right/>
                <top/>
                <bottom/>
                <vertical/>
                <horizontal/>
              </border>
            </x14:dxf>
          </x14:cfRule>
          <xm:sqref>B2:G2 B8:K8 H7:K7</xm:sqref>
        </x14:conditionalFormatting>
        <x14:conditionalFormatting xmlns:xm="http://schemas.microsoft.com/office/excel/2006/main">
          <x14:cfRule type="expression" priority="512" id="{6B828EF4-FD07-42ED-8726-4EFEA17C9676}">
            <xm:f>'G:\Users\GEC\Documents\LUZ\[Copia de 20200615.xlsx]AUX'!#REF!=TRUE</xm:f>
            <x14:dxf>
              <font>
                <color theme="0"/>
              </font>
              <fill>
                <patternFill>
                  <bgColor theme="0"/>
                </patternFill>
              </fill>
              <border>
                <left/>
                <right/>
                <top/>
                <bottom/>
                <vertical/>
                <horizontal/>
              </border>
            </x14:dxf>
          </x14:cfRule>
          <xm:sqref>C2:G2</xm:sqref>
        </x14:conditionalFormatting>
        <x14:conditionalFormatting xmlns:xm="http://schemas.microsoft.com/office/excel/2006/main">
          <x14:cfRule type="expression" priority="514" id="{324E0FD4-DB7C-4299-B576-1FBBD23E2769}">
            <xm:f>AND('G:\Users\GEC\Documents\LUZ\[Copia de 20200615.xlsx]DATOS'!#REF!="NO",'G:\Users\GEC\Documents\LUZ\[Copia de 20200615.xlsx]DATOS'!#REF!="NO")</xm:f>
            <x14:dxf>
              <font>
                <color theme="0"/>
              </font>
              <fill>
                <patternFill>
                  <bgColor theme="0"/>
                </patternFill>
              </fill>
              <border>
                <left/>
                <right/>
                <top/>
                <bottom/>
                <vertical/>
                <horizontal/>
              </border>
            </x14:dxf>
          </x14:cfRule>
          <xm:sqref>C2:G2 C8:K8 H7:K7 A23:A24</xm:sqref>
        </x14:conditionalFormatting>
        <x14:conditionalFormatting xmlns:xm="http://schemas.microsoft.com/office/excel/2006/main">
          <x14:cfRule type="expression" priority="511" id="{91E59197-3900-4D03-960E-3015290509DA}">
            <xm:f>AND('G:\Users\GEC\Documents\LUZ\[Copia de 20200615.xlsx]DATOS'!#REF!="NO",'G:\Users\GEC\Documents\LUZ\[Copia de 20200615.xlsx]DATOS'!#REF!="NO")</xm:f>
            <x14:dxf>
              <font>
                <color theme="0"/>
              </font>
              <fill>
                <patternFill>
                  <bgColor theme="0"/>
                </patternFill>
              </fill>
              <border>
                <left/>
                <right/>
                <top/>
                <bottom/>
                <vertical/>
                <horizontal/>
              </border>
            </x14:dxf>
          </x14:cfRule>
          <xm:sqref>C3:G7</xm:sqref>
        </x14:conditionalFormatting>
        <x14:conditionalFormatting xmlns:xm="http://schemas.microsoft.com/office/excel/2006/main">
          <x14:cfRule type="expression" priority="510" id="{616C4978-8A0F-4A0C-A154-4CF6078689B8}">
            <xm:f>OR('G:\Users\GEC\Documents\LUZ\[Copia de 20200615.xlsx]AUX'!#REF!=TRUE,'G:\Users\GEC\Documents\LUZ\[Copia de 20200615.xlsx]AUX'!#REF!=TRUE)</xm:f>
            <x14:dxf>
              <font>
                <color theme="0"/>
              </font>
              <fill>
                <patternFill>
                  <bgColor theme="0"/>
                </patternFill>
              </fill>
              <border>
                <left/>
                <right/>
                <top/>
                <bottom/>
                <vertical/>
                <horizontal/>
              </border>
            </x14:dxf>
          </x14:cfRule>
          <xm:sqref>B5:G7 C3:G4</xm:sqref>
        </x14:conditionalFormatting>
        <x14:conditionalFormatting xmlns:xm="http://schemas.microsoft.com/office/excel/2006/main">
          <x14:cfRule type="expression" priority="509" id="{739FBC97-72BC-4967-AF6D-FE55F660931F}">
            <xm:f>'G:\Users\GEC\Documents\LUZ\[Copia de 20200615.xlsx]AUX'!#REF!=TRUE</xm:f>
            <x14:dxf>
              <font>
                <color theme="0"/>
              </font>
              <fill>
                <patternFill>
                  <bgColor theme="0"/>
                </patternFill>
              </fill>
              <border>
                <left/>
                <right/>
                <top/>
                <bottom/>
                <vertical/>
                <horizontal/>
              </border>
            </x14:dxf>
          </x14:cfRule>
          <xm:sqref>C3:G7 A23</xm:sqref>
        </x14:conditionalFormatting>
        <x14:conditionalFormatting xmlns:xm="http://schemas.microsoft.com/office/excel/2006/main">
          <x14:cfRule type="expression" priority="508" id="{9A1C17F9-94E2-41BE-96E4-6BEE3F6CF026}">
            <xm:f>OR('G:\Users\GEC\Documents\LUZ\[Copia de 20200615.xlsx]AUX'!#REF!=TRUE,'G:\Users\GEC\Documents\LUZ\[Copia de 20200615.xlsx]AUX'!#REF!=TRUE)</xm:f>
            <x14:dxf>
              <font>
                <color theme="0"/>
              </font>
              <fill>
                <patternFill>
                  <bgColor theme="0"/>
                </patternFill>
              </fill>
              <border>
                <left/>
                <right/>
                <top/>
                <bottom/>
                <vertical/>
                <horizontal/>
              </border>
            </x14:dxf>
          </x14:cfRule>
          <xm:sqref>A23:A24</xm:sqref>
        </x14:conditionalFormatting>
        <x14:conditionalFormatting xmlns:xm="http://schemas.microsoft.com/office/excel/2006/main">
          <x14:cfRule type="expression" priority="507" id="{BF7597B0-DE9D-4BD5-A886-68254A4C7F4C}">
            <xm:f>OR('G:\Users\GEC\Documents\LUZ\[Copia de 20200615.xlsx]AUX'!#REF!=TRUE,'G:\Users\GEC\Documents\LUZ\[Copia de 20200615.xlsx]AUX'!#REF!=TRUE)</xm:f>
            <x14:dxf>
              <font>
                <color theme="0"/>
              </font>
              <fill>
                <patternFill>
                  <bgColor theme="0"/>
                </patternFill>
              </fill>
              <border>
                <left/>
                <right/>
                <top/>
                <bottom/>
                <vertical/>
                <horizontal/>
              </border>
            </x14:dxf>
          </x14:cfRule>
          <xm:sqref>H2 J4</xm:sqref>
        </x14:conditionalFormatting>
        <x14:conditionalFormatting xmlns:xm="http://schemas.microsoft.com/office/excel/2006/main">
          <x14:cfRule type="expression" priority="506" id="{761A3156-70ED-4F3B-8564-D667E9E7597B}">
            <xm:f>OR('G:\Users\GEC\Documents\LUZ\[Copia de 20200615.xlsx]AUX'!#REF!=TRUE,'G:\Users\GEC\Documents\LUZ\[Copia de 20200615.xlsx]AUX'!#REF!=TRUE)</xm:f>
            <x14:dxf>
              <font>
                <color theme="0"/>
              </font>
              <fill>
                <patternFill>
                  <bgColor theme="0"/>
                </patternFill>
              </fill>
              <border>
                <left/>
                <right/>
                <top/>
                <bottom/>
                <vertical/>
                <horizontal/>
              </border>
            </x14:dxf>
          </x14:cfRule>
          <xm:sqref>H3:H6</xm:sqref>
        </x14:conditionalFormatting>
        <x14:conditionalFormatting xmlns:xm="http://schemas.microsoft.com/office/excel/2006/main">
          <x14:cfRule type="expression" priority="505" id="{414E9086-33AB-4DA7-99D2-D2C076D21449}">
            <xm:f>OR('G:\Users\GEC\Documents\LUZ\[Copia de 20200615.xlsx]AUX'!#REF!=TRUE,'G:\Users\GEC\Documents\LUZ\[Copia de 20200615.xlsx]AUX'!#REF!=TRUE)</xm:f>
            <x14:dxf>
              <font>
                <color theme="0"/>
              </font>
              <fill>
                <patternFill>
                  <bgColor theme="0"/>
                </patternFill>
              </fill>
              <border>
                <left/>
                <right/>
                <top/>
                <bottom/>
                <vertical/>
                <horizontal/>
              </border>
            </x14:dxf>
          </x14:cfRule>
          <xm:sqref>J2:J3</xm:sqref>
        </x14:conditionalFormatting>
        <x14:conditionalFormatting xmlns:xm="http://schemas.microsoft.com/office/excel/2006/main">
          <x14:cfRule type="expression" priority="504" id="{F3B52B9E-3FE3-4984-BAD1-9F810E5D45C4}">
            <xm:f>OR('G:\Users\GEC\Documents\LUZ\[Copia de 20200615.xlsx]AUX'!#REF!=TRUE,'G:\Users\GEC\Documents\LUZ\[Copia de 20200615.xlsx]AUX'!#REF!=TRUE)</xm:f>
            <x14:dxf>
              <font>
                <color theme="0"/>
              </font>
              <fill>
                <patternFill>
                  <bgColor theme="0"/>
                </patternFill>
              </fill>
              <border>
                <left/>
                <right/>
                <top/>
                <bottom/>
                <vertical/>
                <horizontal/>
              </border>
            </x14:dxf>
          </x14:cfRule>
          <xm:sqref>J6</xm:sqref>
        </x14:conditionalFormatting>
        <x14:conditionalFormatting xmlns:xm="http://schemas.microsoft.com/office/excel/2006/main">
          <x14:cfRule type="expression" priority="503" id="{535378B1-C764-4F12-B74C-3A072987521A}">
            <xm:f>OR('G:\Users\GEC\Documents\LUZ\[Copia de 20200615.xlsx]AUX'!#REF!=TRUE,'G:\Users\GEC\Documents\LUZ\[Copia de 20200615.xlsx]AUX'!#REF!=TRUE)</xm:f>
            <x14:dxf>
              <font>
                <color theme="0"/>
              </font>
              <fill>
                <patternFill>
                  <bgColor theme="0"/>
                </patternFill>
              </fill>
              <border>
                <left/>
                <right/>
                <top/>
                <bottom/>
                <vertical/>
                <horizontal/>
              </border>
            </x14:dxf>
          </x14:cfRule>
          <xm:sqref>I10</xm:sqref>
        </x14:conditionalFormatting>
        <x14:conditionalFormatting xmlns:xm="http://schemas.microsoft.com/office/excel/2006/main">
          <x14:cfRule type="expression" priority="502" id="{ECE8DC74-F4AA-497B-B4CF-F4C775C92E80}">
            <xm:f>AND('G:\Users\GEC\Documents\LUZ\[Copia de 20200615.xlsx]DATOS'!#REF!="NO",'G:\Users\GEC\Documents\LUZ\[Copia de 20200615.xlsx]DATOS'!#REF!="NO")</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501" id="{2DB6513A-397F-47BB-8DFF-A8C0634EE1F4}">
            <xm:f>OR('G:\Users\GEC\Documents\LUZ\[Copia de 20200615.xlsx]AUX'!#REF!=TRUE,'G:\Users\GEC\Documents\LUZ\[Copia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500" id="{61327A85-24B2-4A99-8824-5849B7251377}">
            <xm:f>'G:\Users\GEC\Documents\LUZ\[Copia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499" id="{32558AF9-61B1-4358-B970-60B63E558128}">
            <xm:f>AND('G:\Users\GEC\Documents\LUZ\[Copia de 20200615.xlsx]DATOS'!#REF!="NO",'G:\Users\GEC\Documents\LUZ\[Copia de 20200615.xlsx]DATOS'!#REF!="NO")</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498" id="{301F45B3-5F10-4992-9233-1451B429DF3A}">
            <xm:f>OR('G:\Users\GEC\Documents\LUZ\[Copia de 20200615.xlsx]AUX'!#REF!=TRUE,'G:\Users\GEC\Documents\LUZ\[Copia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497" id="{11BF7323-C811-45A0-9621-D79C4B1BF8C9}">
            <xm:f>'G:\Users\GEC\Documents\LUZ\[Copia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495" id="{1592721E-3345-4ECF-A239-0034332A7179}">
            <xm:f>'G:\Users\GEC\Documents\LUZ\[Copia de 20200615.xlsx]DATOS'!#REF!="NO"</xm:f>
            <x14:dxf>
              <border>
                <left/>
                <right/>
                <top/>
                <bottom/>
                <vertical/>
                <horizontal/>
              </border>
            </x14:dxf>
          </x14:cfRule>
          <xm:sqref>K50 D48:I50</xm:sqref>
        </x14:conditionalFormatting>
        <x14:conditionalFormatting xmlns:xm="http://schemas.microsoft.com/office/excel/2006/main">
          <x14:cfRule type="expression" priority="494" id="{D5B071EF-1380-436C-9102-CA76CE74FF5B}">
            <xm:f>OR('G:\Users\GEC\Documents\LUZ\[Copia de 20200615.xlsx]AUX'!#REF!=TRUE,'G:\Users\GEC\Documents\LUZ\[Copia de 20200615.xlsx]AUX'!#REF!=TRUE)</xm:f>
            <x14:dxf>
              <font>
                <color theme="0"/>
              </font>
              <fill>
                <patternFill>
                  <bgColor theme="0"/>
                </patternFill>
              </fill>
              <border>
                <left/>
                <right/>
                <top/>
                <bottom/>
                <vertical/>
                <horizontal/>
              </border>
            </x14:dxf>
          </x14:cfRule>
          <xm:sqref>B46:B49 J47 C47:H47 K46 B51:K51 B50:I50 K50 C48:I49</xm:sqref>
        </x14:conditionalFormatting>
        <x14:conditionalFormatting xmlns:xm="http://schemas.microsoft.com/office/excel/2006/main">
          <x14:cfRule type="expression" priority="490" id="{0F30F1D6-1FB0-4617-BB47-36D1E327A9B8}">
            <xm:f>'G:\Users\GEC\Documents\LUZ\[Copia de 20200615.xlsx]DATOS'!#REF!="NO"</xm:f>
            <x14:dxf>
              <font>
                <color theme="0"/>
              </font>
              <fill>
                <patternFill>
                  <bgColor theme="0"/>
                </patternFill>
              </fill>
            </x14:dxf>
          </x14:cfRule>
          <xm:sqref>C62:K62</xm:sqref>
        </x14:conditionalFormatting>
        <x14:conditionalFormatting xmlns:xm="http://schemas.microsoft.com/office/excel/2006/main">
          <x14:cfRule type="expression" priority="489" id="{7098F647-83D6-4DB6-BE8A-B0B37C55ADEF}">
            <xm:f>AND('G:\Users\GEC\Documents\LUZ\[Copia de 20200615.xlsx]DATOS'!#REF!="NO",'G:\Users\GEC\Documents\LUZ\[Copia de 20200615.xlsx]DATOS'!#REF!="NO")</xm:f>
            <x14:dxf>
              <font>
                <color theme="0"/>
              </font>
              <fill>
                <patternFill>
                  <bgColor theme="0"/>
                </patternFill>
              </fill>
              <border>
                <left/>
                <right/>
                <top/>
                <bottom/>
                <vertical/>
                <horizontal/>
              </border>
            </x14:dxf>
          </x14:cfRule>
          <xm:sqref>B65:I65 K65 B52:K52 B69:J69 I67:K67 B66:K66 B62:K63 H64:I64 B64:E64 B67:E67</xm:sqref>
        </x14:conditionalFormatting>
        <x14:conditionalFormatting xmlns:xm="http://schemas.microsoft.com/office/excel/2006/main">
          <x14:cfRule type="expression" priority="488" id="{3F8B7AB6-3C5C-4078-A6E3-04A3C8DE7EC8}">
            <xm:f>OR('G:\Users\GEC\Documents\LUZ\[Copia de 20200615.xlsx]AUX'!#REF!=TRUE,'G:\Users\GEC\Documents\LUZ\[Copia de 20200615.xlsx]AUX'!#REF!=TRUE)</xm:f>
            <x14:dxf>
              <font>
                <color theme="0"/>
              </font>
              <fill>
                <patternFill>
                  <bgColor theme="0"/>
                </patternFill>
              </fill>
              <border>
                <left/>
                <right/>
                <top/>
                <bottom/>
                <vertical/>
                <horizontal/>
              </border>
            </x14:dxf>
          </x14:cfRule>
          <xm:sqref>B65:I65 K65 B69:J69 I67:K67 B66:K66 B52:K52 B62:K63 H64:I64 B64:E64 B67:E67</xm:sqref>
        </x14:conditionalFormatting>
        <x14:conditionalFormatting xmlns:xm="http://schemas.microsoft.com/office/excel/2006/main">
          <x14:cfRule type="expression" priority="487" id="{3B433A2A-E81B-40A5-A62D-D46DEFFBFC8B}">
            <xm:f>'G:\Users\GEC\Documents\LUZ\[Copia de 20200615.xlsx]AUX'!#REF!=TRUE</xm:f>
            <x14:dxf>
              <font>
                <color theme="0"/>
              </font>
              <fill>
                <patternFill>
                  <bgColor theme="0"/>
                </patternFill>
              </fill>
              <border>
                <left/>
                <right/>
                <top/>
                <bottom/>
                <vertical/>
                <horizontal/>
              </border>
            </x14:dxf>
          </x14:cfRule>
          <xm:sqref>B65:I65 K65 B52:K52 B69:J69 I67:K67 B66:K66 C45:K45 H44:K44 B62:K63 H64:I64 B64:E64 B67:E67</xm:sqref>
        </x14:conditionalFormatting>
        <x14:conditionalFormatting xmlns:xm="http://schemas.microsoft.com/office/excel/2006/main">
          <x14:cfRule type="expression" priority="485" id="{9A5B8F77-CC1E-4F62-A9F9-F40FAB81609A}">
            <xm:f>OR('G:\Users\GEC\Documents\LUZ\[Copia de 20200615.xlsx]AUX'!#REF!=TRUE,'G:\Users\GEC\Documents\LUZ\[Copia de 20200615.xlsx]AUX'!#REF!=TRUE)</xm:f>
            <x14:dxf>
              <font>
                <color theme="0"/>
              </font>
              <fill>
                <patternFill>
                  <bgColor theme="0"/>
                </patternFill>
              </fill>
              <border>
                <left/>
                <right/>
                <top/>
                <bottom/>
                <vertical/>
                <horizontal/>
              </border>
            </x14:dxf>
          </x14:cfRule>
          <xm:sqref>B39:E39 B45:K45 H44:K44</xm:sqref>
        </x14:conditionalFormatting>
        <x14:conditionalFormatting xmlns:xm="http://schemas.microsoft.com/office/excel/2006/main">
          <x14:cfRule type="expression" priority="484" id="{58CE4B1B-00D6-4263-A167-C4D013676D62}">
            <xm:f>'G:\Users\GEC\Documents\LUZ\[Copia de 20200615.xlsx]AUX'!#REF!=TRUE</xm:f>
            <x14:dxf>
              <font>
                <color theme="0"/>
              </font>
              <fill>
                <patternFill>
                  <bgColor theme="0"/>
                </patternFill>
              </fill>
              <border>
                <left/>
                <right/>
                <top/>
                <bottom/>
                <vertical/>
                <horizontal/>
              </border>
            </x14:dxf>
          </x14:cfRule>
          <xm:sqref>C39:E39</xm:sqref>
        </x14:conditionalFormatting>
        <x14:conditionalFormatting xmlns:xm="http://schemas.microsoft.com/office/excel/2006/main">
          <x14:cfRule type="expression" priority="486" id="{21087784-4966-4F7D-946F-17905A730D24}">
            <xm:f>AND('G:\Users\GEC\Documents\LUZ\[Copia de 20200615.xlsx]DATOS'!#REF!="NO",'G:\Users\GEC\Documents\LUZ\[Copia de 20200615.xlsx]DATOS'!#REF!="NO")</xm:f>
            <x14:dxf>
              <font>
                <color theme="0"/>
              </font>
              <fill>
                <patternFill>
                  <bgColor theme="0"/>
                </patternFill>
              </fill>
              <border>
                <left/>
                <right/>
                <top/>
                <bottom/>
                <vertical/>
                <horizontal/>
              </border>
            </x14:dxf>
          </x14:cfRule>
          <xm:sqref>C39:E39 C45:K45 H44:K44</xm:sqref>
        </x14:conditionalFormatting>
        <x14:conditionalFormatting xmlns:xm="http://schemas.microsoft.com/office/excel/2006/main">
          <x14:cfRule type="expression" priority="483" id="{55E643B5-989E-4550-8835-E46A795936F9}">
            <xm:f>AND('G:\Users\GEC\Documents\LUZ\[Copia de 20200615.xlsx]DATOS'!#REF!="NO",'G:\Users\GEC\Documents\LUZ\[Copia de 20200615.xlsx]DATOS'!#REF!="NO")</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482" id="{3DF26EF0-7E81-4CC6-AF1E-EB88E4653DC8}">
            <xm:f>OR('G:\Users\GEC\Documents\LUZ\[Copia de 20200615.xlsx]AUX'!#REF!=TRUE,'G:\Users\GEC\Documents\LUZ\[Copia de 20200615.xlsx]AUX'!#REF!=TRUE)</xm:f>
            <x14:dxf>
              <font>
                <color theme="0"/>
              </font>
              <fill>
                <patternFill>
                  <bgColor theme="0"/>
                </patternFill>
              </fill>
              <border>
                <left/>
                <right/>
                <top/>
                <bottom/>
                <vertical/>
                <horizontal/>
              </border>
            </x14:dxf>
          </x14:cfRule>
          <xm:sqref>B44:G44 C40:E41 B42:E43</xm:sqref>
        </x14:conditionalFormatting>
        <x14:conditionalFormatting xmlns:xm="http://schemas.microsoft.com/office/excel/2006/main">
          <x14:cfRule type="expression" priority="481" id="{8D58C066-A26C-43FB-85C8-B5D611418CB8}">
            <xm:f>'G:\Users\GEC\Documents\LUZ\[Copia de 20200615.xlsx]AUX'!#REF!=TRUE</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479" id="{8BADBDEC-B44C-477C-A23D-79B044DD3F87}">
            <xm:f>OR('G:\Users\GEC\Documents\LUZ\[Copia de 20200615.xlsx]AUX'!#REF!=TRUE,'G:\Users\GEC\Documents\LUZ\[Copia de 20200615.xlsx]AUX'!#REF!=TRUE)</xm:f>
            <x14:dxf>
              <font>
                <color theme="0"/>
              </font>
              <fill>
                <patternFill>
                  <bgColor theme="0"/>
                </patternFill>
              </fill>
              <border>
                <left/>
                <right/>
                <top/>
                <bottom/>
                <vertical/>
                <horizontal/>
              </border>
            </x14:dxf>
          </x14:cfRule>
          <xm:sqref>I47</xm:sqref>
        </x14:conditionalFormatting>
        <x14:conditionalFormatting xmlns:xm="http://schemas.microsoft.com/office/excel/2006/main">
          <x14:cfRule type="expression" priority="478" id="{9D272E25-8426-4745-BB49-7FD6F000BC83}">
            <xm:f>AND('G:\Users\GEC\Documents\LUZ\[Copia de 20200615.xlsx]DATOS'!#REF!="NO",'G:\Users\GEC\Documents\LUZ\[Copia de 20200615.xlsx]DATOS'!#REF!="NO")</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477" id="{252580B4-2843-4170-9654-58BB1D0925C1}">
            <xm:f>OR('G:\Users\GEC\Documents\LUZ\[Copia de 20200615.xlsx]AUX'!#REF!=TRUE,'G:\Users\GEC\Documents\LUZ\[Copia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476" id="{EA0DA02E-4BE9-4799-AD87-738087CDEFCF}">
            <xm:f>'G:\Users\GEC\Documents\LUZ\[Copia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475" id="{1B3E1EAE-683E-44DE-AEB8-374E0DEDD36D}">
            <xm:f>AND('G:\Users\GEC\Documents\LUZ\[Copia de 20200615.xlsx]DATOS'!#REF!="NO",'G:\Users\GEC\Documents\LUZ\[Copia de 20200615.xlsx]DATOS'!#REF!="NO")</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474" id="{6453FF11-316D-4337-9560-58796866AF78}">
            <xm:f>OR('G:\Users\GEC\Documents\LUZ\[Copia de 20200615.xlsx]AUX'!#REF!=TRUE,'G:\Users\GEC\Documents\LUZ\[Copia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473" id="{3706149B-A007-46AE-8334-5AA794376B67}">
            <xm:f>'G:\Users\GEC\Documents\LUZ\[Copia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472" id="{2742A5C1-756F-4B93-B4B0-FAF2E61BB330}">
            <xm:f>AND('G:\Users\GEC\Documents\LUZ\[Copia de 20200615.xlsx]DATOS'!#REF!="NO",'G:\Users\GEC\Documents\LUZ\[Copia de 20200615.xlsx]DATOS'!#REF!="NO")</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471" id="{C39A0142-DF79-41F2-B717-48987DDECBED}">
            <xm:f>OR('G:\Users\GEC\Documents\LUZ\[Copia de 20200615.xlsx]AUX'!#REF!=TRUE,'G:\Users\GEC\Documents\LUZ\[Copia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470" id="{A4C496CE-CF58-4121-BFE1-6D7EBE88474D}">
            <xm:f>'G:\Users\GEC\Documents\LUZ\[Copia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469" id="{4C133E3C-655E-4B74-A67C-C375DC3F425D}">
            <xm:f>'G:\Users\GEC\Documents\LUZ\[Copia de 20200615.xlsx]DATOS'!#REF!="NO"</xm:f>
            <x14:dxf>
              <border>
                <left/>
                <right/>
                <top/>
                <bottom/>
                <vertical/>
                <horizontal/>
              </border>
            </x14:dxf>
          </x14:cfRule>
          <xm:sqref>A18:D18 A16 F18:K18</xm:sqref>
        </x14:conditionalFormatting>
        <x14:conditionalFormatting xmlns:xm="http://schemas.microsoft.com/office/excel/2006/main">
          <x14:cfRule type="expression" priority="468" id="{FD04D33D-5A3C-4689-8F98-EEC12E3B979A}">
            <xm:f>OR('G:\Users\GEC\Documents\LUZ\[Copia de 20200615.xlsx]AUX'!#REF!=TRUE,'G:\Users\GEC\Documents\LUZ\[Copia de 20200615.xlsx]AUX'!#REF!=TRUE)</xm:f>
            <x14:dxf>
              <font>
                <color theme="0"/>
              </font>
              <fill>
                <patternFill>
                  <bgColor theme="0"/>
                </patternFill>
              </fill>
              <border>
                <left/>
                <right/>
                <top/>
                <bottom/>
                <vertical/>
                <horizontal/>
              </border>
            </x14:dxf>
          </x14:cfRule>
          <xm:sqref>A18:D18 A16 F18:K18</xm:sqref>
        </x14:conditionalFormatting>
        <x14:conditionalFormatting xmlns:xm="http://schemas.microsoft.com/office/excel/2006/main">
          <x14:cfRule type="expression" priority="465" id="{43975F10-A959-49AD-BE53-9FBF67621718}">
            <xm:f>OR('G:\Users\GEC\Documents\LUZ\[Copia de 20200615.xlsx]AUX'!#REF!=TRUE,'G:\Users\GEC\Documents\LUZ\[Copia de 20200615.xlsx]AUX'!#REF!=TRUE)</xm:f>
            <x14:dxf>
              <font>
                <color theme="0"/>
              </font>
              <fill>
                <patternFill>
                  <bgColor theme="0"/>
                </patternFill>
              </fill>
              <border>
                <left/>
                <right/>
                <top/>
                <bottom/>
                <vertical/>
                <horizontal/>
              </border>
            </x14:dxf>
          </x14:cfRule>
          <xm:sqref>B81:B84 C82:H82 K81 C83:C84 J82</xm:sqref>
        </x14:conditionalFormatting>
        <x14:conditionalFormatting xmlns:xm="http://schemas.microsoft.com/office/excel/2006/main">
          <x14:cfRule type="expression" priority="464" id="{BAFCD06C-8227-4AE8-AEBC-EDC785CAF598}">
            <xm:f>'G:\Users\GEC\Documents\LUZ\[Copia de 20200615.xlsx]DATOS'!#REF!="NO"</xm:f>
            <x14:dxf>
              <font>
                <color theme="0"/>
              </font>
              <fill>
                <patternFill>
                  <bgColor theme="0"/>
                </patternFill>
              </fill>
            </x14:dxf>
          </x14:cfRule>
          <xm:sqref>C97:K97</xm:sqref>
        </x14:conditionalFormatting>
        <x14:conditionalFormatting xmlns:xm="http://schemas.microsoft.com/office/excel/2006/main">
          <x14:cfRule type="expression" priority="463" id="{D28E2BB3-2ECD-4AD4-B396-496DFC677BD5}">
            <xm:f>AND('G:\Users\GEC\Documents\LUZ\[Copia de 20200615.xlsx]DATOS'!#REF!="NO",'G:\Users\GEC\Documents\LUZ\[Copia de 20200615.xlsx]DATOS'!#REF!="NO")</xm:f>
            <x14:dxf>
              <font>
                <color theme="0"/>
              </font>
              <fill>
                <patternFill>
                  <bgColor theme="0"/>
                </patternFill>
              </fill>
              <border>
                <left/>
                <right/>
                <top/>
                <bottom/>
                <vertical/>
                <horizontal/>
              </border>
            </x14:dxf>
          </x14:cfRule>
          <xm:sqref>B100:I100 K100 B87:K87 B105:J105 B101:K101 B97:K98 H99:I99 B99:E99</xm:sqref>
        </x14:conditionalFormatting>
        <x14:conditionalFormatting xmlns:xm="http://schemas.microsoft.com/office/excel/2006/main">
          <x14:cfRule type="expression" priority="462" id="{B9EB6764-BED4-4110-8523-2DA840B84BE8}">
            <xm:f>OR('G:\Users\GEC\Documents\LUZ\[Copia de 20200615.xlsx]AUX'!#REF!=TRUE,'G:\Users\GEC\Documents\LUZ\[Copia de 20200615.xlsx]AUX'!#REF!=TRUE)</xm:f>
            <x14:dxf>
              <font>
                <color theme="0"/>
              </font>
              <fill>
                <patternFill>
                  <bgColor theme="0"/>
                </patternFill>
              </fill>
              <border>
                <left/>
                <right/>
                <top/>
                <bottom/>
                <vertical/>
                <horizontal/>
              </border>
            </x14:dxf>
          </x14:cfRule>
          <xm:sqref>B100:I100 K100 B105:J105 B101:K101 B87:K87 B97:K98 H99:I99 B99:E99</xm:sqref>
        </x14:conditionalFormatting>
        <x14:conditionalFormatting xmlns:xm="http://schemas.microsoft.com/office/excel/2006/main">
          <x14:cfRule type="expression" priority="461" id="{9A590FD1-42B5-4C46-8261-3F953E3DD0C8}">
            <xm:f>'G:\Users\GEC\Documents\LUZ\[Copia de 20200615.xlsx]AUX'!#REF!=TRUE</xm:f>
            <x14:dxf>
              <font>
                <color theme="0"/>
              </font>
              <fill>
                <patternFill>
                  <bgColor theme="0"/>
                </patternFill>
              </fill>
              <border>
                <left/>
                <right/>
                <top/>
                <bottom/>
                <vertical/>
                <horizontal/>
              </border>
            </x14:dxf>
          </x14:cfRule>
          <xm:sqref>B100:I100 K100 B87:K87 B105:J105 B101:K101 C80:K80 B97:K98 H99:I99 B99:E99</xm:sqref>
        </x14:conditionalFormatting>
        <x14:conditionalFormatting xmlns:xm="http://schemas.microsoft.com/office/excel/2006/main">
          <x14:cfRule type="expression" priority="459" id="{5BD213C3-521D-4EDA-A15B-E2421FD59DCD}">
            <xm:f>OR('G:\Users\GEC\Documents\LUZ\[Copia de 20200615.xlsx]AUX'!#REF!=TRUE,'G:\Users\GEC\Documents\LUZ\[Copia de 20200615.xlsx]AUX'!#REF!=TRUE)</xm:f>
            <x14:dxf>
              <font>
                <color theme="0"/>
              </font>
              <fill>
                <patternFill>
                  <bgColor theme="0"/>
                </patternFill>
              </fill>
              <border>
                <left/>
                <right/>
                <top/>
                <bottom/>
                <vertical/>
                <horizontal/>
              </border>
            </x14:dxf>
          </x14:cfRule>
          <xm:sqref>C75:E75 B80:K80</xm:sqref>
        </x14:conditionalFormatting>
        <x14:conditionalFormatting xmlns:xm="http://schemas.microsoft.com/office/excel/2006/main">
          <x14:cfRule type="expression" priority="458" id="{68D4579D-0932-499A-A60F-D469A4B3FC71}">
            <xm:f>'G:\Users\GEC\Documents\LUZ\[Copia de 20200615.xlsx]AUX'!#REF!=TRUE</xm:f>
            <x14:dxf>
              <font>
                <color theme="0"/>
              </font>
              <fill>
                <patternFill>
                  <bgColor theme="0"/>
                </patternFill>
              </fill>
              <border>
                <left/>
                <right/>
                <top/>
                <bottom/>
                <vertical/>
                <horizontal/>
              </border>
            </x14:dxf>
          </x14:cfRule>
          <xm:sqref>C75:E75</xm:sqref>
        </x14:conditionalFormatting>
        <x14:conditionalFormatting xmlns:xm="http://schemas.microsoft.com/office/excel/2006/main">
          <x14:cfRule type="expression" priority="460" id="{7EFB492F-5A75-4DB7-8923-FA86B11A8355}">
            <xm:f>AND('G:\Users\GEC\Documents\LUZ\[Copia de 20200615.xlsx]DATOS'!#REF!="NO",'G:\Users\GEC\Documents\LUZ\[Copia de 20200615.xlsx]DATOS'!#REF!="NO")</xm:f>
            <x14:dxf>
              <font>
                <color theme="0"/>
              </font>
              <fill>
                <patternFill>
                  <bgColor theme="0"/>
                </patternFill>
              </fill>
              <border>
                <left/>
                <right/>
                <top/>
                <bottom/>
                <vertical/>
                <horizontal/>
              </border>
            </x14:dxf>
          </x14:cfRule>
          <xm:sqref>C75:E75 C80:K80</xm:sqref>
        </x14:conditionalFormatting>
        <x14:conditionalFormatting xmlns:xm="http://schemas.microsoft.com/office/excel/2006/main">
          <x14:cfRule type="expression" priority="457" id="{11C57453-89F7-4DE2-8FF5-753C829B1E40}">
            <xm:f>AND('G:\Users\GEC\Documents\LUZ\[Copia de 20200615.xlsx]DATOS'!#REF!="NO",'G:\Users\GEC\Documents\LUZ\[Copia de 20200615.xlsx]DATOS'!#REF!="NO")</xm:f>
            <x14:dxf>
              <font>
                <color theme="0"/>
              </font>
              <fill>
                <patternFill>
                  <bgColor theme="0"/>
                </patternFill>
              </fill>
              <border>
                <left/>
                <right/>
                <top/>
                <bottom/>
                <vertical/>
                <horizontal/>
              </border>
            </x14:dxf>
          </x14:cfRule>
          <xm:sqref>C76:E79</xm:sqref>
        </x14:conditionalFormatting>
        <x14:conditionalFormatting xmlns:xm="http://schemas.microsoft.com/office/excel/2006/main">
          <x14:cfRule type="expression" priority="456" id="{4D42174C-02D8-4598-AEE2-52B05D10BD10}">
            <xm:f>OR('G:\Users\GEC\Documents\LUZ\[Copia de 20200615.xlsx]AUX'!#REF!=TRUE,'G:\Users\GEC\Documents\LUZ\[Copia de 20200615.xlsx]AUX'!#REF!=TRUE)</xm:f>
            <x14:dxf>
              <font>
                <color theme="0"/>
              </font>
              <fill>
                <patternFill>
                  <bgColor theme="0"/>
                </patternFill>
              </fill>
              <border>
                <left/>
                <right/>
                <top/>
                <bottom/>
                <vertical/>
                <horizontal/>
              </border>
            </x14:dxf>
          </x14:cfRule>
          <xm:sqref>C76:E77 B78:E79</xm:sqref>
        </x14:conditionalFormatting>
        <x14:conditionalFormatting xmlns:xm="http://schemas.microsoft.com/office/excel/2006/main">
          <x14:cfRule type="expression" priority="455" id="{20449FFB-E669-4EE7-8DDA-F1B474B82773}">
            <xm:f>'G:\Users\GEC\Documents\LUZ\[Copia de 20200615.xlsx]AUX'!#REF!=TRUE</xm:f>
            <x14:dxf>
              <font>
                <color theme="0"/>
              </font>
              <fill>
                <patternFill>
                  <bgColor theme="0"/>
                </patternFill>
              </fill>
              <border>
                <left/>
                <right/>
                <top/>
                <bottom/>
                <vertical/>
                <horizontal/>
              </border>
            </x14:dxf>
          </x14:cfRule>
          <xm:sqref>C76:E79</xm:sqref>
        </x14:conditionalFormatting>
        <x14:conditionalFormatting xmlns:xm="http://schemas.microsoft.com/office/excel/2006/main">
          <x14:cfRule type="expression" priority="454" id="{E78F5446-15C8-4452-AD10-916FBACD4F90}">
            <xm:f>OR('G:\Users\GEC\Documents\LUZ\[Copia de 20200615.xlsx]AUX'!#REF!=TRUE,'G:\Users\GEC\Documents\LUZ\[Copia de 20200615.xlsx]AUX'!#REF!=TRUE)</xm:f>
            <x14:dxf>
              <font>
                <color theme="0"/>
              </font>
              <fill>
                <patternFill>
                  <bgColor theme="0"/>
                </patternFill>
              </fill>
              <border>
                <left/>
                <right/>
                <top/>
                <bottom/>
                <vertical/>
                <horizontal/>
              </border>
            </x14:dxf>
          </x14:cfRule>
          <xm:sqref>I82</xm:sqref>
        </x14:conditionalFormatting>
        <x14:conditionalFormatting xmlns:xm="http://schemas.microsoft.com/office/excel/2006/main">
          <x14:cfRule type="expression" priority="453" id="{4AB7BEEE-F0D0-47AE-9A49-6420C7F390A5}">
            <xm:f>AND('G:\Users\GEC\Documents\LUZ\[Copia de 20200615.xlsx]DATOS'!#REF!="NO",'G:\Users\GEC\Documents\LUZ\[Copia de 20200615.xlsx]DATOS'!#REF!="NO")</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452" id="{D56104F1-0B28-4B99-9913-67A489FE8A69}">
            <xm:f>OR('G:\Users\GEC\Documents\LUZ\[Copia de 20200615.xlsx]AUX'!#REF!=TRUE,'G:\Users\GEC\Documents\LUZ\[Copia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451" id="{986A8515-4F1E-42DD-8304-6AE4489B90B8}">
            <xm:f>'G:\Users\GEC\Documents\LUZ\[Copia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450" id="{8C1CED21-516F-4EE9-86ED-644FF4350748}">
            <xm:f>AND('G:\Users\GEC\Documents\LUZ\[Copia de 20200615.xlsx]DATOS'!#REF!="NO",'G:\Users\GEC\Documents\LUZ\[Copia de 20200615.xlsx]DATOS'!#REF!="NO")</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449" id="{6A06A2A8-9497-4854-A4FE-4E321D1B790E}">
            <xm:f>OR('G:\Users\GEC\Documents\LUZ\[Copia de 20200615.xlsx]AUX'!#REF!=TRUE,'G:\Users\GEC\Documents\LUZ\[Copia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448" id="{752B51B1-53D4-41D6-8B65-E92BBCEE68B7}">
            <xm:f>'G:\Users\GEC\Documents\LUZ\[Copia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421" id="{476B355C-70CB-410E-991E-C407CF2EF913}">
            <xm:f>AND('G:\Users\GEC\Documents\LUZ\[Copia de 20200615.xlsx]DATOS'!#REF!="NO",'G:\Users\GEC\Documents\LUZ\[Copia de 20200615.xlsx]DATOS'!#REF!="NO")</xm:f>
            <x14:dxf>
              <font>
                <color theme="0"/>
              </font>
              <fill>
                <patternFill>
                  <bgColor theme="0"/>
                </patternFill>
              </fill>
              <border>
                <left/>
                <right/>
                <top/>
                <bottom/>
                <vertical/>
                <horizontal/>
              </border>
            </x14:dxf>
          </x14:cfRule>
          <xm:sqref>B88:K88 B89:C90 B94:C96 J89:K90 J94:K96</xm:sqref>
        </x14:conditionalFormatting>
        <x14:conditionalFormatting xmlns:xm="http://schemas.microsoft.com/office/excel/2006/main">
          <x14:cfRule type="expression" priority="420" id="{2D689507-26ED-40F7-A218-D7A02C4FE1C5}">
            <xm:f>OR('G:\Users\GEC\Documents\LUZ\[Copia de 20200615.xlsx]AUX'!#REF!=TRUE,'G:\Users\GEC\Documents\LUZ\[Copia de 20200615.xlsx]AUX'!#REF!=TRUE)</xm:f>
            <x14:dxf>
              <font>
                <color theme="0"/>
              </font>
              <fill>
                <patternFill>
                  <bgColor theme="0"/>
                </patternFill>
              </fill>
              <border>
                <left/>
                <right/>
                <top/>
                <bottom/>
                <vertical/>
                <horizontal/>
              </border>
            </x14:dxf>
          </x14:cfRule>
          <xm:sqref>B88:K88 B89:C90 B94:C96 J89:K90 J94:K96</xm:sqref>
        </x14:conditionalFormatting>
        <x14:conditionalFormatting xmlns:xm="http://schemas.microsoft.com/office/excel/2006/main">
          <x14:cfRule type="expression" priority="419" id="{35886151-E889-4600-836C-479A29F237B8}">
            <xm:f>'G:\Users\GEC\Documents\LUZ\[Copia de 20200615.xlsx]AUX'!#REF!=TRUE</xm:f>
            <x14:dxf>
              <font>
                <color theme="0"/>
              </font>
              <fill>
                <patternFill>
                  <bgColor theme="0"/>
                </patternFill>
              </fill>
              <border>
                <left/>
                <right/>
                <top/>
                <bottom/>
                <vertical/>
                <horizontal/>
              </border>
            </x14:dxf>
          </x14:cfRule>
          <xm:sqref>B88:K88 B89:C90 B92:C92 E92:K92 J89:K91 J94:K96 B94:C96</xm:sqref>
        </x14:conditionalFormatting>
        <x14:conditionalFormatting xmlns:xm="http://schemas.microsoft.com/office/excel/2006/main">
          <x14:cfRule type="expression" priority="418" id="{7D7FFD9B-87A6-438B-96E5-16B89F4CF85D}">
            <xm:f>AND('G:\Users\GEC\Documents\LUZ\[Copia de 20200615.xlsx]DATOS'!#REF!="NO",'G:\Users\GEC\Documents\LUZ\[Copia de 20200615.xlsx]DATOS'!#REF!="NO")</xm:f>
            <x14:dxf>
              <font>
                <color theme="0"/>
              </font>
              <fill>
                <patternFill>
                  <bgColor theme="0"/>
                </patternFill>
              </fill>
              <border>
                <left/>
                <right/>
                <top/>
                <bottom/>
                <vertical/>
                <horizontal/>
              </border>
            </x14:dxf>
          </x14:cfRule>
          <xm:sqref>B91:C92 J91:K91 E92:K92</xm:sqref>
        </x14:conditionalFormatting>
        <x14:conditionalFormatting xmlns:xm="http://schemas.microsoft.com/office/excel/2006/main">
          <x14:cfRule type="expression" priority="417" id="{74597014-B3AC-4520-9E44-7A494DD1F140}">
            <xm:f>OR('G:\Users\GEC\Documents\LUZ\[Copia de 20200615.xlsx]AUX'!#REF!=TRUE,'G:\Users\GEC\Documents\LUZ\[Copia de 20200615.xlsx]AUX'!#REF!=TRUE)</xm:f>
            <x14:dxf>
              <font>
                <color theme="0"/>
              </font>
              <fill>
                <patternFill>
                  <bgColor theme="0"/>
                </patternFill>
              </fill>
              <border>
                <left/>
                <right/>
                <top/>
                <bottom/>
                <vertical/>
                <horizontal/>
              </border>
            </x14:dxf>
          </x14:cfRule>
          <xm:sqref>B91:C92 J91:K91 E92:K92</xm:sqref>
        </x14:conditionalFormatting>
        <x14:conditionalFormatting xmlns:xm="http://schemas.microsoft.com/office/excel/2006/main">
          <x14:cfRule type="expression" priority="416" id="{67E764AA-FB65-4BCD-A72C-7E8FBC347196}">
            <xm:f>'G:\Users\GEC\Documents\LUZ\[Copia de 20200615.xlsx]AUX'!#REF!=TRUE</xm:f>
            <x14:dxf>
              <font>
                <color theme="0"/>
              </font>
              <fill>
                <patternFill>
                  <bgColor theme="0"/>
                </patternFill>
              </fill>
              <border>
                <left/>
                <right/>
                <top/>
                <bottom/>
                <vertical/>
                <horizontal/>
              </border>
            </x14:dxf>
          </x14:cfRule>
          <xm:sqref>B91:C91</xm:sqref>
        </x14:conditionalFormatting>
        <x14:conditionalFormatting xmlns:xm="http://schemas.microsoft.com/office/excel/2006/main">
          <x14:cfRule type="expression" priority="415" id="{D6915B74-87AB-47E9-9F47-F1B835B790A3}">
            <xm:f>'G:\Users\GEC\Documents\LUZ\[Copia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414" id="{4A4C0856-3BB1-4B72-9B08-5B2D529C99BF}">
            <xm:f>AND('G:\Users\GEC\Documents\LUZ\[Copia de 20200615.xlsx]DATOS'!#REF!="NO",'G:\Users\GEC\Documents\LUZ\[Copia de 20200615.xlsx]DATOS'!#REF!="NO")</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413" id="{D34881DE-53C7-45F3-A4FD-C01A063A3E1D}">
            <xm:f>OR('G:\Users\GEC\Documents\LUZ\[Copia de 20200615.xlsx]AUX'!#REF!=TRUE,'G:\Users\GEC\Documents\LUZ\[Copia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412" id="{EF5B7DEB-DEF4-4FD6-BD42-2A9FAE1EFC54}">
            <xm:f>AND('G:\Users\GEC\Documents\LUZ\[Copia de 20200615.xlsx]DATOS'!#REF!="NO",'G:\Users\GEC\Documents\LUZ\[Copia de 20200615.xlsx]DATOS'!#REF!="NO")</xm:f>
            <x14:dxf>
              <font>
                <color theme="0"/>
              </font>
              <fill>
                <patternFill>
                  <bgColor theme="0"/>
                </patternFill>
              </fill>
              <border>
                <left/>
                <right/>
                <top/>
                <bottom/>
                <vertical/>
                <horizontal/>
              </border>
            </x14:dxf>
          </x14:cfRule>
          <xm:sqref>B93:K93</xm:sqref>
        </x14:conditionalFormatting>
        <x14:conditionalFormatting xmlns:xm="http://schemas.microsoft.com/office/excel/2006/main">
          <x14:cfRule type="expression" priority="411" id="{9C964433-F360-43A5-8F22-2BD5D3A2E090}">
            <xm:f>OR('G:\Users\GEC\Documents\LUZ\[Copia de 20200615.xlsx]AUX'!#REF!=TRUE,'G:\Users\GEC\Documents\LUZ\[Copia de 20200615.xlsx]AUX'!#REF!=TRUE)</xm:f>
            <x14:dxf>
              <font>
                <color theme="0"/>
              </font>
              <fill>
                <patternFill>
                  <bgColor theme="0"/>
                </patternFill>
              </fill>
              <border>
                <left/>
                <right/>
                <top/>
                <bottom/>
                <vertical/>
                <horizontal/>
              </border>
            </x14:dxf>
          </x14:cfRule>
          <xm:sqref>B93:K93</xm:sqref>
        </x14:conditionalFormatting>
        <x14:conditionalFormatting xmlns:xm="http://schemas.microsoft.com/office/excel/2006/main">
          <x14:cfRule type="expression" priority="410" id="{F0355F93-4859-4CD1-B29E-E3EFDCD9FC51}">
            <xm:f>'G:\Users\GEC\Documents\LUZ\[Copia de 20200615.xlsx]AUX'!#REF!=TRUE</xm:f>
            <x14:dxf>
              <font>
                <color theme="0"/>
              </font>
              <fill>
                <patternFill>
                  <bgColor theme="0"/>
                </patternFill>
              </fill>
              <border>
                <left/>
                <right/>
                <top/>
                <bottom/>
                <vertical/>
                <horizontal/>
              </border>
            </x14:dxf>
          </x14:cfRule>
          <xm:sqref>B93:K93</xm:sqref>
        </x14:conditionalFormatting>
        <x14:conditionalFormatting xmlns:xm="http://schemas.microsoft.com/office/excel/2006/main">
          <x14:cfRule type="expression" priority="409" id="{98694CE8-8DC5-4EE4-A526-C84D82BF3EC5}">
            <xm:f>AND('G:\Users\GEC\Documents\LUZ\[Copia de 20200615.xlsx]DATOS'!#REF!="NO",'G:\Users\GEC\Documents\LUZ\[Copia de 20200615.xlsx]DATOS'!#REF!="NO")</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408" id="{9A75D799-06D4-409F-AF76-9EA43FADF331}">
            <xm:f>OR('G:\Users\GEC\Documents\LUZ\[Copia de 20200615.xlsx]AUX'!#REF!=TRUE,'G:\Users\GEC\Documents\LUZ\[Copia de 20200615.xlsx]AUX'!#REF!=TRUE)</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407" id="{3B447448-BCCE-423B-8D03-0D2E1BB53AEF}">
            <xm:f>'G:\Users\GEC\Documents\LUZ\[Copia de 20200615.xlsx]AUX'!#REF!=TRUE</xm:f>
            <x14:dxf>
              <font>
                <color theme="0"/>
              </font>
              <fill>
                <patternFill>
                  <bgColor theme="0"/>
                </patternFill>
              </fill>
              <border>
                <left/>
                <right/>
                <top/>
                <bottom/>
                <vertical/>
                <horizontal/>
              </border>
            </x14:dxf>
          </x14:cfRule>
          <xm:sqref>B53:K53 B54:C55 B57:C61 E58:K58 G56:H56 E54:H55 J54:K56 F59:K61 F57:K57</xm:sqref>
        </x14:conditionalFormatting>
        <x14:conditionalFormatting xmlns:xm="http://schemas.microsoft.com/office/excel/2006/main">
          <x14:cfRule type="expression" priority="406" id="{12D3E2E9-1CBA-42FB-867C-594A47BB4392}">
            <xm:f>AND('G:\Users\GEC\Documents\LUZ\[Copia de 20200615.xlsx]DATOS'!#REF!="NO",'G:\Users\GEC\Documents\LUZ\[Copia de 20200615.xlsx]DATOS'!#REF!="NO")</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405" id="{D68865A5-DE58-48EA-887D-4D524783D82E}">
            <xm:f>OR('G:\Users\GEC\Documents\LUZ\[Copia de 20200615.xlsx]AUX'!#REF!=TRUE,'G:\Users\GEC\Documents\LUZ\[Copia de 20200615.xlsx]AUX'!#REF!=TRUE)</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404" id="{13B011E1-5560-49DC-AF98-A6F86C3B0D37}">
            <xm:f>'G:\Users\GEC\Documents\LUZ\[Copia de 20200615.xlsx]AUX'!#REF!=TRUE</xm:f>
            <x14:dxf>
              <font>
                <color theme="0"/>
              </font>
              <fill>
                <patternFill>
                  <bgColor theme="0"/>
                </patternFill>
              </fill>
              <border>
                <left/>
                <right/>
                <top/>
                <bottom/>
                <vertical/>
                <horizontal/>
              </border>
            </x14:dxf>
          </x14:cfRule>
          <xm:sqref>B56:C56</xm:sqref>
        </x14:conditionalFormatting>
        <x14:conditionalFormatting xmlns:xm="http://schemas.microsoft.com/office/excel/2006/main">
          <x14:cfRule type="expression" priority="403" id="{992C218F-3EF1-4879-8F91-9A19CBD5B28F}">
            <xm:f>AND('G:\Users\GEC\Documents\LUZ\[Copia de 20200615.xlsx]DATOS'!#REF!="NO",'G:\Users\GEC\Documents\LUZ\[Copia de 20200615.xlsx]DATOS'!#REF!="NO")</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402" id="{4809B489-E336-4BD0-BABF-5D32841D1008}">
            <xm:f>OR('G:\Users\GEC\Documents\LUZ\[Copia de 20200615.xlsx]AUX'!#REF!=TRUE,'G:\Users\GEC\Documents\LUZ\[Copia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401" id="{C382644A-0304-45F3-B9F9-C2CDE8517FE5}">
            <xm:f>'G:\Users\GEC\Documents\LUZ\[Copia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400" id="{F35A864B-EDD8-4E62-842A-B00F7A476917}">
            <xm:f>AND('G:\Users\GEC\Documents\LUZ\[Copia de 20200615.xlsx]DATOS'!#REF!="NO",'G:\Users\GEC\Documents\LUZ\[Copia de 20200615.xlsx]DATOS'!#REF!="NO")</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399" id="{ED402598-7726-4E1D-A658-EAFFDBBFC93A}">
            <xm:f>OR('G:\Users\GEC\Documents\LUZ\[Copia de 20200615.xlsx]AUX'!#REF!=TRUE,'G:\Users\GEC\Documents\LUZ\[Copia de 20200615.xlsx]AUX'!#REF!=TRUE)</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398" id="{CC08517A-342E-4689-BE51-B72A6C8C9C73}">
            <xm:f>'G:\Users\GEC\Documents\LUZ\[Copia de 20200615.xlsx]AUX'!#REF!=TRUE</xm:f>
            <x14:dxf>
              <font>
                <color theme="0"/>
              </font>
              <fill>
                <patternFill>
                  <bgColor theme="0"/>
                </patternFill>
              </fill>
              <border>
                <left/>
                <right/>
                <top/>
                <bottom/>
                <vertical/>
                <horizontal/>
              </border>
            </x14:dxf>
          </x14:cfRule>
          <xm:sqref>D57:D58</xm:sqref>
        </x14:conditionalFormatting>
        <x14:conditionalFormatting xmlns:xm="http://schemas.microsoft.com/office/excel/2006/main">
          <x14:cfRule type="expression" priority="397" id="{25474705-8419-4159-840D-EC2A22DFFDB9}">
            <xm:f>AND('G:\Users\GEC\Documents\LUZ\[Copia de 20200615.xlsx]DATOS'!#REF!="NO",'G:\Users\GEC\Documents\LUZ\[Copia de 20200615.xlsx]DATOS'!#REF!="NO")</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396" id="{9ADA8949-A98E-4CC3-809D-88D1DD663A8E}">
            <xm:f>OR('G:\Users\GEC\Documents\LUZ\[Copia de 20200615.xlsx]AUX'!#REF!=TRUE,'G:\Users\GEC\Documents\LUZ\[Copia de 20200615.xlsx]AUX'!#REF!=TRUE)</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395" id="{C100EDD2-FE00-4BD5-9754-D8C2CA88F003}">
            <xm:f>AND('G:\Users\GEC\Documents\LUZ\[Copia de 20200615.xlsx]DATOS'!#REF!="NO",'G:\Users\GEC\Documents\LUZ\[Copia de 20200615.xlsx]DATOS'!#REF!="NO")</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394" id="{44DA6060-1E4D-4D94-AAEB-B380387E8E57}">
            <xm:f>OR('G:\Users\GEC\Documents\LUZ\[Copia de 20200615.xlsx]AUX'!#REF!=TRUE,'G:\Users\GEC\Documents\LUZ\[Copia de 20200615.xlsx]AUX'!#REF!=TRUE)</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393" id="{470D2A24-8073-49BB-A410-24B67A45B924}">
            <xm:f>AND('G:\Users\GEC\Documents\LUZ\[Copia de 20200615.xlsx]DATOS'!#REF!="NO",'G:\Users\GEC\Documents\LUZ\[Copia de 20200615.xlsx]DATOS'!#REF!="NO")</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392" id="{4804BF86-2BE5-4681-8DCC-3ABDB41EDF80}">
            <xm:f>OR('G:\Users\GEC\Documents\LUZ\[Copia de 20200615.xlsx]AUX'!#REF!=TRUE,'G:\Users\GEC\Documents\LUZ\[Copia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391" id="{2E3F7E5C-062A-4E69-807D-C4CBD63180CC}">
            <xm:f>'G:\Users\GEC\Documents\LUZ\[Copia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388" id="{AA28368F-3BA5-4E5A-AF9C-F79EA6BB5567}">
            <xm:f>'G:\Users\GEC\Documents\LUZ\[Copia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390" id="{81066DC5-012E-4A9B-9636-6CEDD8783D7B}">
            <xm:f>AND('G:\Users\GEC\Documents\LUZ\[Copia de 20200615.xlsx]DATOS'!#REF!="NO",'G:\Users\GEC\Documents\LUZ\[Copia de 20200615.xlsx]DATOS'!#REF!="NO")</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389" id="{4DDC15C8-8039-4235-A0F1-FE8F5CB41FEE}">
            <xm:f>OR('G:\Users\GEC\Documents\LUZ\[Copia de 20200615.xlsx]AUX'!#REF!=TRUE,'G:\Users\GEC\Documents\LUZ\[Copia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387" id="{815FC4F0-C14E-4EFD-A3F1-47FB1E9263C9}">
            <xm:f>AND('G:\Users\GEC\Documents\LUZ\[Copia de 20200615.xlsx]DATOS'!#REF!="NO",'G:\Users\GEC\Documents\LUZ\[Copia de 20200615.xlsx]DATOS'!#REF!="NO")</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386" id="{8B9DDBF0-8E6B-4DD8-BBA7-22EB9869BC39}">
            <xm:f>OR('G:\Users\GEC\Documents\LUZ\[Copia de 20200615.xlsx]AUX'!#REF!=TRUE,'G:\Users\GEC\Documents\LUZ\[Copia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385" id="{3AB08F95-946A-4B62-B9D3-7620956F3069}">
            <xm:f>'G:\Users\GEC\Documents\LUZ\[Copia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384" id="{897AB80E-8807-4220-A1ED-BCFF47F14354}">
            <xm:f>AND('G:\Users\GEC\Documents\LUZ\[Copia de 20200615.xlsx]DATOS'!#REF!="NO",'G:\Users\GEC\Documents\LUZ\[Copia de 20200615.xlsx]DATOS'!#REF!="NO")</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383" id="{B430C529-97F7-4AA3-B691-857AA5191CD3}">
            <xm:f>OR('G:\Users\GEC\Documents\LUZ\[Copia de 20200615.xlsx]AUX'!#REF!=TRUE,'G:\Users\GEC\Documents\LUZ\[Copia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382" id="{32E981C6-4486-40B7-9B15-8D16ED4CF3B1}">
            <xm:f>'G:\Users\GEC\Documents\LUZ\[Copia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362" id="{7B28776A-1FDB-4C81-8DE4-98A817926A67}">
            <xm:f>'G:\Users\GEC\Documents\LUZ\[Copia de 20200615.xlsx]DATOS'!#REF!="NO"</xm:f>
            <x14:dxf>
              <border>
                <left/>
                <right/>
                <top/>
                <bottom/>
                <vertical/>
                <horizontal/>
              </border>
            </x14:dxf>
          </x14:cfRule>
          <xm:sqref>D83:I84</xm:sqref>
        </x14:conditionalFormatting>
        <x14:conditionalFormatting xmlns:xm="http://schemas.microsoft.com/office/excel/2006/main">
          <x14:cfRule type="expression" priority="361" id="{72FBE9AD-5388-4F48-913B-E880EE33E236}">
            <xm:f>OR('G:\Users\GEC\Documents\LUZ\[Copia de 20200615.xlsx]AUX'!#REF!=TRUE,'G:\Users\GEC\Documents\LUZ\[Copia de 20200615.xlsx]AUX'!#REF!=TRUE)</xm:f>
            <x14:dxf>
              <font>
                <color theme="0"/>
              </font>
              <fill>
                <patternFill>
                  <bgColor theme="0"/>
                </patternFill>
              </fill>
              <border>
                <left/>
                <right/>
                <top/>
                <bottom/>
                <vertical/>
                <horizontal/>
              </border>
            </x14:dxf>
          </x14:cfRule>
          <xm:sqref>D83:I84</xm:sqref>
        </x14:conditionalFormatting>
        <x14:conditionalFormatting xmlns:xm="http://schemas.microsoft.com/office/excel/2006/main">
          <x14:cfRule type="expression" priority="356" id="{8252CA68-82C4-4D12-87E4-FA86671557E2}">
            <xm:f>AND('G:\Users\GEC\Documents\LUZ\[Copia de 20200615.xlsx]DATOS'!#REF!="NO",'G:\Users\GEC\Documents\LUZ\[Copia de 20200615.xlsx]DATOS'!#REF!="NO")</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355" id="{ABB6A141-7BB1-435C-BD9C-8CE39A3A8926}">
            <xm:f>OR('G:\Users\GEC\Documents\LUZ\[Copia de 20200615.xlsx]AUX'!#REF!=TRUE,'G:\Users\GEC\Documents\LUZ\[Copia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354" id="{C6AD3481-F4FF-4854-B386-B5DE292B9670}">
            <xm:f>'G:\Users\GEC\Documents\LUZ\[Copia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353" id="{EF88FB75-3194-4B6E-AEDF-403F8655767F}">
            <xm:f>AND('G:\Users\GEC\Documents\LUZ\[Copia de 20200615.xlsx]DATOS'!#REF!="NO",'G:\Users\GEC\Documents\LUZ\[Copia de 20200615.xlsx]DATOS'!#REF!="NO")</xm:f>
            <x14:dxf>
              <font>
                <color theme="0"/>
              </font>
              <fill>
                <patternFill>
                  <bgColor theme="0"/>
                </patternFill>
              </fill>
              <border>
                <left/>
                <right/>
                <top/>
                <bottom/>
                <vertical/>
                <horizontal/>
              </border>
            </x14:dxf>
          </x14:cfRule>
          <xm:sqref>F89:H90</xm:sqref>
        </x14:conditionalFormatting>
        <x14:conditionalFormatting xmlns:xm="http://schemas.microsoft.com/office/excel/2006/main">
          <x14:cfRule type="expression" priority="352" id="{505D1DBF-3E8A-4814-8638-16CD40F78F33}">
            <xm:f>OR('G:\Users\GEC\Documents\LUZ\[Copia de 20200615.xlsx]AUX'!#REF!=TRUE,'G:\Users\GEC\Documents\LUZ\[Copia de 20200615.xlsx]AUX'!#REF!=TRUE)</xm:f>
            <x14:dxf>
              <font>
                <color theme="0"/>
              </font>
              <fill>
                <patternFill>
                  <bgColor theme="0"/>
                </patternFill>
              </fill>
              <border>
                <left/>
                <right/>
                <top/>
                <bottom/>
                <vertical/>
                <horizontal/>
              </border>
            </x14:dxf>
          </x14:cfRule>
          <xm:sqref>F89:H90</xm:sqref>
        </x14:conditionalFormatting>
        <x14:conditionalFormatting xmlns:xm="http://schemas.microsoft.com/office/excel/2006/main">
          <x14:cfRule type="expression" priority="351" id="{68E694EB-DBB1-47D3-B456-B712677EFA8A}">
            <xm:f>'G:\Users\GEC\Documents\LUZ\[Copia de 20200615.xlsx]AUX'!#REF!=TRUE</xm:f>
            <x14:dxf>
              <font>
                <color theme="0"/>
              </font>
              <fill>
                <patternFill>
                  <bgColor theme="0"/>
                </patternFill>
              </fill>
              <border>
                <left/>
                <right/>
                <top/>
                <bottom/>
                <vertical/>
                <horizontal/>
              </border>
            </x14:dxf>
          </x14:cfRule>
          <xm:sqref>G91:H91 E89:H90</xm:sqref>
        </x14:conditionalFormatting>
        <x14:conditionalFormatting xmlns:xm="http://schemas.microsoft.com/office/excel/2006/main">
          <x14:cfRule type="expression" priority="350" id="{733A5287-329F-421F-80A5-745DB633C7D3}">
            <xm:f>AND('G:\Users\GEC\Documents\LUZ\[Copia de 20200615.xlsx]DATOS'!#REF!="NO",'G:\Users\GEC\Documents\LUZ\[Copia de 20200615.xlsx]DATOS'!#REF!="NO")</xm:f>
            <x14:dxf>
              <font>
                <color theme="0"/>
              </font>
              <fill>
                <patternFill>
                  <bgColor theme="0"/>
                </patternFill>
              </fill>
              <border>
                <left/>
                <right/>
                <top/>
                <bottom/>
                <vertical/>
                <horizontal/>
              </border>
            </x14:dxf>
          </x14:cfRule>
          <xm:sqref>G91:H91</xm:sqref>
        </x14:conditionalFormatting>
        <x14:conditionalFormatting xmlns:xm="http://schemas.microsoft.com/office/excel/2006/main">
          <x14:cfRule type="expression" priority="349" id="{99A06C47-F14B-4C3D-BC4B-575773056D43}">
            <xm:f>OR('G:\Users\GEC\Documents\LUZ\[Copia de 20200615.xlsx]AUX'!#REF!=TRUE,'G:\Users\GEC\Documents\LUZ\[Copia de 20200615.xlsx]AUX'!#REF!=TRUE)</xm:f>
            <x14:dxf>
              <font>
                <color theme="0"/>
              </font>
              <fill>
                <patternFill>
                  <bgColor theme="0"/>
                </patternFill>
              </fill>
              <border>
                <left/>
                <right/>
                <top/>
                <bottom/>
                <vertical/>
                <horizontal/>
              </border>
            </x14:dxf>
          </x14:cfRule>
          <xm:sqref>G91:H91</xm:sqref>
        </x14:conditionalFormatting>
        <x14:conditionalFormatting xmlns:xm="http://schemas.microsoft.com/office/excel/2006/main">
          <x14:cfRule type="expression" priority="348" id="{7F8887A0-5225-4106-9A0E-5587F0AB2246}">
            <xm:f>AND('G:\Users\GEC\Documents\LUZ\[Copia de 20200615.xlsx]DATOS'!#REF!="NO",'G:\Users\GEC\Documents\LUZ\[Copia de 20200615.xlsx]DATOS'!#REF!="NO")</xm:f>
            <x14:dxf>
              <font>
                <color theme="0"/>
              </font>
              <fill>
                <patternFill>
                  <bgColor theme="0"/>
                </patternFill>
              </fill>
              <border>
                <left/>
                <right/>
                <top/>
                <bottom/>
                <vertical/>
                <horizontal/>
              </border>
            </x14:dxf>
          </x14:cfRule>
          <xm:sqref>E91:F91</xm:sqref>
        </x14:conditionalFormatting>
        <x14:conditionalFormatting xmlns:xm="http://schemas.microsoft.com/office/excel/2006/main">
          <x14:cfRule type="expression" priority="347" id="{7C4B12AA-C92F-4AA1-80F9-8A6655234413}">
            <xm:f>OR('G:\Users\GEC\Documents\LUZ\[Copia de 20200615.xlsx]AUX'!#REF!=TRUE,'G:\Users\GEC\Documents\LUZ\[Copia de 20200615.xlsx]AUX'!#REF!=TRUE)</xm:f>
            <x14:dxf>
              <font>
                <color theme="0"/>
              </font>
              <fill>
                <patternFill>
                  <bgColor theme="0"/>
                </patternFill>
              </fill>
              <border>
                <left/>
                <right/>
                <top/>
                <bottom/>
                <vertical/>
                <horizontal/>
              </border>
            </x14:dxf>
          </x14:cfRule>
          <xm:sqref>E91:F91</xm:sqref>
        </x14:conditionalFormatting>
        <x14:conditionalFormatting xmlns:xm="http://schemas.microsoft.com/office/excel/2006/main">
          <x14:cfRule type="expression" priority="346" id="{A7C774BC-9E7E-4D3E-9563-DA3EDD5C88CB}">
            <xm:f>'G:\Users\GEC\Documents\LUZ\[Copia de 20200615.xlsx]AUX'!#REF!=TRUE</xm:f>
            <x14:dxf>
              <font>
                <color theme="0"/>
              </font>
              <fill>
                <patternFill>
                  <bgColor theme="0"/>
                </patternFill>
              </fill>
              <border>
                <left/>
                <right/>
                <top/>
                <bottom/>
                <vertical/>
                <horizontal/>
              </border>
            </x14:dxf>
          </x14:cfRule>
          <xm:sqref>E91:F91</xm:sqref>
        </x14:conditionalFormatting>
        <x14:conditionalFormatting xmlns:xm="http://schemas.microsoft.com/office/excel/2006/main">
          <x14:cfRule type="expression" priority="345" id="{03889813-C11B-4CBC-8CB3-415628F215D0}">
            <xm:f>AND('G:\Users\GEC\Documents\LUZ\[Copia de 20200615.xlsx]DATOS'!#REF!="NO",'G:\Users\GEC\Documents\LUZ\[Copia de 20200615.xlsx]DATOS'!#REF!="NO")</xm:f>
            <x14:dxf>
              <font>
                <color theme="0"/>
              </font>
              <fill>
                <patternFill>
                  <bgColor theme="0"/>
                </patternFill>
              </fill>
              <border>
                <left/>
                <right/>
                <top/>
                <bottom/>
                <vertical/>
                <horizontal/>
              </border>
            </x14:dxf>
          </x14:cfRule>
          <xm:sqref>E89:E90</xm:sqref>
        </x14:conditionalFormatting>
        <x14:conditionalFormatting xmlns:xm="http://schemas.microsoft.com/office/excel/2006/main">
          <x14:cfRule type="expression" priority="344" id="{B3A816AE-A9D0-48A0-A282-7647D5ADF875}">
            <xm:f>OR('G:\Users\GEC\Documents\LUZ\[Copia de 20200615.xlsx]AUX'!#REF!=TRUE,'G:\Users\GEC\Documents\LUZ\[Copia de 20200615.xlsx]AUX'!#REF!=TRUE)</xm:f>
            <x14:dxf>
              <font>
                <color theme="0"/>
              </font>
              <fill>
                <patternFill>
                  <bgColor theme="0"/>
                </patternFill>
              </fill>
              <border>
                <left/>
                <right/>
                <top/>
                <bottom/>
                <vertical/>
                <horizontal/>
              </border>
            </x14:dxf>
          </x14:cfRule>
          <xm:sqref>E89:E90</xm:sqref>
        </x14:conditionalFormatting>
        <x14:conditionalFormatting xmlns:xm="http://schemas.microsoft.com/office/excel/2006/main">
          <x14:cfRule type="expression" priority="341" id="{42F76E33-039B-4440-85E1-F9AB55D7689B}">
            <xm:f>'G:\Users\GEC\Documents\LUZ\[Copia de 20200615.xlsx]AUX'!#REF!=TRUE</xm:f>
            <x14:dxf>
              <font>
                <color theme="0"/>
              </font>
              <fill>
                <patternFill>
                  <bgColor theme="0"/>
                </patternFill>
              </fill>
              <border>
                <left/>
                <right/>
                <top/>
                <bottom/>
                <vertical/>
                <horizontal/>
              </border>
            </x14:dxf>
          </x14:cfRule>
          <xm:sqref>D91</xm:sqref>
        </x14:conditionalFormatting>
        <x14:conditionalFormatting xmlns:xm="http://schemas.microsoft.com/office/excel/2006/main">
          <x14:cfRule type="expression" priority="343" id="{30E21CE4-C2A1-4417-9744-24A9DBB6A8CD}">
            <xm:f>AND('G:\Users\GEC\Documents\LUZ\[Copia de 20200615.xlsx]DATOS'!#REF!="NO",'G:\Users\GEC\Documents\LUZ\[Copia de 20200615.xlsx]DATOS'!#REF!="NO")</xm:f>
            <x14:dxf>
              <font>
                <color theme="0"/>
              </font>
              <fill>
                <patternFill>
                  <bgColor theme="0"/>
                </patternFill>
              </fill>
              <border>
                <left/>
                <right/>
                <top/>
                <bottom/>
                <vertical/>
                <horizontal/>
              </border>
            </x14:dxf>
          </x14:cfRule>
          <xm:sqref>D91</xm:sqref>
        </x14:conditionalFormatting>
        <x14:conditionalFormatting xmlns:xm="http://schemas.microsoft.com/office/excel/2006/main">
          <x14:cfRule type="expression" priority="342" id="{AA8BABBE-A2B6-4199-BDC9-D1ECB0091469}">
            <xm:f>OR('G:\Users\GEC\Documents\LUZ\[Copia de 20200615.xlsx]AUX'!#REF!=TRUE,'G:\Users\GEC\Documents\LUZ\[Copia de 20200615.xlsx]AUX'!#REF!=TRUE)</xm:f>
            <x14:dxf>
              <font>
                <color theme="0"/>
              </font>
              <fill>
                <patternFill>
                  <bgColor theme="0"/>
                </patternFill>
              </fill>
              <border>
                <left/>
                <right/>
                <top/>
                <bottom/>
                <vertical/>
                <horizontal/>
              </border>
            </x14:dxf>
          </x14:cfRule>
          <xm:sqref>D91</xm:sqref>
        </x14:conditionalFormatting>
        <x14:conditionalFormatting xmlns:xm="http://schemas.microsoft.com/office/excel/2006/main">
          <x14:cfRule type="expression" priority="340" id="{A6944552-33C4-4F2D-BAEE-BAD5BA24B5F3}">
            <xm:f>AND('G:\Users\GEC\Documents\LUZ\[Copia de 20200615.xlsx]DATOS'!#REF!="NO",'G:\Users\GEC\Documents\LUZ\[Copia de 20200615.xlsx]DATOS'!#REF!="NO")</xm:f>
            <x14:dxf>
              <font>
                <color theme="0"/>
              </font>
              <fill>
                <patternFill>
                  <bgColor theme="0"/>
                </patternFill>
              </fill>
              <border>
                <left/>
                <right/>
                <top/>
                <bottom/>
                <vertical/>
                <horizontal/>
              </border>
            </x14:dxf>
          </x14:cfRule>
          <xm:sqref>D89:D90</xm:sqref>
        </x14:conditionalFormatting>
        <x14:conditionalFormatting xmlns:xm="http://schemas.microsoft.com/office/excel/2006/main">
          <x14:cfRule type="expression" priority="339" id="{0B94A0DE-A22C-4466-9808-63CC5EB1EBAF}">
            <xm:f>OR('G:\Users\GEC\Documents\LUZ\[Copia de 20200615.xlsx]AUX'!#REF!=TRUE,'G:\Users\GEC\Documents\LUZ\[Copia de 20200615.xlsx]AUX'!#REF!=TRUE)</xm:f>
            <x14:dxf>
              <font>
                <color theme="0"/>
              </font>
              <fill>
                <patternFill>
                  <bgColor theme="0"/>
                </patternFill>
              </fill>
              <border>
                <left/>
                <right/>
                <top/>
                <bottom/>
                <vertical/>
                <horizontal/>
              </border>
            </x14:dxf>
          </x14:cfRule>
          <xm:sqref>D89:D90</xm:sqref>
        </x14:conditionalFormatting>
        <x14:conditionalFormatting xmlns:xm="http://schemas.microsoft.com/office/excel/2006/main">
          <x14:cfRule type="expression" priority="338" id="{765ACD6F-1F20-40E6-B6BD-18D39E6C6C58}">
            <xm:f>'G:\Users\GEC\Documents\LUZ\[Copia de 20200615.xlsx]AUX'!#REF!=TRUE</xm:f>
            <x14:dxf>
              <font>
                <color theme="0"/>
              </font>
              <fill>
                <patternFill>
                  <bgColor theme="0"/>
                </patternFill>
              </fill>
              <border>
                <left/>
                <right/>
                <top/>
                <bottom/>
                <vertical/>
                <horizontal/>
              </border>
            </x14:dxf>
          </x14:cfRule>
          <xm:sqref>D89:D90</xm:sqref>
        </x14:conditionalFormatting>
        <x14:conditionalFormatting xmlns:xm="http://schemas.microsoft.com/office/excel/2006/main">
          <x14:cfRule type="expression" priority="337" id="{5A0C50F5-81FE-4938-ADE9-BB8217BA393E}">
            <xm:f>AND('G:\Users\GEC\Documents\LUZ\[Copia de 20200615.xlsx]DATOS'!#REF!="NO",'G:\Users\GEC\Documents\LUZ\[Copia de 20200615.xlsx]DATOS'!#REF!="NO")</xm:f>
            <x14:dxf>
              <font>
                <color theme="0"/>
              </font>
              <fill>
                <patternFill>
                  <bgColor theme="0"/>
                </patternFill>
              </fill>
              <border>
                <left/>
                <right/>
                <top/>
                <bottom/>
                <vertical/>
                <horizontal/>
              </border>
            </x14:dxf>
          </x14:cfRule>
          <xm:sqref>I89:I91</xm:sqref>
        </x14:conditionalFormatting>
        <x14:conditionalFormatting xmlns:xm="http://schemas.microsoft.com/office/excel/2006/main">
          <x14:cfRule type="expression" priority="336" id="{9DFE39FC-0C2B-463F-8C8E-092B6192E90C}">
            <xm:f>OR('G:\Users\GEC\Documents\LUZ\[Copia de 20200615.xlsx]AUX'!#REF!=TRUE,'G:\Users\GEC\Documents\LUZ\[Copia de 20200615.xlsx]AUX'!#REF!=TRUE)</xm:f>
            <x14:dxf>
              <font>
                <color theme="0"/>
              </font>
              <fill>
                <patternFill>
                  <bgColor theme="0"/>
                </patternFill>
              </fill>
              <border>
                <left/>
                <right/>
                <top/>
                <bottom/>
                <vertical/>
                <horizontal/>
              </border>
            </x14:dxf>
          </x14:cfRule>
          <xm:sqref>I89:I91</xm:sqref>
        </x14:conditionalFormatting>
        <x14:conditionalFormatting xmlns:xm="http://schemas.microsoft.com/office/excel/2006/main">
          <x14:cfRule type="expression" priority="335" id="{D2756D03-2835-48FD-A359-C374E081CD4E}">
            <xm:f>'G:\Users\GEC\Documents\LUZ\[Copia de 20200615.xlsx]AUX'!#REF!=TRUE</xm:f>
            <x14:dxf>
              <font>
                <color theme="0"/>
              </font>
              <fill>
                <patternFill>
                  <bgColor theme="0"/>
                </patternFill>
              </fill>
              <border>
                <left/>
                <right/>
                <top/>
                <bottom/>
                <vertical/>
                <horizontal/>
              </border>
            </x14:dxf>
          </x14:cfRule>
          <xm:sqref>I89:I91</xm:sqref>
        </x14:conditionalFormatting>
        <x14:conditionalFormatting xmlns:xm="http://schemas.microsoft.com/office/excel/2006/main">
          <x14:cfRule type="expression" priority="315" id="{16BA09A8-8017-4B50-AB04-583834C546EF}">
            <xm:f>AND('G:\Users\GEC\Documents\LUZ\[Copia de 20200615.xlsx]DATOS'!#REF!="NO",'G:\Users\GEC\Documents\LUZ\[Copia de 20200615.xlsx]DATOS'!#REF!="NO")</xm:f>
            <x14:dxf>
              <font>
                <color theme="0"/>
              </font>
              <fill>
                <patternFill>
                  <bgColor theme="0"/>
                </patternFill>
              </fill>
              <border>
                <left/>
                <right/>
                <top/>
                <bottom/>
                <vertical/>
                <horizontal/>
              </border>
            </x14:dxf>
          </x14:cfRule>
          <xm:sqref>F94:I96</xm:sqref>
        </x14:conditionalFormatting>
        <x14:conditionalFormatting xmlns:xm="http://schemas.microsoft.com/office/excel/2006/main">
          <x14:cfRule type="expression" priority="314" id="{0BB6C7F7-ED17-47D7-8378-3C96209ED16C}">
            <xm:f>OR('G:\Users\GEC\Documents\LUZ\[Copia de 20200615.xlsx]AUX'!#REF!=TRUE,'G:\Users\GEC\Documents\LUZ\[Copia de 20200615.xlsx]AUX'!#REF!=TRUE)</xm:f>
            <x14:dxf>
              <font>
                <color theme="0"/>
              </font>
              <fill>
                <patternFill>
                  <bgColor theme="0"/>
                </patternFill>
              </fill>
              <border>
                <left/>
                <right/>
                <top/>
                <bottom/>
                <vertical/>
                <horizontal/>
              </border>
            </x14:dxf>
          </x14:cfRule>
          <xm:sqref>F94:I96</xm:sqref>
        </x14:conditionalFormatting>
        <x14:conditionalFormatting xmlns:xm="http://schemas.microsoft.com/office/excel/2006/main">
          <x14:cfRule type="expression" priority="313" id="{61C9F044-F1BF-4A5E-9BD9-A83B3417A037}">
            <xm:f>'G:\Users\GEC\Documents\LUZ\[Copia de 20200615.xlsx]AUX'!#REF!=TRUE</xm:f>
            <x14:dxf>
              <font>
                <color theme="0"/>
              </font>
              <fill>
                <patternFill>
                  <bgColor theme="0"/>
                </patternFill>
              </fill>
              <border>
                <left/>
                <right/>
                <top/>
                <bottom/>
                <vertical/>
                <horizontal/>
              </border>
            </x14:dxf>
          </x14:cfRule>
          <xm:sqref>F94:I96</xm:sqref>
        </x14:conditionalFormatting>
        <x14:conditionalFormatting xmlns:xm="http://schemas.microsoft.com/office/excel/2006/main">
          <x14:cfRule type="expression" priority="312" id="{FB69C402-2554-4C51-9334-21EEF368835F}">
            <xm:f>AND('G:\Users\GEC\Documents\LUZ\[Copia de 20200615.xlsx]DATOS'!#REF!="NO",'G:\Users\GEC\Documents\LUZ\[Copia de 20200615.xlsx]DATOS'!#REF!="NO")</xm:f>
            <x14:dxf>
              <font>
                <color theme="0"/>
              </font>
              <fill>
                <patternFill>
                  <bgColor theme="0"/>
                </patternFill>
              </fill>
              <border>
                <left/>
                <right/>
                <top/>
                <bottom/>
                <vertical/>
                <horizontal/>
              </border>
            </x14:dxf>
          </x14:cfRule>
          <xm:sqref>E94:E96</xm:sqref>
        </x14:conditionalFormatting>
        <x14:conditionalFormatting xmlns:xm="http://schemas.microsoft.com/office/excel/2006/main">
          <x14:cfRule type="expression" priority="311" id="{404EFBEF-2039-429F-95C7-5BCD7D86698B}">
            <xm:f>OR('G:\Users\GEC\Documents\LUZ\[Copia de 20200615.xlsx]AUX'!#REF!=TRUE,'G:\Users\GEC\Documents\LUZ\[Copia de 20200615.xlsx]AUX'!#REF!=TRUE)</xm:f>
            <x14:dxf>
              <font>
                <color theme="0"/>
              </font>
              <fill>
                <patternFill>
                  <bgColor theme="0"/>
                </patternFill>
              </fill>
              <border>
                <left/>
                <right/>
                <top/>
                <bottom/>
                <vertical/>
                <horizontal/>
              </border>
            </x14:dxf>
          </x14:cfRule>
          <xm:sqref>E94:E96</xm:sqref>
        </x14:conditionalFormatting>
        <x14:conditionalFormatting xmlns:xm="http://schemas.microsoft.com/office/excel/2006/main">
          <x14:cfRule type="expression" priority="310" id="{1C54E015-3001-4402-8580-943588DB78F6}">
            <xm:f>'G:\Users\GEC\Documents\LUZ\[Copia de 20200615.xlsx]AUX'!#REF!=TRUE</xm:f>
            <x14:dxf>
              <font>
                <color theme="0"/>
              </font>
              <fill>
                <patternFill>
                  <bgColor theme="0"/>
                </patternFill>
              </fill>
              <border>
                <left/>
                <right/>
                <top/>
                <bottom/>
                <vertical/>
                <horizontal/>
              </border>
            </x14:dxf>
          </x14:cfRule>
          <xm:sqref>E94:E96</xm:sqref>
        </x14:conditionalFormatting>
        <x14:conditionalFormatting xmlns:xm="http://schemas.microsoft.com/office/excel/2006/main">
          <x14:cfRule type="expression" priority="309" id="{A0F99C84-9139-4DD1-A096-9EBCEEFBB765}">
            <xm:f>AND('G:\Users\GEC\Documents\LUZ\[Copia de 20200615.xlsx]DATOS'!#REF!="NO",'G:\Users\GEC\Documents\LUZ\[Copia de 20200615.xlsx]DATOS'!#REF!="NO")</xm:f>
            <x14:dxf>
              <font>
                <color theme="0"/>
              </font>
              <fill>
                <patternFill>
                  <bgColor theme="0"/>
                </patternFill>
              </fill>
              <border>
                <left/>
                <right/>
                <top/>
                <bottom/>
                <vertical/>
                <horizontal/>
              </border>
            </x14:dxf>
          </x14:cfRule>
          <xm:sqref>D94:D96</xm:sqref>
        </x14:conditionalFormatting>
        <x14:conditionalFormatting xmlns:xm="http://schemas.microsoft.com/office/excel/2006/main">
          <x14:cfRule type="expression" priority="308" id="{561B90A1-C9DA-4EA9-AD0F-882FB736A536}">
            <xm:f>OR('G:\Users\GEC\Documents\LUZ\[Copia de 20200615.xlsx]AUX'!#REF!=TRUE,'G:\Users\GEC\Documents\LUZ\[Copia de 20200615.xlsx]AUX'!#REF!=TRUE)</xm:f>
            <x14:dxf>
              <font>
                <color theme="0"/>
              </font>
              <fill>
                <patternFill>
                  <bgColor theme="0"/>
                </patternFill>
              </fill>
              <border>
                <left/>
                <right/>
                <top/>
                <bottom/>
                <vertical/>
                <horizontal/>
              </border>
            </x14:dxf>
          </x14:cfRule>
          <xm:sqref>D94:D96</xm:sqref>
        </x14:conditionalFormatting>
        <x14:conditionalFormatting xmlns:xm="http://schemas.microsoft.com/office/excel/2006/main">
          <x14:cfRule type="expression" priority="307" id="{8232C1CC-BD09-4B6B-8620-592CD2232CC7}">
            <xm:f>'G:\Users\GEC\Documents\LUZ\[Copia de 20200615.xlsx]AUX'!#REF!=TRUE</xm:f>
            <x14:dxf>
              <font>
                <color theme="0"/>
              </font>
              <fill>
                <patternFill>
                  <bgColor theme="0"/>
                </patternFill>
              </fill>
              <border>
                <left/>
                <right/>
                <top/>
                <bottom/>
                <vertical/>
                <horizontal/>
              </border>
            </x14:dxf>
          </x14:cfRule>
          <xm:sqref>D94:D96</xm:sqref>
        </x14:conditionalFormatting>
        <x14:conditionalFormatting xmlns:xm="http://schemas.microsoft.com/office/excel/2006/main">
          <x14:cfRule type="expression" priority="296" id="{EF6CE110-689F-43CF-9C31-6008B58F5035}">
            <xm:f>OR('G:\Users\GEC\Documents\LUZ\[Copia de 20200615.xlsx]AUX'!#REF!=TRUE,'G:\Users\GEC\Documents\LUZ\[Copia de 20200615.xlsx]AUX'!#REF!=TRUE)</xm:f>
            <x14:dxf>
              <font>
                <color theme="0"/>
              </font>
              <fill>
                <patternFill>
                  <bgColor theme="0"/>
                </patternFill>
              </fill>
              <border>
                <left/>
                <right/>
                <top/>
                <bottom/>
                <vertical/>
                <horizontal/>
              </border>
            </x14:dxf>
          </x14:cfRule>
          <xm:sqref>H75:H76</xm:sqref>
        </x14:conditionalFormatting>
        <x14:conditionalFormatting xmlns:xm="http://schemas.microsoft.com/office/excel/2006/main">
          <x14:cfRule type="expression" priority="295" id="{93FE17C2-BF33-4EAA-B644-2CE51E3A18C8}">
            <xm:f>OR('G:\Users\GEC\Documents\LUZ\[Copia de 20200615.xlsx]AUX'!#REF!=TRUE,'G:\Users\GEC\Documents\LUZ\[Copia de 20200615.xlsx]AUX'!#REF!=TRUE)</xm:f>
            <x14:dxf>
              <font>
                <color theme="0"/>
              </font>
              <fill>
                <patternFill>
                  <bgColor theme="0"/>
                </patternFill>
              </fill>
              <border>
                <left/>
                <right/>
                <top/>
                <bottom/>
                <vertical/>
                <horizontal/>
              </border>
            </x14:dxf>
          </x14:cfRule>
          <xm:sqref>F75</xm:sqref>
        </x14:conditionalFormatting>
        <x14:conditionalFormatting xmlns:xm="http://schemas.microsoft.com/office/excel/2006/main">
          <x14:cfRule type="expression" priority="294" id="{0A5259DA-09C2-4D23-9A02-80C876160951}">
            <xm:f>OR('G:\Users\GEC\Documents\LUZ\[Copia de 20200615.xlsx]AUX'!#REF!=TRUE,'G:\Users\GEC\Documents\LUZ\[Copia de 20200615.xlsx]AUX'!#REF!=TRUE)</xm:f>
            <x14:dxf>
              <font>
                <color theme="0"/>
              </font>
              <fill>
                <patternFill>
                  <bgColor theme="0"/>
                </patternFill>
              </fill>
              <border>
                <left/>
                <right/>
                <top/>
                <bottom/>
                <vertical/>
                <horizontal/>
              </border>
            </x14:dxf>
          </x14:cfRule>
          <xm:sqref>F76:F79</xm:sqref>
        </x14:conditionalFormatting>
        <x14:conditionalFormatting xmlns:xm="http://schemas.microsoft.com/office/excel/2006/main">
          <x14:cfRule type="expression" priority="293" id="{0AB52FE0-EE40-4DBF-AD56-D1D916C254DF}">
            <xm:f>OR('G:\Users\GEC\Documents\LUZ\[Copia de 20200615.xlsx]AUX'!#REF!=TRUE,'G:\Users\GEC\Documents\LUZ\[Copia de 20200615.xlsx]AUX'!#REF!=TRUE)</xm:f>
            <x14:dxf>
              <font>
                <color theme="0"/>
              </font>
              <fill>
                <patternFill>
                  <bgColor theme="0"/>
                </patternFill>
              </fill>
              <border>
                <left/>
                <right/>
                <top/>
                <bottom/>
                <vertical/>
                <horizontal/>
              </border>
            </x14:dxf>
          </x14:cfRule>
          <xm:sqref>H77</xm:sqref>
        </x14:conditionalFormatting>
        <x14:conditionalFormatting xmlns:xm="http://schemas.microsoft.com/office/excel/2006/main">
          <x14:cfRule type="expression" priority="292" id="{311FB888-F1E0-40E7-ADC2-F0F588B30A61}">
            <xm:f>OR('G:\Users\GEC\Documents\LUZ\[Copia de 20200615.xlsx]AUX'!#REF!=TRUE,'G:\Users\GEC\Documents\LUZ\[Copia de 20200615.xlsx]AUX'!#REF!=TRUE)</xm:f>
            <x14:dxf>
              <font>
                <color theme="0"/>
              </font>
              <fill>
                <patternFill>
                  <bgColor theme="0"/>
                </patternFill>
              </fill>
              <border>
                <left/>
                <right/>
                <top/>
                <bottom/>
                <vertical/>
                <horizontal/>
              </border>
            </x14:dxf>
          </x14:cfRule>
          <xm:sqref>H39:H40</xm:sqref>
        </x14:conditionalFormatting>
        <x14:conditionalFormatting xmlns:xm="http://schemas.microsoft.com/office/excel/2006/main">
          <x14:cfRule type="expression" priority="291" id="{03CF1F6B-DB12-4781-BAF7-4FEB37B7EAA6}">
            <xm:f>OR('G:\Users\GEC\Documents\LUZ\[Copia de 20200615.xlsx]AUX'!#REF!=TRUE,'G:\Users\GEC\Documents\LUZ\[Copia de 20200615.xlsx]AUX'!#REF!=TRUE)</xm:f>
            <x14:dxf>
              <font>
                <color theme="0"/>
              </font>
              <fill>
                <patternFill>
                  <bgColor theme="0"/>
                </patternFill>
              </fill>
              <border>
                <left/>
                <right/>
                <top/>
                <bottom/>
                <vertical/>
                <horizontal/>
              </border>
            </x14:dxf>
          </x14:cfRule>
          <xm:sqref>F39</xm:sqref>
        </x14:conditionalFormatting>
        <x14:conditionalFormatting xmlns:xm="http://schemas.microsoft.com/office/excel/2006/main">
          <x14:cfRule type="expression" priority="290" id="{0633AB33-0226-4BA7-9A2A-5836A4FF40D3}">
            <xm:f>OR('G:\Users\GEC\Documents\LUZ\[Copia de 20200615.xlsx]AUX'!#REF!=TRUE,'G:\Users\GEC\Documents\LUZ\[Copia de 20200615.xlsx]AUX'!#REF!=TRUE)</xm:f>
            <x14:dxf>
              <font>
                <color theme="0"/>
              </font>
              <fill>
                <patternFill>
                  <bgColor theme="0"/>
                </patternFill>
              </fill>
              <border>
                <left/>
                <right/>
                <top/>
                <bottom/>
                <vertical/>
                <horizontal/>
              </border>
            </x14:dxf>
          </x14:cfRule>
          <xm:sqref>F40:F43</xm:sqref>
        </x14:conditionalFormatting>
        <x14:conditionalFormatting xmlns:xm="http://schemas.microsoft.com/office/excel/2006/main">
          <x14:cfRule type="expression" priority="289" id="{048732E4-115C-46F6-8CCB-E694D73A3AE9}">
            <xm:f>OR('G:\Users\GEC\Documents\LUZ\[Copia de 20200615.xlsx]AUX'!#REF!=TRUE,'G:\Users\GEC\Documents\LUZ\[Copia de 20200615.xlsx]AUX'!#REF!=TRUE)</xm:f>
            <x14:dxf>
              <font>
                <color theme="0"/>
              </font>
              <fill>
                <patternFill>
                  <bgColor theme="0"/>
                </patternFill>
              </fill>
              <border>
                <left/>
                <right/>
                <top/>
                <bottom/>
                <vertical/>
                <horizontal/>
              </border>
            </x14:dxf>
          </x14:cfRule>
          <xm:sqref>H41</xm:sqref>
        </x14:conditionalFormatting>
        <x14:conditionalFormatting xmlns:xm="http://schemas.microsoft.com/office/excel/2006/main">
          <x14:cfRule type="expression" priority="288" id="{0226E0B5-EA5D-408C-B509-C9EFDC11A5BE}">
            <xm:f>OR('G:\Users\GEC\Documents\LUZ\[Copia de 20200615.xlsx]AUX'!#REF!=TRUE,'G:\Users\GEC\Documents\LUZ\[Copia de 20200615.xlsx]AUX'!#REF!=TRUE)</xm:f>
            <x14:dxf>
              <font>
                <color theme="0"/>
              </font>
              <fill>
                <patternFill>
                  <bgColor theme="0"/>
                </patternFill>
              </fill>
              <border>
                <left/>
                <right/>
                <top/>
                <bottom/>
                <vertical/>
                <horizontal/>
              </border>
            </x14:dxf>
          </x14:cfRule>
          <xm:sqref>C46</xm:sqref>
        </x14:conditionalFormatting>
        <x14:conditionalFormatting xmlns:xm="http://schemas.microsoft.com/office/excel/2006/main">
          <x14:cfRule type="expression" priority="287" id="{8AA63C43-9E21-433A-A6E0-77FCFF42A1A2}">
            <xm:f>OR('G:\Users\GEC\Documents\LUZ\[Copia de 20200615.xlsx]AUX'!#REF!=TRUE,'G:\Users\GEC\Documents\LUZ\[Copia de 20200615.xlsx]AUX'!#REF!=TRUE)</xm:f>
            <x14:dxf>
              <font>
                <color theme="0"/>
              </font>
              <fill>
                <patternFill>
                  <bgColor theme="0"/>
                </patternFill>
              </fill>
              <border>
                <left/>
                <right/>
                <top/>
                <bottom/>
                <vertical/>
                <horizontal/>
              </border>
            </x14:dxf>
          </x14:cfRule>
          <xm:sqref>C81</xm:sqref>
        </x14:conditionalFormatting>
        <x14:conditionalFormatting xmlns:xm="http://schemas.microsoft.com/office/excel/2006/main">
          <x14:cfRule type="expression" priority="244" id="{3BD6A999-4FD7-4F58-A0E3-79735B3D1F41}">
            <xm:f>'G:\Users\GEC\Documents\LUZ\[Copia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243" id="{D0D0E8ED-BD2C-43A4-A654-DA7F1285F582}">
            <xm:f>AND('G:\Users\GEC\Documents\LUZ\[Copia de 20200615.xlsx]DATOS'!#REF!="NO",'G:\Users\GEC\Documents\LUZ\[Copia de 20200615.xlsx]DATOS'!#REF!="NO")</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242" id="{F289AFC7-C8A5-45A6-815E-39D668E6DB15}">
            <xm:f>OR('G:\Users\GEC\Documents\LUZ\[Copia de 20200615.xlsx]AUX'!#REF!=TRUE,'G:\Users\GEC\Documents\LUZ\[Copia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237" id="{1837D2EC-5CFF-40CB-8EB4-05095D8EF490}">
            <xm:f>AND('G:\Users\GEC\Documents\LUZ\[Copia de 20200615.xlsx]DATOS'!#REF!="NO",'G:\Users\GEC\Documents\LUZ\[Copia de 20200615.xlsx]DATOS'!#REF!="NO")</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236" id="{9BC53B4A-E98A-4EAA-8885-C2AF36A21F4E}">
            <xm:f>OR('G:\Users\GEC\Documents\LUZ\[Copia de 20200615.xlsx]AUX'!#REF!=TRUE,'G:\Users\GEC\Documents\LUZ\[Copia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235" id="{AFA257C7-B674-4526-BA26-9D90E1883444}">
            <xm:f>'G:\Users\GEC\Documents\LUZ\[Copia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234" id="{207DD33D-F8EE-48C0-B997-82CB00797153}">
            <xm:f>AND('G:\Users\GEC\Documents\LUZ\[Copia de 20200615.xlsx]DATOS'!#REF!="NO",'G:\Users\GEC\Documents\LUZ\[Copia de 20200615.xlsx]DATOS'!#REF!="NO")</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233" id="{7017F137-9060-4BFF-A6D7-8D2446F69494}">
            <xm:f>OR('G:\Users\GEC\Documents\LUZ\[Copia de 20200615.xlsx]AUX'!#REF!=TRUE,'G:\Users\GEC\Documents\LUZ\[Copia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232" id="{9975ECF5-257F-4B19-9A67-CBA60018CFED}">
            <xm:f>'G:\Users\GEC\Documents\LUZ\[Copia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219" id="{BA198104-BE2D-4560-A972-BED5928CE787}">
            <xm:f>AND('G:\Users\GEC\Documents\LUZ\[Copia de 20200615.xlsx]DATOS'!#REF!="NO",'G:\Users\GEC\Documents\LUZ\[Copia de 20200615.xlsx]DATOS'!#REF!="NO")</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218" id="{9A7FD92B-A29F-4CD8-A3DA-8051B4CE2DE7}">
            <xm:f>OR('G:\Users\GEC\Documents\LUZ\[Copia de 20200615.xlsx]AUX'!#REF!=TRUE,'G:\Users\GEC\Documents\LUZ\[Copia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217" id="{15C23E0E-843F-48E6-B9F6-40EA3323BC70}">
            <xm:f>'G:\Users\GEC\Documents\LUZ\[Copia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9" id="{72E21249-4E08-48F9-ACB5-0AE977221DC1}">
            <xm:f>AND('G:\Users\GEC\Documents\LUZ\[Copia de 20200615.xlsx]DATOS'!#REF!="NO",'G:\Users\GEC\Documents\LUZ\[Copia de 20200615.xlsx]DATOS'!#REF!="NO")</xm:f>
            <x14:dxf>
              <font>
                <color theme="0"/>
              </font>
              <fill>
                <patternFill>
                  <bgColor theme="0"/>
                </patternFill>
              </fill>
              <border>
                <left/>
                <right/>
                <top/>
                <bottom/>
                <vertical/>
                <horizontal/>
              </border>
            </x14:dxf>
          </x14:cfRule>
          <xm:sqref>I102:K103 B102:E103</xm:sqref>
        </x14:conditionalFormatting>
        <x14:conditionalFormatting xmlns:xm="http://schemas.microsoft.com/office/excel/2006/main">
          <x14:cfRule type="expression" priority="8" id="{933E74B1-DCCF-4E61-B44B-4931FB534709}">
            <xm:f>OR('G:\Users\GEC\Documents\LUZ\[Copia de 20200615.xlsx]AUX'!#REF!=TRUE,'G:\Users\GEC\Documents\LUZ\[Copia de 20200615.xlsx]AUX'!#REF!=TRUE)</xm:f>
            <x14:dxf>
              <font>
                <color theme="0"/>
              </font>
              <fill>
                <patternFill>
                  <bgColor theme="0"/>
                </patternFill>
              </fill>
              <border>
                <left/>
                <right/>
                <top/>
                <bottom/>
                <vertical/>
                <horizontal/>
              </border>
            </x14:dxf>
          </x14:cfRule>
          <xm:sqref>I102:K103 B102:E103</xm:sqref>
        </x14:conditionalFormatting>
        <x14:conditionalFormatting xmlns:xm="http://schemas.microsoft.com/office/excel/2006/main">
          <x14:cfRule type="expression" priority="7" id="{E960BF73-BDA2-4CF6-96A0-9FAE191E0C1C}">
            <xm:f>'G:\Users\GEC\Documents\LUZ\[Copia de 20200615.xlsx]AUX'!#REF!=TRUE</xm:f>
            <x14:dxf>
              <font>
                <color theme="0"/>
              </font>
              <fill>
                <patternFill>
                  <bgColor theme="0"/>
                </patternFill>
              </fill>
              <border>
                <left/>
                <right/>
                <top/>
                <bottom/>
                <vertical/>
                <horizontal/>
              </border>
            </x14:dxf>
          </x14:cfRule>
          <xm:sqref>I102:K103 B102:E103</xm:sqref>
        </x14:conditionalFormatting>
        <x14:conditionalFormatting xmlns:xm="http://schemas.microsoft.com/office/excel/2006/main">
          <x14:cfRule type="expression" priority="6" id="{571B6301-DB75-4F31-9D7F-E30D12A789C4}">
            <xm:f>AND('G:\Users\GEC\Documents\LUZ\[Copia de 20200615.xlsx]DATOS'!#REF!="NO",'G:\Users\GEC\Documents\LUZ\[Copia de 20200615.xlsx]DATOS'!#REF!="NO")</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5" id="{815510B3-628A-48DD-A247-5072791C1887}">
            <xm:f>OR('G:\Users\GEC\Documents\LUZ\[Copia de 20200615.xlsx]AUX'!#REF!=TRUE,'G:\Users\GEC\Documents\LUZ\[Copia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4" id="{41322942-4850-4A38-B640-EE3B360465A1}">
            <xm:f>'G:\Users\GEC\Documents\LUZ\[Copia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3" id="{B55B1EFA-EEC6-442B-9B87-4EBCAEE9C7F5}">
            <xm:f>AND('G:\Users\GEC\Documents\LUZ\[Copia de 20200615.xlsx]DATOS'!#REF!="NO",'G:\Users\GEC\Documents\LUZ\[Copia de 20200615.xlsx]DATOS'!#REF!="NO")</xm:f>
            <x14:dxf>
              <font>
                <color theme="0"/>
              </font>
              <fill>
                <patternFill>
                  <bgColor theme="0"/>
                </patternFill>
              </fill>
              <border>
                <left/>
                <right/>
                <top/>
                <bottom/>
                <vertical/>
                <horizontal/>
              </border>
            </x14:dxf>
          </x14:cfRule>
          <xm:sqref>K99</xm:sqref>
        </x14:conditionalFormatting>
        <x14:conditionalFormatting xmlns:xm="http://schemas.microsoft.com/office/excel/2006/main">
          <x14:cfRule type="expression" priority="2" id="{98535E88-C33F-45D9-B2E7-E54810F17CC2}">
            <xm:f>OR('G:\Users\GEC\Documents\LUZ\[Copia de 20200615.xlsx]AUX'!#REF!=TRUE,'G:\Users\GEC\Documents\LUZ\[Copia de 20200615.xlsx]AUX'!#REF!=TRUE)</xm:f>
            <x14:dxf>
              <font>
                <color theme="0"/>
              </font>
              <fill>
                <patternFill>
                  <bgColor theme="0"/>
                </patternFill>
              </fill>
              <border>
                <left/>
                <right/>
                <top/>
                <bottom/>
                <vertical/>
                <horizontal/>
              </border>
            </x14:dxf>
          </x14:cfRule>
          <xm:sqref>K99</xm:sqref>
        </x14:conditionalFormatting>
        <x14:conditionalFormatting xmlns:xm="http://schemas.microsoft.com/office/excel/2006/main">
          <x14:cfRule type="expression" priority="1" id="{80FDF598-8855-46BC-A1AF-98575F6CB207}">
            <xm:f>'G:\Users\GEC\Documents\LUZ\[Copia de 20200615.xlsx]AUX'!#REF!=TRUE</xm:f>
            <x14:dxf>
              <font>
                <color theme="0"/>
              </font>
              <fill>
                <patternFill>
                  <bgColor theme="0"/>
                </patternFill>
              </fill>
              <border>
                <left/>
                <right/>
                <top/>
                <bottom/>
                <vertical/>
                <horizontal/>
              </border>
            </x14:dxf>
          </x14:cfRule>
          <xm:sqref>K99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'INTRODUCIR DATOS'!$I$12:$I$16</xm:f>
          </x14:formula1>
          <xm:sqref>C46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00B0F0"/>
  </sheetPr>
  <dimension ref="A1:X179"/>
  <sheetViews>
    <sheetView showZeros="0" topLeftCell="B1" zoomScale="85" zoomScaleNormal="85" workbookViewId="0">
      <pane ySplit="1" topLeftCell="A2" activePane="bottomLeft" state="frozen"/>
      <selection pane="bottomLeft" activeCell="C88" sqref="C88:D165"/>
    </sheetView>
  </sheetViews>
  <sheetFormatPr defaultColWidth="11.42578125" defaultRowHeight="14.45"/>
  <cols>
    <col min="1" max="1" width="26.7109375" style="19" customWidth="1"/>
    <col min="2" max="2" width="11.42578125" style="19"/>
    <col min="3" max="3" width="10.85546875" style="248" bestFit="1" customWidth="1"/>
    <col min="4" max="4" width="28.7109375" style="19" customWidth="1"/>
    <col min="5" max="5" width="5.85546875" style="270" bestFit="1" customWidth="1"/>
    <col min="6" max="6" width="10" style="249" bestFit="1" customWidth="1"/>
    <col min="7" max="7" width="15.42578125" style="248" bestFit="1" customWidth="1"/>
    <col min="8" max="11" width="11.42578125" style="19" bestFit="1" customWidth="1"/>
    <col min="12" max="12" width="16.140625" style="270" bestFit="1" customWidth="1"/>
    <col min="13" max="13" width="15.28515625" style="248" bestFit="1" customWidth="1"/>
    <col min="14" max="14" width="10.28515625" style="19" bestFit="1" customWidth="1"/>
    <col min="15" max="15" width="8.5703125" style="270" bestFit="1" customWidth="1"/>
    <col min="16" max="16" width="18.7109375" style="19" bestFit="1" customWidth="1"/>
    <col min="17" max="16384" width="11.42578125" style="19"/>
  </cols>
  <sheetData>
    <row r="1" spans="2:22" s="44" customFormat="1" ht="15" thickBot="1">
      <c r="B1" s="44">
        <v>1</v>
      </c>
      <c r="C1" s="49" t="s">
        <v>132</v>
      </c>
      <c r="D1" s="50" t="s">
        <v>10</v>
      </c>
      <c r="E1" s="50"/>
      <c r="F1" s="342"/>
      <c r="G1" s="340" t="s">
        <v>115</v>
      </c>
      <c r="H1" s="340" t="s">
        <v>116</v>
      </c>
      <c r="I1" s="340" t="s">
        <v>60</v>
      </c>
      <c r="J1" s="340" t="s">
        <v>62</v>
      </c>
      <c r="K1" s="340" t="s">
        <v>63</v>
      </c>
      <c r="L1" s="340" t="s">
        <v>65</v>
      </c>
      <c r="M1" s="340" t="s">
        <v>23</v>
      </c>
      <c r="N1" s="341" t="s">
        <v>11</v>
      </c>
      <c r="O1" s="342"/>
      <c r="P1" s="580" t="s">
        <v>133</v>
      </c>
      <c r="Q1" s="581"/>
    </row>
    <row r="2" spans="2:22">
      <c r="B2" s="19">
        <v>2</v>
      </c>
      <c r="C2" s="577" t="s">
        <v>17</v>
      </c>
      <c r="D2" s="582" t="s">
        <v>18</v>
      </c>
      <c r="E2" s="351" t="s">
        <v>34</v>
      </c>
      <c r="F2" s="309" t="s">
        <v>134</v>
      </c>
      <c r="G2" s="265">
        <f>S2/365</f>
        <v>8.6628936986301364E-2</v>
      </c>
      <c r="H2" s="250">
        <f>T2/365</f>
        <v>1.4291079452054793E-2</v>
      </c>
      <c r="I2" s="251"/>
      <c r="J2" s="251"/>
      <c r="K2" s="251"/>
      <c r="L2" s="252"/>
      <c r="M2" s="78"/>
      <c r="N2" s="21"/>
      <c r="O2" s="22"/>
      <c r="P2" s="19" t="s">
        <v>135</v>
      </c>
      <c r="S2" s="40">
        <v>31.619561999999998</v>
      </c>
      <c r="T2" s="40">
        <v>5.2162439999999997</v>
      </c>
      <c r="V2" s="19">
        <f>'INTRODUCIR DATOS'!$D$17</f>
        <v>5.0000000000000001E-3</v>
      </c>
    </row>
    <row r="3" spans="2:22">
      <c r="B3" s="44">
        <v>3</v>
      </c>
      <c r="C3" s="570" t="s">
        <v>17</v>
      </c>
      <c r="D3" s="583"/>
      <c r="E3" s="350" t="s">
        <v>34</v>
      </c>
      <c r="F3" s="310" t="s">
        <v>136</v>
      </c>
      <c r="G3" s="266">
        <v>0.39190399999999997</v>
      </c>
      <c r="H3" s="253">
        <v>0.33144200000000001</v>
      </c>
      <c r="I3" s="253">
        <v>0.30008699999999999</v>
      </c>
      <c r="J3" s="254"/>
      <c r="K3" s="254"/>
      <c r="L3" s="255"/>
      <c r="M3" s="456">
        <f>('INTRODUCIR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DATOS'!$D$17)+'INTRODUCIR DATOS'!$D$15+'INTRODUCIR DATOS'!$D$16+IF('INTRODUCIR DATOS'!$D$21=21%,(('INTRODUCIR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DATOS'!$D$17)+'INTRODUCIR DATOS'!$D$16)*21/100,IF('INTRODUCIR DATOS'!$D$21=10%,(('INTRODUCIR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DATOS'!$D$17)+'INTRODUCIR DATOS'!$D$16)*10/100))</f>
        <v>180.43144586845369</v>
      </c>
      <c r="N3" s="292">
        <f>IF(M3=0,"",'INTRODUCIR DATOS'!$D$14-M3)</f>
        <v>-66.281445868453687</v>
      </c>
      <c r="O3" s="271">
        <f>IF(M3=0,"",('INTRODUCIR DATOS'!$D$14-M3)/'INTRODUCIR DATOS'!$D$14)</f>
        <v>-0.58065217580774142</v>
      </c>
      <c r="V3" s="19">
        <f>'INTRODUCIR DATOS'!$D$17</f>
        <v>5.0000000000000001E-3</v>
      </c>
    </row>
    <row r="4" spans="2:22">
      <c r="B4" s="19">
        <v>4</v>
      </c>
      <c r="C4" s="570" t="s">
        <v>17</v>
      </c>
      <c r="D4" s="583" t="s">
        <v>18</v>
      </c>
      <c r="E4" s="350" t="s">
        <v>34</v>
      </c>
      <c r="F4" s="311" t="s">
        <v>134</v>
      </c>
      <c r="G4" s="267">
        <f>S4/365</f>
        <v>8.5906139726027397E-2</v>
      </c>
      <c r="H4" s="256">
        <f>T4/365</f>
        <v>1.3568282191780821E-2</v>
      </c>
      <c r="I4" s="257"/>
      <c r="J4" s="257"/>
      <c r="K4" s="257"/>
      <c r="L4" s="258"/>
      <c r="M4" s="79"/>
      <c r="N4" s="40"/>
      <c r="O4" s="145"/>
      <c r="P4" s="19" t="s">
        <v>137</v>
      </c>
      <c r="Q4" s="19" t="s">
        <v>138</v>
      </c>
      <c r="S4" s="40">
        <v>31.355740999999998</v>
      </c>
      <c r="T4" s="40">
        <v>4.9524229999999996</v>
      </c>
      <c r="V4" s="19">
        <f>'INTRODUCIR DATOS'!$D$17</f>
        <v>5.0000000000000001E-3</v>
      </c>
    </row>
    <row r="5" spans="2:22">
      <c r="B5" s="44">
        <v>5</v>
      </c>
      <c r="C5" s="570" t="s">
        <v>17</v>
      </c>
      <c r="D5" s="583" t="s">
        <v>18</v>
      </c>
      <c r="E5" s="350" t="s">
        <v>34</v>
      </c>
      <c r="F5" s="310" t="s">
        <v>136</v>
      </c>
      <c r="G5" s="266">
        <v>0.38620599999999999</v>
      </c>
      <c r="H5" s="253">
        <v>0.32574399999999998</v>
      </c>
      <c r="I5" s="253">
        <v>0.29438799999999998</v>
      </c>
      <c r="J5" s="254"/>
      <c r="K5" s="254"/>
      <c r="L5" s="255"/>
      <c r="M5" s="456">
        <f>('INTRODUCIR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DATOS'!$D$17)+'INTRODUCIR DATOS'!$D$15+'INTRODUCIR DATOS'!$D$16+IF('INTRODUCIR DATOS'!$D$21=21%,(('INTRODUCIR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DATOS'!$D$17)+'INTRODUCIR DATOS'!$D$16)*21/100,IF('INTRODUCIR DATOS'!$D$21=10%,(('INTRODUCIR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DATOS'!$D$17)+'INTRODUCIR DATOS'!$D$16)*10/100))</f>
        <v>177.82812584854491</v>
      </c>
      <c r="N5" s="292">
        <f>IF(M5=0,"",'INTRODUCIR DATOS'!$D$14-M5)</f>
        <v>-63.678125848544909</v>
      </c>
      <c r="O5" s="271">
        <f>IF(M5=0,"",('INTRODUCIR DATOS'!$D$14-M5)/'INTRODUCIR DATOS'!$D$14)</f>
        <v>-0.55784604335124754</v>
      </c>
      <c r="V5" s="19">
        <f>'INTRODUCIR DATOS'!$D$17</f>
        <v>5.0000000000000001E-3</v>
      </c>
    </row>
    <row r="6" spans="2:22">
      <c r="B6" s="19">
        <v>6</v>
      </c>
      <c r="C6" s="570" t="s">
        <v>17</v>
      </c>
      <c r="D6" s="583" t="s">
        <v>20</v>
      </c>
      <c r="E6" s="350" t="s">
        <v>34</v>
      </c>
      <c r="F6" s="311" t="s">
        <v>134</v>
      </c>
      <c r="G6" s="267">
        <f>S6/365</f>
        <v>9.6747747945205478E-2</v>
      </c>
      <c r="H6" s="256">
        <f>T6/365</f>
        <v>2.4409893150684932E-2</v>
      </c>
      <c r="I6" s="257"/>
      <c r="J6" s="257"/>
      <c r="K6" s="257"/>
      <c r="L6" s="258"/>
      <c r="M6" s="79"/>
      <c r="N6" s="40"/>
      <c r="O6" s="145"/>
      <c r="P6" s="19" t="s">
        <v>135</v>
      </c>
      <c r="S6" s="40">
        <v>35.312927999999999</v>
      </c>
      <c r="T6" s="40">
        <v>8.9096109999999999</v>
      </c>
    </row>
    <row r="7" spans="2:22">
      <c r="B7" s="44">
        <v>7</v>
      </c>
      <c r="C7" s="570" t="s">
        <v>17</v>
      </c>
      <c r="D7" s="583" t="s">
        <v>20</v>
      </c>
      <c r="E7" s="350" t="s">
        <v>34</v>
      </c>
      <c r="F7" s="310" t="s">
        <v>136</v>
      </c>
      <c r="G7" s="266">
        <v>0.40446100000000001</v>
      </c>
      <c r="H7" s="253">
        <v>0.34399999999999997</v>
      </c>
      <c r="I7" s="253">
        <v>0.31264399999999998</v>
      </c>
      <c r="J7" s="254"/>
      <c r="K7" s="254"/>
      <c r="L7" s="255"/>
      <c r="M7" s="456">
        <f>('INTRODUCIR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DATOS'!$D$17)+'INTRODUCIR DATOS'!$D$15+'INTRODUCIR DATOS'!$D$16+IF('INTRODUCIR DATOS'!$D$21=21%,(('INTRODUCIR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DATOS'!$D$17)+'INTRODUCIR DATOS'!$D$16)*21/100,IF('INTRODUCIR DATOS'!$D$21=10%,(('INTRODUCIR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DATOS'!$D$17)+'INTRODUCIR DATOS'!$D$16)*10/100))</f>
        <v>190.14982918464426</v>
      </c>
      <c r="N7" s="292">
        <f>IF(M7=0,"",'INTRODUCIR DATOS'!$D$14-M7)</f>
        <v>-75.999829184644256</v>
      </c>
      <c r="O7" s="271">
        <f>IF(M7=0,"",('INTRODUCIR DATOS'!$D$14-M7)/'INTRODUCIR DATOS'!$D$14)</f>
        <v>-0.66578912995746165</v>
      </c>
    </row>
    <row r="8" spans="2:22">
      <c r="B8" s="19">
        <v>8</v>
      </c>
      <c r="C8" s="570" t="s">
        <v>17</v>
      </c>
      <c r="D8" s="583" t="s">
        <v>20</v>
      </c>
      <c r="E8" s="350" t="s">
        <v>34</v>
      </c>
      <c r="F8" s="311" t="s">
        <v>134</v>
      </c>
      <c r="G8" s="267">
        <f>S8/365</f>
        <v>9.7470545205479445E-2</v>
      </c>
      <c r="H8" s="256">
        <f>T8/365</f>
        <v>2.5132690410958905E-2</v>
      </c>
      <c r="I8" s="257"/>
      <c r="J8" s="257"/>
      <c r="K8" s="257"/>
      <c r="L8" s="258"/>
      <c r="M8" s="79"/>
      <c r="N8" s="40"/>
      <c r="O8" s="145"/>
      <c r="P8" s="19" t="s">
        <v>137</v>
      </c>
      <c r="Q8" s="19" t="s">
        <v>138</v>
      </c>
      <c r="S8" s="40">
        <v>35.576749</v>
      </c>
      <c r="T8" s="40">
        <v>9.173432</v>
      </c>
    </row>
    <row r="9" spans="2:22">
      <c r="B9" s="44">
        <v>9</v>
      </c>
      <c r="C9" s="570" t="s">
        <v>17</v>
      </c>
      <c r="D9" s="583" t="s">
        <v>20</v>
      </c>
      <c r="E9" s="350" t="s">
        <v>34</v>
      </c>
      <c r="F9" s="310" t="s">
        <v>136</v>
      </c>
      <c r="G9" s="266">
        <v>0.40446100000000001</v>
      </c>
      <c r="H9" s="253">
        <v>0.34399999999999997</v>
      </c>
      <c r="I9" s="253">
        <v>0.31264399999999998</v>
      </c>
      <c r="J9" s="254"/>
      <c r="K9" s="254"/>
      <c r="L9" s="255"/>
      <c r="M9" s="456">
        <f>('INTRODUCIR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DATOS'!$D$17)+'INTRODUCIR DATOS'!$D$15+'INTRODUCIR DATOS'!$D$16+IF('INTRODUCIR DATOS'!$D$21=21%,(('INTRODUCIR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DATOS'!$D$17)+'INTRODUCIR DATOS'!$D$16)*21/100,IF('INTRODUCIR DATOS'!$D$21=10%,(('INTRODUCIR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DATOS'!$D$17)+'INTRODUCIR DATOS'!$D$16)*10/100))</f>
        <v>190.48734890625298</v>
      </c>
      <c r="N9" s="292">
        <f>IF(M9=0,"",'INTRODUCIR DATOS'!$D$14-M9)</f>
        <v>-76.33734890625297</v>
      </c>
      <c r="O9" s="271">
        <f>IF(M9=0,"",('INTRODUCIR DATOS'!$D$14-M9)/'INTRODUCIR DATOS'!$D$14)</f>
        <v>-0.66874593873195765</v>
      </c>
    </row>
    <row r="10" spans="2:22">
      <c r="B10" s="19">
        <v>10</v>
      </c>
      <c r="C10" s="570" t="s">
        <v>17</v>
      </c>
      <c r="D10" s="583" t="s">
        <v>24</v>
      </c>
      <c r="E10" s="350" t="s">
        <v>34</v>
      </c>
      <c r="F10" s="311" t="s">
        <v>134</v>
      </c>
      <c r="G10" s="267">
        <f>S10/365</f>
        <v>9.6747747945205478E-2</v>
      </c>
      <c r="H10" s="256">
        <f>T10/365</f>
        <v>2.4409893150684932E-2</v>
      </c>
      <c r="I10" s="257"/>
      <c r="J10" s="257"/>
      <c r="K10" s="257"/>
      <c r="L10" s="258"/>
      <c r="M10" s="79"/>
      <c r="N10" s="40"/>
      <c r="O10" s="145"/>
      <c r="P10" s="19" t="s">
        <v>135</v>
      </c>
      <c r="S10" s="40">
        <v>35.312927999999999</v>
      </c>
      <c r="T10" s="40">
        <v>8.9096109999999999</v>
      </c>
    </row>
    <row r="11" spans="2:22">
      <c r="B11" s="44">
        <v>11</v>
      </c>
      <c r="C11" s="570" t="s">
        <v>17</v>
      </c>
      <c r="D11" s="583" t="s">
        <v>24</v>
      </c>
      <c r="E11" s="350" t="s">
        <v>34</v>
      </c>
      <c r="F11" s="310" t="s">
        <v>136</v>
      </c>
      <c r="G11" s="266">
        <v>0.39886899999999997</v>
      </c>
      <c r="H11" s="253">
        <v>0.33840700000000001</v>
      </c>
      <c r="I11" s="253">
        <v>0.30705100000000002</v>
      </c>
      <c r="J11" s="254"/>
      <c r="K11" s="254"/>
      <c r="L11" s="255"/>
      <c r="M11" s="456">
        <f>('INTRODUCIR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DATOS'!$D$17)+'INTRODUCIR DATOS'!$D$15+'INTRODUCIR DATOS'!$D$16+IF('INTRODUCIR DATOS'!$D$21=21%,(('INTRODUCIR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DATOS'!$D$17)+'INTRODUCIR DATOS'!$D$16)*21/100,IF('INTRODUCIR DATOS'!$D$21=10%,(('INTRODUCIR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DATOS'!$D$17)+'INTRODUCIR DATOS'!$D$16)*10/100))</f>
        <v>187.92617961144421</v>
      </c>
      <c r="N11" s="292">
        <f>IF(M11=0,"",'INTRODUCIR DATOS'!$D$14-M11)</f>
        <v>-73.776179611444206</v>
      </c>
      <c r="O11" s="271">
        <f>IF(M11=0,"",('INTRODUCIR DATOS'!$D$14-M11)/'INTRODUCIR DATOS'!$D$14)</f>
        <v>-0.64630906361317741</v>
      </c>
    </row>
    <row r="12" spans="2:22">
      <c r="B12" s="19">
        <v>12</v>
      </c>
      <c r="C12" s="570" t="s">
        <v>17</v>
      </c>
      <c r="D12" s="583" t="s">
        <v>24</v>
      </c>
      <c r="E12" s="350" t="s">
        <v>34</v>
      </c>
      <c r="F12" s="311" t="s">
        <v>134</v>
      </c>
      <c r="G12" s="267">
        <f>S12/365</f>
        <v>9.4579427397260274E-2</v>
      </c>
      <c r="H12" s="256">
        <f>T12/365</f>
        <v>2.2241569863013701E-2</v>
      </c>
      <c r="I12" s="257"/>
      <c r="J12" s="257"/>
      <c r="K12" s="257"/>
      <c r="L12" s="258"/>
      <c r="M12" s="79"/>
      <c r="N12" s="40"/>
      <c r="O12" s="145"/>
      <c r="P12" s="19" t="s">
        <v>137</v>
      </c>
      <c r="Q12" s="19" t="s">
        <v>138</v>
      </c>
      <c r="S12" s="40">
        <v>34.521490999999997</v>
      </c>
      <c r="T12" s="40">
        <v>8.1181730000000005</v>
      </c>
    </row>
    <row r="13" spans="2:22">
      <c r="B13" s="44">
        <v>13</v>
      </c>
      <c r="C13" s="570" t="s">
        <v>17</v>
      </c>
      <c r="D13" s="583" t="s">
        <v>24</v>
      </c>
      <c r="E13" s="350" t="s">
        <v>34</v>
      </c>
      <c r="F13" s="310" t="s">
        <v>136</v>
      </c>
      <c r="G13" s="266">
        <v>0.39886899999999997</v>
      </c>
      <c r="H13" s="253">
        <v>0.33840700000000001</v>
      </c>
      <c r="I13" s="253">
        <v>0.30705100000000002</v>
      </c>
      <c r="J13" s="254"/>
      <c r="K13" s="254"/>
      <c r="L13" s="255"/>
      <c r="M13" s="456">
        <f>('INTRODUCIR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DATOS'!$D$17)+'INTRODUCIR DATOS'!$D$15+'INTRODUCIR DATOS'!$D$16+IF('INTRODUCIR DATOS'!$D$21=21%,(('INTRODUCIR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DATOS'!$D$17)+'INTRODUCIR DATOS'!$D$16)*21/100,IF('INTRODUCIR DATOS'!$D$21=10%,(('INTRODUCIR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DATOS'!$D$17)+'INTRODUCIR DATOS'!$D$16)*10/100))</f>
        <v>186.91365307007436</v>
      </c>
      <c r="N13" s="292">
        <f>IF(M13=0,"",'INTRODUCIR DATOS'!$D$14-M13)</f>
        <v>-72.763653070074355</v>
      </c>
      <c r="O13" s="271">
        <f>IF(M13=0,"",('INTRODUCIR DATOS'!$D$14-M13)/'INTRODUCIR DATOS'!$D$14)</f>
        <v>-0.63743892308431316</v>
      </c>
    </row>
    <row r="14" spans="2:22">
      <c r="B14" s="19">
        <v>14</v>
      </c>
      <c r="C14" s="570" t="s">
        <v>17</v>
      </c>
      <c r="D14" s="583" t="s">
        <v>27</v>
      </c>
      <c r="E14" s="350" t="s">
        <v>34</v>
      </c>
      <c r="F14" s="311" t="s">
        <v>134</v>
      </c>
      <c r="G14" s="267">
        <f>S14/365</f>
        <v>9.6747747945205478E-2</v>
      </c>
      <c r="H14" s="256">
        <f>T14/365</f>
        <v>2.4409893150684932E-2</v>
      </c>
      <c r="I14" s="257"/>
      <c r="J14" s="257"/>
      <c r="K14" s="257"/>
      <c r="L14" s="258"/>
      <c r="M14" s="79"/>
      <c r="N14" s="40"/>
      <c r="O14" s="145"/>
      <c r="P14" s="19" t="s">
        <v>135</v>
      </c>
      <c r="S14" s="40">
        <v>35.312927999999999</v>
      </c>
      <c r="T14" s="40">
        <v>8.9096109999999999</v>
      </c>
    </row>
    <row r="15" spans="2:22">
      <c r="B15" s="44">
        <v>15</v>
      </c>
      <c r="C15" s="570" t="s">
        <v>17</v>
      </c>
      <c r="D15" s="583" t="s">
        <v>27</v>
      </c>
      <c r="E15" s="350" t="s">
        <v>34</v>
      </c>
      <c r="F15" s="310" t="s">
        <v>136</v>
      </c>
      <c r="G15" s="266">
        <v>0.39285399999999998</v>
      </c>
      <c r="H15" s="253">
        <v>0.33239200000000002</v>
      </c>
      <c r="I15" s="253">
        <v>0.30103600000000003</v>
      </c>
      <c r="J15" s="254"/>
      <c r="K15" s="254"/>
      <c r="L15" s="255"/>
      <c r="M15" s="456">
        <f>('INTRODUCIR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DATOS'!$D$17)+'INTRODUCIR DATOS'!$D$15+'INTRODUCIR DATOS'!$D$16+IF('INTRODUCIR DATOS'!$D$21=21%,(('INTRODUCIR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DATOS'!$D$17)+'INTRODUCIR DATOS'!$D$16)*21/100,IF('INTRODUCIR DATOS'!$D$21=10%,(('INTRODUCIR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DATOS'!$D$17)+'INTRODUCIR DATOS'!$D$16)*10/100))</f>
        <v>185.53432478619422</v>
      </c>
      <c r="N15" s="292">
        <f>IF(M15=0,"",'INTRODUCIR DATOS'!$D$14-M15)</f>
        <v>-71.384324786194213</v>
      </c>
      <c r="O15" s="271">
        <f>IF(M15=0,"",('INTRODUCIR DATOS'!$D$14-M15)/'INTRODUCIR DATOS'!$D$14)</f>
        <v>-0.62535545147782923</v>
      </c>
    </row>
    <row r="16" spans="2:22">
      <c r="B16" s="19">
        <v>16</v>
      </c>
      <c r="C16" s="570" t="s">
        <v>17</v>
      </c>
      <c r="D16" s="583" t="s">
        <v>27</v>
      </c>
      <c r="E16" s="350" t="s">
        <v>34</v>
      </c>
      <c r="F16" s="311" t="s">
        <v>134</v>
      </c>
      <c r="G16" s="267">
        <f>S16/365</f>
        <v>9.1688342465753428E-2</v>
      </c>
      <c r="H16" s="256">
        <f>T16/365</f>
        <v>1.9350487671232878E-2</v>
      </c>
      <c r="I16" s="257"/>
      <c r="J16" s="257"/>
      <c r="K16" s="257"/>
      <c r="L16" s="258"/>
      <c r="M16" s="79"/>
      <c r="N16" s="40"/>
      <c r="O16" s="145"/>
      <c r="P16" s="19" t="s">
        <v>137</v>
      </c>
      <c r="Q16" s="19" t="s">
        <v>138</v>
      </c>
      <c r="S16" s="40">
        <v>33.466245000000001</v>
      </c>
      <c r="T16" s="40">
        <v>7.0629280000000003</v>
      </c>
    </row>
    <row r="17" spans="2:24">
      <c r="B17" s="44">
        <v>17</v>
      </c>
      <c r="C17" s="570" t="s">
        <v>17</v>
      </c>
      <c r="D17" s="583" t="s">
        <v>27</v>
      </c>
      <c r="E17" s="350" t="s">
        <v>34</v>
      </c>
      <c r="F17" s="310" t="s">
        <v>136</v>
      </c>
      <c r="G17" s="266">
        <v>0.39285399999999998</v>
      </c>
      <c r="H17" s="253">
        <v>0.33239200000000002</v>
      </c>
      <c r="I17" s="253">
        <v>0.30103600000000003</v>
      </c>
      <c r="J17" s="254"/>
      <c r="K17" s="254"/>
      <c r="L17" s="255"/>
      <c r="M17" s="456">
        <f>('INTRODUCIR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DATOS'!$D$17)+'INTRODUCIR DATOS'!$D$15+'INTRODUCIR DATOS'!$D$16+IF('INTRODUCIR DATOS'!$D$21=21%,(('INTRODUCIR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DATOS'!$D$17)+'INTRODUCIR DATOS'!$D$16)*21/100,IF('INTRODUCIR DATOS'!$D$21=10%,(('INTRODUCIR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DATOS'!$D$17)+'INTRODUCIR DATOS'!$D$16)*10/100))</f>
        <v>183.17176861341179</v>
      </c>
      <c r="N17" s="292">
        <f>IF(M17=0,"",'INTRODUCIR DATOS'!$D$14-M17)</f>
        <v>-69.02176861341178</v>
      </c>
      <c r="O17" s="271">
        <f>IF(M17=0,"",('INTRODUCIR DATOS'!$D$14-M17)/'INTRODUCIR DATOS'!$D$14)</f>
        <v>-0.60465850734482507</v>
      </c>
    </row>
    <row r="18" spans="2:24">
      <c r="B18" s="19">
        <v>18</v>
      </c>
      <c r="C18" s="570" t="s">
        <v>17</v>
      </c>
      <c r="D18" s="583" t="s">
        <v>29</v>
      </c>
      <c r="E18" s="350" t="s">
        <v>34</v>
      </c>
      <c r="F18" s="311" t="s">
        <v>134</v>
      </c>
      <c r="G18" s="267">
        <f>S18/365</f>
        <v>8.6628936986301364E-2</v>
      </c>
      <c r="H18" s="256">
        <f>T18/365</f>
        <v>1.4291079452054793E-2</v>
      </c>
      <c r="I18" s="257"/>
      <c r="J18" s="257"/>
      <c r="K18" s="257"/>
      <c r="L18" s="258"/>
      <c r="M18" s="79"/>
      <c r="N18" s="40"/>
      <c r="O18" s="145"/>
      <c r="P18" s="19" t="s">
        <v>135</v>
      </c>
      <c r="S18" s="40">
        <v>31.619561999999998</v>
      </c>
      <c r="T18" s="40">
        <v>5.2162439999999997</v>
      </c>
    </row>
    <row r="19" spans="2:24">
      <c r="B19" s="44">
        <v>19</v>
      </c>
      <c r="C19" s="570" t="s">
        <v>17</v>
      </c>
      <c r="D19" s="583" t="s">
        <v>29</v>
      </c>
      <c r="E19" s="350" t="s">
        <v>34</v>
      </c>
      <c r="F19" s="310" t="s">
        <v>136</v>
      </c>
      <c r="G19" s="266">
        <v>0.39190399999999997</v>
      </c>
      <c r="H19" s="253">
        <v>0.33144200000000001</v>
      </c>
      <c r="I19" s="253">
        <v>0.30008699999999999</v>
      </c>
      <c r="J19" s="254"/>
      <c r="K19" s="254"/>
      <c r="L19" s="255"/>
      <c r="M19" s="456">
        <f>('INTRODUCIR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DATOS'!$D$17)+'INTRODUCIR DATOS'!$D$15+'INTRODUCIR DATOS'!$D$16+IF('INTRODUCIR DATOS'!$D$21=21%,(('INTRODUCIR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DATOS'!$D$17)+'INTRODUCIR DATOS'!$D$16)*21/100,IF('INTRODUCIR DATOS'!$D$21=10%,(('INTRODUCIR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DATOS'!$D$17)+'INTRODUCIR DATOS'!$D$16)*10/100))</f>
        <v>180.43144586845369</v>
      </c>
      <c r="N19" s="292">
        <f>IF(M19=0,"",'INTRODUCIR DATOS'!$D$14-M19)</f>
        <v>-66.281445868453687</v>
      </c>
      <c r="O19" s="271">
        <f>IF(M19=0,"",('INTRODUCIR DATOS'!$D$14-M19)/'INTRODUCIR DATOS'!$D$14)</f>
        <v>-0.58065217580774142</v>
      </c>
    </row>
    <row r="20" spans="2:24">
      <c r="B20" s="19">
        <v>20</v>
      </c>
      <c r="C20" s="570" t="s">
        <v>17</v>
      </c>
      <c r="D20" s="583" t="s">
        <v>29</v>
      </c>
      <c r="E20" s="350" t="s">
        <v>34</v>
      </c>
      <c r="F20" s="311" t="s">
        <v>134</v>
      </c>
      <c r="G20" s="267">
        <f>S20/365</f>
        <v>8.5906139726027397E-2</v>
      </c>
      <c r="H20" s="256">
        <f>T20/365</f>
        <v>1.3568282191780821E-2</v>
      </c>
      <c r="I20" s="257"/>
      <c r="J20" s="257"/>
      <c r="K20" s="257"/>
      <c r="L20" s="258"/>
      <c r="M20" s="79"/>
      <c r="N20" s="40"/>
      <c r="O20" s="145"/>
      <c r="P20" s="19" t="s">
        <v>137</v>
      </c>
      <c r="Q20" s="19" t="s">
        <v>138</v>
      </c>
      <c r="S20" s="40">
        <v>31.355740999999998</v>
      </c>
      <c r="T20" s="40">
        <v>4.9524229999999996</v>
      </c>
    </row>
    <row r="21" spans="2:24">
      <c r="B21" s="44">
        <v>21</v>
      </c>
      <c r="C21" s="570" t="s">
        <v>17</v>
      </c>
      <c r="D21" s="583" t="s">
        <v>29</v>
      </c>
      <c r="E21" s="350" t="s">
        <v>34</v>
      </c>
      <c r="F21" s="310" t="s">
        <v>136</v>
      </c>
      <c r="G21" s="266">
        <v>0.39190399999999997</v>
      </c>
      <c r="H21" s="253">
        <v>0.33144200000000001</v>
      </c>
      <c r="I21" s="253">
        <v>0.30008699999999999</v>
      </c>
      <c r="J21" s="254"/>
      <c r="K21" s="254"/>
      <c r="L21" s="255"/>
      <c r="M21" s="456">
        <f>('INTRODUCIR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DATOS'!$D$17)+'INTRODUCIR DATOS'!$D$15+'INTRODUCIR DATOS'!$D$16+IF('INTRODUCIR DATOS'!$D$21=21%,(('INTRODUCIR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DATOS'!$D$17)+'INTRODUCIR DATOS'!$D$16)*21/100,IF('INTRODUCIR DATOS'!$D$21=10%,(('INTRODUCIR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DATOS'!$D$17)+'INTRODUCIR DATOS'!$D$16)*10/100))</f>
        <v>180.09392614684492</v>
      </c>
      <c r="N21" s="292">
        <f>IF(M21=0,"",'INTRODUCIR DATOS'!$D$14-M21)</f>
        <v>-65.943926146844916</v>
      </c>
      <c r="O21" s="271">
        <f>IF(M21=0,"",('INTRODUCIR DATOS'!$D$14-M21)/'INTRODUCIR DATOS'!$D$14)</f>
        <v>-0.57769536703324498</v>
      </c>
    </row>
    <row r="22" spans="2:24">
      <c r="B22" s="19">
        <v>22</v>
      </c>
      <c r="C22" s="570" t="s">
        <v>17</v>
      </c>
      <c r="D22" s="583" t="s">
        <v>18</v>
      </c>
      <c r="E22" s="350" t="s">
        <v>139</v>
      </c>
      <c r="F22" s="311" t="s">
        <v>134</v>
      </c>
      <c r="G22" s="267">
        <f>S22/365</f>
        <v>4.5041358904109589E-2</v>
      </c>
      <c r="H22" s="256">
        <f t="shared" ref="H22:L22" si="0">T22/365</f>
        <v>3.5965216438356165E-2</v>
      </c>
      <c r="I22" s="256">
        <f t="shared" si="0"/>
        <v>1.9515780821917808E-2</v>
      </c>
      <c r="J22" s="256">
        <f t="shared" si="0"/>
        <v>1.7089019178082192E-2</v>
      </c>
      <c r="K22" s="256">
        <f t="shared" si="0"/>
        <v>1.2486509589041097E-2</v>
      </c>
      <c r="L22" s="300">
        <f t="shared" si="0"/>
        <v>1.0357610958904109E-2</v>
      </c>
      <c r="M22" s="79"/>
      <c r="N22" s="40"/>
      <c r="O22" s="145"/>
      <c r="S22" s="40">
        <v>16.440096</v>
      </c>
      <c r="T22" s="40">
        <v>13.127304000000001</v>
      </c>
      <c r="U22" s="40">
        <v>7.1232600000000001</v>
      </c>
      <c r="V22" s="40">
        <v>6.2374919999999996</v>
      </c>
      <c r="W22" s="40">
        <v>4.5575760000000001</v>
      </c>
      <c r="X22" s="40">
        <v>3.7805279999999999</v>
      </c>
    </row>
    <row r="23" spans="2:24">
      <c r="B23" s="44">
        <v>23</v>
      </c>
      <c r="C23" s="570" t="s">
        <v>17</v>
      </c>
      <c r="D23" s="583" t="s">
        <v>18</v>
      </c>
      <c r="E23" s="350" t="s">
        <v>139</v>
      </c>
      <c r="F23" s="310" t="s">
        <v>136</v>
      </c>
      <c r="G23" s="266">
        <v>0.357817</v>
      </c>
      <c r="H23" s="253">
        <v>0.33410200000000001</v>
      </c>
      <c r="I23" s="253">
        <v>0.30404599999999998</v>
      </c>
      <c r="J23" s="254">
        <v>0.28200999999999998</v>
      </c>
      <c r="K23" s="254">
        <v>0.25752399999999998</v>
      </c>
      <c r="L23" s="255">
        <v>0.27171400000000001</v>
      </c>
      <c r="M23" s="456">
        <f>('INTRODUCIR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DATOS'!$D$17)+'INTRODUCIR DATOS'!$D$15+'INTRODUCIR DATOS'!$D$16+IF('INTRODUCIR DATOS'!$D$21=21%,(('INTRODUCIR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DATOS'!$D$17)+'INTRODUCIR DATOS'!$D$16)*21/100,IF('INTRODUCIR DATOS'!$D$21=10%,(('INTRODUCIR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DATOS'!$D$17)+'INTRODUCIR DATOS'!$D$16)*10/100))</f>
        <v>162.22738447342942</v>
      </c>
      <c r="N23" s="292">
        <f>IF(M23=0,"",'INTRODUCIR DATOS'!$D$14-M23)</f>
        <v>-48.077384473429419</v>
      </c>
      <c r="O23" s="271">
        <f>IF(M23=0,"",('INTRODUCIR DATOS'!$D$14-M23)/'INTRODUCIR DATOS'!$D$14)</f>
        <v>-0.42117726214130019</v>
      </c>
    </row>
    <row r="24" spans="2:24">
      <c r="B24" s="19">
        <v>24</v>
      </c>
      <c r="C24" s="570" t="s">
        <v>17</v>
      </c>
      <c r="D24" s="583" t="s">
        <v>20</v>
      </c>
      <c r="E24" s="350" t="s">
        <v>139</v>
      </c>
      <c r="F24" s="311" t="s">
        <v>134</v>
      </c>
      <c r="G24" s="267">
        <f>S24/365</f>
        <v>5.0383824657534243E-2</v>
      </c>
      <c r="H24" s="256">
        <f t="shared" ref="H24:L24" si="1">T24/365</f>
        <v>4.1307682191780819E-2</v>
      </c>
      <c r="I24" s="256">
        <f t="shared" si="1"/>
        <v>2.4858246575342465E-2</v>
      </c>
      <c r="J24" s="256">
        <f t="shared" si="1"/>
        <v>2.2431484931506852E-2</v>
      </c>
      <c r="K24" s="256">
        <f t="shared" si="1"/>
        <v>1.7828975342465754E-2</v>
      </c>
      <c r="L24" s="300">
        <f t="shared" si="1"/>
        <v>1.5700076712328766E-2</v>
      </c>
      <c r="M24" s="79"/>
      <c r="N24" s="40"/>
      <c r="O24" s="145"/>
      <c r="S24" s="40">
        <v>18.390096</v>
      </c>
      <c r="T24" s="40">
        <v>15.077304</v>
      </c>
      <c r="U24" s="40">
        <v>9.0732599999999994</v>
      </c>
      <c r="V24" s="40">
        <v>8.1874920000000007</v>
      </c>
      <c r="W24" s="40">
        <v>6.5075760000000002</v>
      </c>
      <c r="X24" s="40">
        <v>5.7305279999999996</v>
      </c>
    </row>
    <row r="25" spans="2:24">
      <c r="B25" s="44">
        <v>25</v>
      </c>
      <c r="C25" s="570" t="s">
        <v>17</v>
      </c>
      <c r="D25" s="583" t="s">
        <v>20</v>
      </c>
      <c r="E25" s="350" t="s">
        <v>139</v>
      </c>
      <c r="F25" s="310" t="s">
        <v>136</v>
      </c>
      <c r="G25" s="266">
        <v>0.36981700000000001</v>
      </c>
      <c r="H25" s="253">
        <v>0.34610200000000002</v>
      </c>
      <c r="I25" s="253">
        <v>0.31604599999999999</v>
      </c>
      <c r="J25" s="254">
        <v>0.29400999999999999</v>
      </c>
      <c r="K25" s="254">
        <v>0.26952399999999999</v>
      </c>
      <c r="L25" s="255">
        <v>0.28371400000000002</v>
      </c>
      <c r="M25" s="456">
        <f>('INTRODUCIR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DATOS'!$D$17)+'INTRODUCIR DATOS'!$D$15+'INTRODUCIR DATOS'!$D$16+IF('INTRODUCIR DATOS'!$D$21=21%,(('INTRODUCIR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DATOS'!$D$17)+'INTRODUCIR DATOS'!$D$16)*21/100,IF('INTRODUCIR DATOS'!$D$21=10%,(('INTRODUCIR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DATOS'!$D$17)+'INTRODUCIR DATOS'!$D$16)*10/100))</f>
        <v>169.49389957753903</v>
      </c>
      <c r="N25" s="292">
        <f>IF(M25=0,"",'INTRODUCIR DATOS'!$D$14-M25)</f>
        <v>-55.34389957753902</v>
      </c>
      <c r="O25" s="271">
        <f>IF(M25=0,"",('INTRODUCIR DATOS'!$D$14-M25)/'INTRODUCIR DATOS'!$D$14)</f>
        <v>-0.48483486270292614</v>
      </c>
    </row>
    <row r="26" spans="2:24">
      <c r="B26" s="19">
        <v>26</v>
      </c>
      <c r="C26" s="570" t="s">
        <v>17</v>
      </c>
      <c r="D26" s="583" t="s">
        <v>24</v>
      </c>
      <c r="E26" s="350" t="s">
        <v>139</v>
      </c>
      <c r="F26" s="311" t="s">
        <v>134</v>
      </c>
      <c r="G26" s="267">
        <f>S26/365</f>
        <v>4.901398356164384E-2</v>
      </c>
      <c r="H26" s="256">
        <f t="shared" ref="H26:L26" si="2">T26/365</f>
        <v>3.9937808219178077E-2</v>
      </c>
      <c r="I26" s="256">
        <f t="shared" si="2"/>
        <v>2.3488372602739727E-2</v>
      </c>
      <c r="J26" s="256">
        <f t="shared" si="2"/>
        <v>2.106161095890411E-2</v>
      </c>
      <c r="K26" s="256">
        <f t="shared" si="2"/>
        <v>1.645913424657534E-2</v>
      </c>
      <c r="L26" s="300">
        <f t="shared" si="2"/>
        <v>1.4330202739726027E-2</v>
      </c>
      <c r="M26" s="79"/>
      <c r="N26" s="40"/>
      <c r="O26" s="145"/>
      <c r="S26" s="40">
        <v>17.890104000000001</v>
      </c>
      <c r="T26" s="40">
        <v>14.577299999999999</v>
      </c>
      <c r="U26" s="40">
        <v>8.5732560000000007</v>
      </c>
      <c r="V26" s="40">
        <v>7.6874880000000001</v>
      </c>
      <c r="W26" s="40">
        <v>6.0075839999999996</v>
      </c>
      <c r="X26" s="40">
        <v>5.230524</v>
      </c>
    </row>
    <row r="27" spans="2:24">
      <c r="B27" s="44">
        <v>27</v>
      </c>
      <c r="C27" s="570" t="s">
        <v>17</v>
      </c>
      <c r="D27" s="583" t="s">
        <v>24</v>
      </c>
      <c r="E27" s="350" t="s">
        <v>139</v>
      </c>
      <c r="F27" s="310" t="s">
        <v>136</v>
      </c>
      <c r="G27" s="266">
        <v>0.365817</v>
      </c>
      <c r="H27" s="253">
        <v>0.34210200000000002</v>
      </c>
      <c r="I27" s="253">
        <v>0.31204599999999999</v>
      </c>
      <c r="J27" s="254">
        <v>0.29000999999999999</v>
      </c>
      <c r="K27" s="254">
        <v>0.26552399999999998</v>
      </c>
      <c r="L27" s="255">
        <v>0.27971400000000002</v>
      </c>
      <c r="M27" s="456">
        <f>('INTRODUCIR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DATOS'!$D$17)+'INTRODUCIR DATOS'!$D$15+'INTRODUCIR DATOS'!$D$16+IF('INTRODUCIR DATOS'!$D$21=21%,(('INTRODUCIR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DATOS'!$D$17)+'INTRODUCIR DATOS'!$D$16)*21/100,IF('INTRODUCIR DATOS'!$D$21=10%,(('INTRODUCIR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DATOS'!$D$17)+'INTRODUCIR DATOS'!$D$16)*10/100))</f>
        <v>167.26363311980313</v>
      </c>
      <c r="N27" s="292">
        <f>IF(M27=0,"",'INTRODUCIR DATOS'!$D$14-M27)</f>
        <v>-53.113633119803126</v>
      </c>
      <c r="O27" s="271">
        <f>IF(M27=0,"",('INTRODUCIR DATOS'!$D$14-M27)/'INTRODUCIR DATOS'!$D$14)</f>
        <v>-0.46529682978364539</v>
      </c>
    </row>
    <row r="28" spans="2:24">
      <c r="B28" s="19">
        <v>28</v>
      </c>
      <c r="C28" s="570" t="s">
        <v>17</v>
      </c>
      <c r="D28" s="583" t="s">
        <v>27</v>
      </c>
      <c r="E28" s="350" t="s">
        <v>139</v>
      </c>
      <c r="F28" s="311" t="s">
        <v>134</v>
      </c>
      <c r="G28" s="267">
        <f>S28/365</f>
        <v>4.7644109589041098E-2</v>
      </c>
      <c r="H28" s="256">
        <f t="shared" ref="H28:L28" si="3">T28/365</f>
        <v>3.8567967123287673E-2</v>
      </c>
      <c r="I28" s="256">
        <f t="shared" si="3"/>
        <v>2.2118531506849316E-2</v>
      </c>
      <c r="J28" s="256">
        <f t="shared" si="3"/>
        <v>1.9691736986301372E-2</v>
      </c>
      <c r="K28" s="256">
        <f t="shared" si="3"/>
        <v>1.5089260273972602E-2</v>
      </c>
      <c r="L28" s="300">
        <f t="shared" si="3"/>
        <v>1.2960361643835617E-2</v>
      </c>
      <c r="M28" s="79"/>
      <c r="N28" s="40"/>
      <c r="O28" s="145"/>
      <c r="S28" s="40">
        <v>17.3901</v>
      </c>
      <c r="T28" s="40">
        <v>14.077308</v>
      </c>
      <c r="U28" s="40">
        <v>8.073264</v>
      </c>
      <c r="V28" s="40">
        <v>7.1874840000000004</v>
      </c>
      <c r="W28" s="40">
        <v>5.5075799999999999</v>
      </c>
      <c r="X28" s="40">
        <v>4.7305320000000002</v>
      </c>
    </row>
    <row r="29" spans="2:24">
      <c r="B29" s="44">
        <v>29</v>
      </c>
      <c r="C29" s="570" t="s">
        <v>17</v>
      </c>
      <c r="D29" s="583" t="s">
        <v>27</v>
      </c>
      <c r="E29" s="350" t="s">
        <v>139</v>
      </c>
      <c r="F29" s="310" t="s">
        <v>136</v>
      </c>
      <c r="G29" s="266">
        <v>0.361817</v>
      </c>
      <c r="H29" s="253">
        <v>0.33810200000000001</v>
      </c>
      <c r="I29" s="253">
        <v>0.30804599999999999</v>
      </c>
      <c r="J29" s="254">
        <v>0.28600999999999999</v>
      </c>
      <c r="K29" s="254">
        <v>0.26152399999999998</v>
      </c>
      <c r="L29" s="255">
        <v>0</v>
      </c>
      <c r="M29" s="456">
        <f>('INTRODUCIR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DATOS'!$D$17)+'INTRODUCIR DATOS'!$D$15+'INTRODUCIR DATOS'!$D$16+IF('INTRODUCIR DATOS'!$D$21=21%,(('INTRODUCIR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DATOS'!$D$17)+'INTRODUCIR DATOS'!$D$16)*21/100,IF('INTRODUCIR DATOS'!$D$21=10%,(('INTRODUCIR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DATOS'!$D$17)+'INTRODUCIR DATOS'!$D$16)*10/100))</f>
        <v>165.03336666206727</v>
      </c>
      <c r="N29" s="292">
        <f>IF(M29=0,"",'INTRODUCIR DATOS'!$D$14-M29)</f>
        <v>-50.88336666206726</v>
      </c>
      <c r="O29" s="271">
        <f>IF(M29=0,"",('INTRODUCIR DATOS'!$D$14-M29)/'INTRODUCIR DATOS'!$D$14)</f>
        <v>-0.44575879686436493</v>
      </c>
    </row>
    <row r="30" spans="2:24">
      <c r="B30" s="19">
        <v>30</v>
      </c>
      <c r="C30" s="570" t="s">
        <v>17</v>
      </c>
      <c r="D30" s="583" t="s">
        <v>29</v>
      </c>
      <c r="E30" s="350" t="s">
        <v>139</v>
      </c>
      <c r="F30" s="311" t="s">
        <v>134</v>
      </c>
      <c r="G30" s="267">
        <f>S30/365</f>
        <v>4.5041358904109589E-2</v>
      </c>
      <c r="H30" s="256">
        <f>T30/365</f>
        <v>3.5965216438356165E-2</v>
      </c>
      <c r="I30" s="256">
        <f t="shared" ref="I30:K30" si="4">U30/365</f>
        <v>1.9515780821917808E-2</v>
      </c>
      <c r="J30" s="256">
        <f t="shared" si="4"/>
        <v>1.7089019178082192E-2</v>
      </c>
      <c r="K30" s="256">
        <f t="shared" si="4"/>
        <v>1.2486509589041097E-2</v>
      </c>
      <c r="L30" s="300">
        <v>275714</v>
      </c>
      <c r="M30" s="79"/>
      <c r="N30" s="40"/>
      <c r="O30" s="145"/>
      <c r="S30" s="40">
        <v>16.440096</v>
      </c>
      <c r="T30" s="40">
        <v>13.127304000000001</v>
      </c>
      <c r="U30" s="40">
        <v>7.1232600000000001</v>
      </c>
      <c r="V30" s="40">
        <v>6.2374919999999996</v>
      </c>
      <c r="W30" s="40">
        <v>4.5575760000000001</v>
      </c>
      <c r="X30" s="40">
        <v>3.7805279999999999</v>
      </c>
    </row>
    <row r="31" spans="2:24">
      <c r="B31" s="44">
        <v>31</v>
      </c>
      <c r="C31" s="570" t="s">
        <v>17</v>
      </c>
      <c r="D31" s="583" t="s">
        <v>29</v>
      </c>
      <c r="E31" s="350" t="s">
        <v>139</v>
      </c>
      <c r="F31" s="310" t="s">
        <v>136</v>
      </c>
      <c r="G31" s="266">
        <v>0.357817</v>
      </c>
      <c r="H31" s="253">
        <v>0.33410200000000001</v>
      </c>
      <c r="I31" s="253">
        <v>0.30404599999999998</v>
      </c>
      <c r="J31" s="254">
        <v>0.28200999999999998</v>
      </c>
      <c r="K31" s="254">
        <v>0.25752399999999998</v>
      </c>
      <c r="L31" s="255">
        <v>0.27171400000000001</v>
      </c>
      <c r="M31" s="456">
        <f>('INTRODUCIR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DATOS'!$D$17)+'INTRODUCIR DATOS'!$D$15+'INTRODUCIR DATOS'!$D$16+IF('INTRODUCIR DATOS'!$D$21=21%,(('INTRODUCIR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DATOS'!$D$17)+'INTRODUCIR DATOS'!$D$16)*21/100,IF('INTRODUCIR DATOS'!$D$21=10%,(('INTRODUCIR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DATOS'!$D$17)+'INTRODUCIR DATOS'!$D$16)*10/100))</f>
        <v>162.22738447342942</v>
      </c>
      <c r="N31" s="292">
        <f>IF(M31=0,"",'INTRODUCIR DATOS'!$D$14-M31)</f>
        <v>-48.077384473429419</v>
      </c>
      <c r="O31" s="271">
        <f>IF(M31=0,"",('INTRODUCIR DATOS'!$D$14-M31)/'INTRODUCIR DATOS'!$D$14)</f>
        <v>-0.42117726214130019</v>
      </c>
    </row>
    <row r="32" spans="2:24">
      <c r="B32" s="19">
        <v>32</v>
      </c>
      <c r="C32" s="570" t="s">
        <v>17</v>
      </c>
      <c r="D32" s="583" t="s">
        <v>20</v>
      </c>
      <c r="E32" s="350" t="s">
        <v>140</v>
      </c>
      <c r="F32" s="311" t="s">
        <v>134</v>
      </c>
      <c r="G32" s="267">
        <f>S32/365</f>
        <v>6.6759221917808212E-2</v>
      </c>
      <c r="H32" s="267">
        <f>T32/365</f>
        <v>6.115292054794521E-2</v>
      </c>
      <c r="I32" s="267">
        <f t="shared" ref="I32:L32" si="5">U32/365</f>
        <v>3.6789402739726029E-2</v>
      </c>
      <c r="J32" s="267">
        <f t="shared" si="5"/>
        <v>3.0151923287671231E-2</v>
      </c>
      <c r="K32" s="267">
        <f t="shared" si="5"/>
        <v>1.0800328767123288E-2</v>
      </c>
      <c r="L32" s="267">
        <f t="shared" si="5"/>
        <v>8.589764383561644E-3</v>
      </c>
      <c r="M32" s="79"/>
      <c r="N32" s="40"/>
      <c r="O32" s="145"/>
      <c r="P32" s="19" t="s">
        <v>141</v>
      </c>
      <c r="S32" s="40">
        <v>24.367115999999999</v>
      </c>
      <c r="T32" s="40">
        <v>22.320816000000001</v>
      </c>
      <c r="U32" s="40">
        <v>13.428132</v>
      </c>
      <c r="V32" s="40">
        <v>11.005452</v>
      </c>
      <c r="W32" s="40">
        <v>3.9421200000000001</v>
      </c>
      <c r="X32" s="40">
        <v>3.1352639999999998</v>
      </c>
    </row>
    <row r="33" spans="2:24">
      <c r="B33" s="44">
        <v>33</v>
      </c>
      <c r="C33" s="570" t="s">
        <v>17</v>
      </c>
      <c r="D33" s="583" t="s">
        <v>20</v>
      </c>
      <c r="E33" s="350" t="s">
        <v>140</v>
      </c>
      <c r="F33" s="310" t="s">
        <v>136</v>
      </c>
      <c r="G33" s="266">
        <v>0.33162900000000001</v>
      </c>
      <c r="H33" s="253">
        <v>0.31147799999999998</v>
      </c>
      <c r="I33" s="253">
        <v>0.29012900000000003</v>
      </c>
      <c r="J33" s="254">
        <v>0.27235300000000001</v>
      </c>
      <c r="K33" s="254">
        <v>0.24951799999999999</v>
      </c>
      <c r="L33" s="255">
        <v>0.26196900000000001</v>
      </c>
      <c r="M33" s="456">
        <f>('INTRODUCIR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DATOS'!$D$17)+'INTRODUCIR DATOS'!$D$15+'INTRODUCIR DATOS'!$D$16+IF('INTRODUCIR DATOS'!$D$21=21%,(('INTRODUCIR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DATOS'!$D$17)+'INTRODUCIR DATOS'!$D$16)*21/100,IF('INTRODUCIR DATOS'!$D$21=10%,(('INTRODUCIR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DATOS'!$D$17)+'INTRODUCIR DATOS'!$D$16)*10/100))</f>
        <v>162.76535634448206</v>
      </c>
      <c r="N33" s="292">
        <f>IF(M33=0,"",'INTRODUCIR DATOS'!$D$14-M33)</f>
        <v>-48.615356344482052</v>
      </c>
      <c r="O33" s="271">
        <f>IF(M33=0,"",('INTRODUCIR DATOS'!$D$14-M33)/'INTRODUCIR DATOS'!$D$14)</f>
        <v>-0.42589011252283882</v>
      </c>
    </row>
    <row r="34" spans="2:24">
      <c r="B34" s="19">
        <v>34</v>
      </c>
      <c r="C34" s="570" t="s">
        <v>17</v>
      </c>
      <c r="D34" s="583" t="s">
        <v>24</v>
      </c>
      <c r="E34" s="350" t="s">
        <v>140</v>
      </c>
      <c r="F34" s="311" t="s">
        <v>134</v>
      </c>
      <c r="G34" s="267">
        <f>S34/365</f>
        <v>6.538934794520547E-2</v>
      </c>
      <c r="H34" s="267">
        <f t="shared" ref="H34:L34" si="6">T34/365</f>
        <v>5.9783046575342468E-2</v>
      </c>
      <c r="I34" s="267">
        <f t="shared" si="6"/>
        <v>3.5419561643835619E-2</v>
      </c>
      <c r="J34" s="267">
        <f t="shared" si="6"/>
        <v>2.8782082191780821E-2</v>
      </c>
      <c r="K34" s="267">
        <f t="shared" si="6"/>
        <v>9.4304547945205479E-3</v>
      </c>
      <c r="L34" s="267">
        <f t="shared" si="6"/>
        <v>7.2199232876712328E-3</v>
      </c>
      <c r="M34" s="79"/>
      <c r="N34" s="40"/>
      <c r="O34" s="145"/>
      <c r="P34" s="19" t="s">
        <v>141</v>
      </c>
      <c r="S34" s="40">
        <v>23.867111999999999</v>
      </c>
      <c r="T34" s="40">
        <v>21.820812</v>
      </c>
      <c r="U34" s="40">
        <v>12.928140000000001</v>
      </c>
      <c r="V34" s="40">
        <v>10.505459999999999</v>
      </c>
      <c r="W34" s="40">
        <v>3.442116</v>
      </c>
      <c r="X34" s="40">
        <v>2.6352720000000001</v>
      </c>
    </row>
    <row r="35" spans="2:24">
      <c r="B35" s="44">
        <v>35</v>
      </c>
      <c r="C35" s="570" t="s">
        <v>17</v>
      </c>
      <c r="D35" s="583" t="s">
        <v>24</v>
      </c>
      <c r="E35" s="350" t="s">
        <v>140</v>
      </c>
      <c r="F35" s="310" t="s">
        <v>136</v>
      </c>
      <c r="G35" s="266">
        <v>0.327629</v>
      </c>
      <c r="H35" s="253">
        <v>0.30747799999999997</v>
      </c>
      <c r="I35" s="253">
        <v>0.28612900000000002</v>
      </c>
      <c r="J35" s="254">
        <v>0.26835300000000001</v>
      </c>
      <c r="K35" s="254">
        <v>0.24551799999999999</v>
      </c>
      <c r="L35" s="255">
        <v>0.257969</v>
      </c>
      <c r="M35" s="456">
        <f>('INTRODUCIR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DATOS'!$D$17)+'INTRODUCIR DATOS'!$D$15+'INTRODUCIR DATOS'!$D$16+IF('INTRODUCIR DATOS'!$D$21=21%,(('INTRODUCIR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DATOS'!$D$17)+'INTRODUCIR DATOS'!$D$16)*21/100,IF('INTRODUCIR DATOS'!$D$21=10%,(('INTRODUCIR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DATOS'!$D$17)+'INTRODUCIR DATOS'!$D$16)*10/100))</f>
        <v>160.53508221063876</v>
      </c>
      <c r="N35" s="292">
        <f>IF(M35=0,"",'INTRODUCIR DATOS'!$D$14-M35)</f>
        <v>-46.385082210638757</v>
      </c>
      <c r="O35" s="271">
        <f>IF(M35=0,"",('INTRODUCIR DATOS'!$D$14-M35)/'INTRODUCIR DATOS'!$D$14)</f>
        <v>-0.40635201235776397</v>
      </c>
    </row>
    <row r="36" spans="2:24">
      <c r="B36" s="19">
        <v>36</v>
      </c>
      <c r="C36" s="570" t="s">
        <v>17</v>
      </c>
      <c r="D36" s="583" t="s">
        <v>27</v>
      </c>
      <c r="E36" s="350" t="s">
        <v>140</v>
      </c>
      <c r="F36" s="311" t="s">
        <v>134</v>
      </c>
      <c r="G36" s="267">
        <f>S36/365</f>
        <v>6.4019473972602742E-2</v>
      </c>
      <c r="H36" s="267">
        <f t="shared" ref="H36:L36" si="7">T36/365</f>
        <v>5.8413205479452057E-2</v>
      </c>
      <c r="I36" s="267">
        <f t="shared" si="7"/>
        <v>3.4049687671232877E-2</v>
      </c>
      <c r="J36" s="267">
        <f t="shared" si="7"/>
        <v>2.7412208219178082E-2</v>
      </c>
      <c r="K36" s="267">
        <f t="shared" si="7"/>
        <v>8.0605808219178076E-3</v>
      </c>
      <c r="L36" s="267">
        <f t="shared" si="7"/>
        <v>5.8500493150684934E-3</v>
      </c>
      <c r="M36" s="79"/>
      <c r="N36" s="40"/>
      <c r="O36" s="145"/>
      <c r="P36" s="19" t="s">
        <v>141</v>
      </c>
      <c r="S36" s="40">
        <v>23.367108000000002</v>
      </c>
      <c r="T36" s="40">
        <v>21.320820000000001</v>
      </c>
      <c r="U36" s="40">
        <v>12.428136</v>
      </c>
      <c r="V36" s="40">
        <v>10.005456000000001</v>
      </c>
      <c r="W36" s="40">
        <v>2.9421119999999998</v>
      </c>
      <c r="X36" s="40">
        <v>2.1352679999999999</v>
      </c>
    </row>
    <row r="37" spans="2:24">
      <c r="B37" s="44">
        <v>37</v>
      </c>
      <c r="C37" s="570" t="s">
        <v>17</v>
      </c>
      <c r="D37" s="583" t="s">
        <v>27</v>
      </c>
      <c r="E37" s="350" t="s">
        <v>140</v>
      </c>
      <c r="F37" s="310" t="s">
        <v>136</v>
      </c>
      <c r="G37" s="266">
        <v>0.323129</v>
      </c>
      <c r="H37" s="253">
        <v>0.30292799999999998</v>
      </c>
      <c r="I37" s="253">
        <v>0.28162900000000002</v>
      </c>
      <c r="J37" s="254">
        <v>0.263853</v>
      </c>
      <c r="K37" s="254">
        <v>0.24101800000000001</v>
      </c>
      <c r="L37" s="255">
        <v>0.253469</v>
      </c>
      <c r="M37" s="456">
        <f>('INTRODUCIR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DATOS'!$D$17)+'INTRODUCIR DATOS'!$D$15+'INTRODUCIR DATOS'!$D$16+IF('INTRODUCIR DATOS'!$D$21=21%,(('INTRODUCIR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DATOS'!$D$17)+'INTRODUCIR DATOS'!$D$16)*21/100,IF('INTRODUCIR DATOS'!$D$21=10%,(('INTRODUCIR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DATOS'!$D$17)+'INTRODUCIR DATOS'!$D$16)*10/100))</f>
        <v>158.1059915779029</v>
      </c>
      <c r="N37" s="292">
        <f>IF(M37=0,"",'INTRODUCIR DATOS'!$D$14-M37)</f>
        <v>-43.955991577902893</v>
      </c>
      <c r="O37" s="271">
        <f>IF(M37=0,"",('INTRODUCIR DATOS'!$D$14-M37)/'INTRODUCIR DATOS'!$D$14)</f>
        <v>-0.38507219954360833</v>
      </c>
    </row>
    <row r="38" spans="2:24">
      <c r="B38" s="19">
        <v>38</v>
      </c>
      <c r="C38" s="570" t="s">
        <v>17</v>
      </c>
      <c r="D38" s="583" t="s">
        <v>29</v>
      </c>
      <c r="E38" s="350" t="s">
        <v>140</v>
      </c>
      <c r="F38" s="311" t="s">
        <v>134</v>
      </c>
      <c r="G38" s="267">
        <f>S38/365</f>
        <v>6.1416756164383565E-2</v>
      </c>
      <c r="H38" s="267">
        <f t="shared" ref="H38:L38" si="8">T38/365</f>
        <v>5.5810454794520549E-2</v>
      </c>
      <c r="I38" s="267">
        <f t="shared" si="8"/>
        <v>3.1446936986301369E-2</v>
      </c>
      <c r="J38" s="267">
        <f t="shared" si="8"/>
        <v>2.4809457534246578E-2</v>
      </c>
      <c r="K38" s="267">
        <f t="shared" si="8"/>
        <v>5.4578630136986302E-3</v>
      </c>
      <c r="L38" s="267">
        <f t="shared" si="8"/>
        <v>3.2472986301369865E-3</v>
      </c>
      <c r="M38" s="79"/>
      <c r="N38" s="40"/>
      <c r="O38" s="145"/>
      <c r="P38" s="19" t="s">
        <v>141</v>
      </c>
      <c r="S38" s="40">
        <v>22.417116</v>
      </c>
      <c r="T38" s="40">
        <v>20.370816000000001</v>
      </c>
      <c r="U38" s="40">
        <v>11.478132</v>
      </c>
      <c r="V38" s="40">
        <v>9.0554520000000007</v>
      </c>
      <c r="W38" s="40">
        <v>1.9921199999999999</v>
      </c>
      <c r="X38" s="40">
        <v>1.1852640000000001</v>
      </c>
    </row>
    <row r="39" spans="2:24" ht="15" thickBot="1">
      <c r="B39" s="44">
        <v>39</v>
      </c>
      <c r="C39" s="571" t="s">
        <v>17</v>
      </c>
      <c r="D39" s="584" t="s">
        <v>29</v>
      </c>
      <c r="E39" s="428" t="s">
        <v>140</v>
      </c>
      <c r="F39" s="312" t="s">
        <v>136</v>
      </c>
      <c r="G39" s="269">
        <v>0.322629</v>
      </c>
      <c r="H39" s="259">
        <v>0.30247800000000002</v>
      </c>
      <c r="I39" s="259">
        <v>0.28112900000000002</v>
      </c>
      <c r="J39" s="260">
        <v>0.263353</v>
      </c>
      <c r="K39" s="260">
        <v>0.24051800000000001</v>
      </c>
      <c r="L39" s="261">
        <v>0.252969</v>
      </c>
      <c r="M39" s="457">
        <f>('INTRODUCIR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DATOS'!$D$17)+'INTRODUCIR DATOS'!$D$15+'INTRODUCIR DATOS'!$D$16+IF('INTRODUCIR DATOS'!$D$21=21%,(('INTRODUCIR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DATOS'!$D$17)+'INTRODUCIR DATOS'!$D$16)*21/100,IF('INTRODUCIR DATOS'!$D$21=10%,(('INTRODUCIR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DATOS'!$D$17)+'INTRODUCIR DATOS'!$D$16)*10/100))</f>
        <v>156.69178629037248</v>
      </c>
      <c r="N39" s="293">
        <f>IF(M39=0,"",'INTRODUCIR DATOS'!$D$14-M39)</f>
        <v>-42.541786290372471</v>
      </c>
      <c r="O39" s="285">
        <f>IF(M39=0,"",('INTRODUCIR DATOS'!$D$14-M39)/'INTRODUCIR DATOS'!$D$14)</f>
        <v>-0.37268319133046401</v>
      </c>
    </row>
    <row r="40" spans="2:24">
      <c r="B40" s="19">
        <v>40</v>
      </c>
      <c r="C40" s="574" t="s">
        <v>142</v>
      </c>
      <c r="D40" s="585" t="s">
        <v>30</v>
      </c>
      <c r="E40" s="427" t="s">
        <v>34</v>
      </c>
      <c r="F40" s="319" t="s">
        <v>134</v>
      </c>
      <c r="G40" s="287">
        <v>8.0502000000000004E-2</v>
      </c>
      <c r="H40" s="288">
        <v>3.1075999999999999E-2</v>
      </c>
      <c r="I40" s="289"/>
      <c r="J40" s="289"/>
      <c r="K40" s="289"/>
      <c r="L40" s="460"/>
      <c r="M40" s="439"/>
      <c r="N40" s="339"/>
      <c r="O40" s="149"/>
    </row>
    <row r="41" spans="2:24">
      <c r="B41" s="44">
        <v>41</v>
      </c>
      <c r="C41" s="572" t="s">
        <v>142</v>
      </c>
      <c r="D41" s="583" t="s">
        <v>73</v>
      </c>
      <c r="E41" s="350" t="s">
        <v>34</v>
      </c>
      <c r="F41" s="310" t="s">
        <v>136</v>
      </c>
      <c r="G41" s="266">
        <v>0.31842799999999999</v>
      </c>
      <c r="H41" s="253">
        <v>0.258627</v>
      </c>
      <c r="I41" s="253">
        <v>0.23375399999999999</v>
      </c>
      <c r="J41" s="254"/>
      <c r="K41" s="254"/>
      <c r="L41" s="255"/>
      <c r="M41" s="456">
        <f>('INTRODUCIR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DATOS'!$D$17)+'INTRODUCIR DATOS'!$D$15+'INTRODUCIR DATOS'!$D$16+IF('INTRODUCIR DATOS'!$D$21=21%,(('INTRODUCIR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DATOS'!$D$17)+'INTRODUCIR DATOS'!$D$16)*21/100,IF('INTRODUCIR DATOS'!$D$21=10%,(('INTRODUCIR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DATOS'!$D$17)+'INTRODUCIR DATOS'!$D$16)*10/100))</f>
        <v>153.70227875860002</v>
      </c>
      <c r="N41" s="292">
        <f>IF(M41=0,"",'INTRODUCIR DATOS'!$D$14-M41)</f>
        <v>-39.552278758600011</v>
      </c>
      <c r="O41" s="271">
        <f>IF(M41=0,"",('INTRODUCIR DATOS'!$D$14-M41)/'INTRODUCIR DATOS'!$D$14)</f>
        <v>-0.34649390064476576</v>
      </c>
    </row>
    <row r="42" spans="2:24">
      <c r="B42" s="19">
        <v>42</v>
      </c>
      <c r="C42" s="572" t="s">
        <v>142</v>
      </c>
      <c r="D42" s="583" t="s">
        <v>35</v>
      </c>
      <c r="E42" s="350" t="s">
        <v>34</v>
      </c>
      <c r="F42" s="311" t="s">
        <v>134</v>
      </c>
      <c r="G42" s="267">
        <v>8.0502000000000004E-2</v>
      </c>
      <c r="H42" s="256">
        <v>3.1075999999999999E-2</v>
      </c>
      <c r="I42" s="257"/>
      <c r="J42" s="257"/>
      <c r="K42" s="257"/>
      <c r="L42" s="258"/>
      <c r="M42" s="79"/>
      <c r="N42" s="40"/>
      <c r="O42" s="145"/>
    </row>
    <row r="43" spans="2:24">
      <c r="B43" s="44">
        <v>43</v>
      </c>
      <c r="C43" s="572" t="s">
        <v>142</v>
      </c>
      <c r="D43" s="583" t="s">
        <v>75</v>
      </c>
      <c r="E43" s="350" t="s">
        <v>34</v>
      </c>
      <c r="F43" s="310" t="s">
        <v>136</v>
      </c>
      <c r="G43" s="266">
        <v>0.31542799999999999</v>
      </c>
      <c r="H43" s="253">
        <v>0.25562699999999999</v>
      </c>
      <c r="I43" s="253">
        <v>0.23075399999999999</v>
      </c>
      <c r="J43" s="254"/>
      <c r="K43" s="254"/>
      <c r="L43" s="255"/>
      <c r="M43" s="456">
        <f>('INTRODUCIR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DATOS'!$D$17)+'INTRODUCIR DATOS'!$D$15+'INTRODUCIR DATOS'!$D$16+IF('INTRODUCIR DATOS'!$D$21=21%,(('INTRODUCIR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DATOS'!$D$17)+'INTRODUCIR DATOS'!$D$16)*21/100,IF('INTRODUCIR DATOS'!$D$21=10%,(('INTRODUCIR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DATOS'!$D$17)+'INTRODUCIR DATOS'!$D$16)*10/100))</f>
        <v>152.50933370859997</v>
      </c>
      <c r="N43" s="292">
        <f>IF(M43=0,"",'INTRODUCIR DATOS'!$D$14-M43)</f>
        <v>-38.359333708599962</v>
      </c>
      <c r="O43" s="271">
        <f>IF(M43=0,"",('INTRODUCIR DATOS'!$D$14-M43)/'INTRODUCIR DATOS'!$D$14)</f>
        <v>-0.33604322127551434</v>
      </c>
    </row>
    <row r="44" spans="2:24">
      <c r="B44" s="19">
        <v>44</v>
      </c>
      <c r="C44" s="572" t="s">
        <v>142</v>
      </c>
      <c r="D44" s="572" t="s">
        <v>40</v>
      </c>
      <c r="E44" s="350" t="s">
        <v>34</v>
      </c>
      <c r="F44" s="311" t="s">
        <v>134</v>
      </c>
      <c r="G44" s="267">
        <v>6.9542999999999994E-2</v>
      </c>
      <c r="H44" s="256">
        <v>1.4638E-2</v>
      </c>
      <c r="I44" s="257"/>
      <c r="J44" s="257"/>
      <c r="K44" s="257"/>
      <c r="L44" s="258"/>
      <c r="M44" s="79"/>
      <c r="N44" s="40"/>
      <c r="O44" s="145"/>
    </row>
    <row r="45" spans="2:24">
      <c r="B45" s="44">
        <v>45</v>
      </c>
      <c r="C45" s="572" t="s">
        <v>142</v>
      </c>
      <c r="D45" s="572" t="s">
        <v>78</v>
      </c>
      <c r="E45" s="350" t="s">
        <v>34</v>
      </c>
      <c r="F45" s="310" t="s">
        <v>136</v>
      </c>
      <c r="G45" s="266">
        <v>0.31342799999999998</v>
      </c>
      <c r="H45" s="253">
        <v>0.25362699999999999</v>
      </c>
      <c r="I45" s="253">
        <v>0.22875400000000001</v>
      </c>
      <c r="J45" s="254"/>
      <c r="K45" s="254"/>
      <c r="L45" s="255"/>
      <c r="M45" s="456">
        <f>('INTRODUCIR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DATOS'!$D$17)+'INTRODUCIR DATOS'!$D$15+'INTRODUCIR DATOS'!$D$16+IF('INTRODUCIR DATOS'!$D$21=21%,(('INTRODUCIR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DATOS'!$D$17)+'INTRODUCIR DATOS'!$D$16)*21/100,IF('INTRODUCIR DATOS'!$D$21=10%,(('INTRODUCIR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DATOS'!$D$17)+'INTRODUCIR DATOS'!$D$16)*10/100))</f>
        <v>145.31734161339998</v>
      </c>
      <c r="N45" s="292">
        <f>IF(M45=0,"",'INTRODUCIR DATOS'!$D$14-M45)</f>
        <v>-31.167341613399969</v>
      </c>
      <c r="O45" s="271">
        <f>IF(M45=0,"",('INTRODUCIR DATOS'!$D$14-M45)/'INTRODUCIR DATOS'!$D$14)</f>
        <v>-0.27303847230310968</v>
      </c>
    </row>
    <row r="46" spans="2:24">
      <c r="B46" s="19">
        <v>46</v>
      </c>
      <c r="C46" s="572" t="s">
        <v>142</v>
      </c>
      <c r="D46" s="572" t="s">
        <v>43</v>
      </c>
      <c r="E46" s="350" t="s">
        <v>34</v>
      </c>
      <c r="F46" s="311" t="s">
        <v>134</v>
      </c>
      <c r="G46" s="267">
        <v>6.9542999999999994E-2</v>
      </c>
      <c r="H46" s="256">
        <v>1.4638E-2</v>
      </c>
      <c r="I46" s="257"/>
      <c r="J46" s="257"/>
      <c r="K46" s="257"/>
      <c r="L46" s="258"/>
      <c r="M46" s="79"/>
      <c r="N46" s="40"/>
      <c r="O46" s="145"/>
    </row>
    <row r="47" spans="2:24">
      <c r="B47" s="44">
        <v>47</v>
      </c>
      <c r="C47" s="572" t="s">
        <v>142</v>
      </c>
      <c r="D47" s="572" t="s">
        <v>81</v>
      </c>
      <c r="E47" s="350" t="s">
        <v>34</v>
      </c>
      <c r="F47" s="310" t="s">
        <v>136</v>
      </c>
      <c r="G47" s="266">
        <v>0.31042799999999998</v>
      </c>
      <c r="H47" s="253">
        <v>0.25062699999999999</v>
      </c>
      <c r="I47" s="253">
        <v>0.22575400000000001</v>
      </c>
      <c r="J47" s="254"/>
      <c r="K47" s="254"/>
      <c r="L47" s="255"/>
      <c r="M47" s="456">
        <f>('INTRODUCIR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DATOS'!$D$17)+'INTRODUCIR DATOS'!$D$15+'INTRODUCIR DATOS'!$D$16+IF('INTRODUCIR DATOS'!$D$21=21%,(('INTRODUCIR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DATOS'!$D$17)+'INTRODUCIR DATOS'!$D$16)*21/100,IF('INTRODUCIR DATOS'!$D$21=10%,(('INTRODUCIR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DATOS'!$D$17)+'INTRODUCIR DATOS'!$D$16)*10/100))</f>
        <v>144.12439656339998</v>
      </c>
      <c r="N47" s="292">
        <f>IF(M47=0,"",'INTRODUCIR DATOS'!$D$14-M47)</f>
        <v>-29.974396563399978</v>
      </c>
      <c r="O47" s="271">
        <f>IF(M47=0,"",('INTRODUCIR DATOS'!$D$14-M47)/'INTRODUCIR DATOS'!$D$14)</f>
        <v>-0.26258779293385875</v>
      </c>
    </row>
    <row r="48" spans="2:24">
      <c r="B48" s="19">
        <v>48</v>
      </c>
      <c r="C48" s="572" t="s">
        <v>142</v>
      </c>
      <c r="D48" s="572" t="s">
        <v>47</v>
      </c>
      <c r="E48" s="350" t="s">
        <v>34</v>
      </c>
      <c r="F48" s="311" t="s">
        <v>134</v>
      </c>
      <c r="G48" s="267">
        <v>0.135186</v>
      </c>
      <c r="H48" s="256">
        <v>0.135186</v>
      </c>
      <c r="I48" s="257"/>
      <c r="J48" s="257"/>
      <c r="K48" s="257"/>
      <c r="L48" s="258"/>
      <c r="M48" s="79"/>
      <c r="N48" s="40"/>
      <c r="O48" s="145"/>
    </row>
    <row r="49" spans="2:15">
      <c r="B49" s="44">
        <v>49</v>
      </c>
      <c r="C49" s="572" t="s">
        <v>142</v>
      </c>
      <c r="D49" s="572" t="s">
        <v>143</v>
      </c>
      <c r="E49" s="350" t="s">
        <v>34</v>
      </c>
      <c r="F49" s="310" t="s">
        <v>136</v>
      </c>
      <c r="G49" s="266">
        <v>0.173071</v>
      </c>
      <c r="H49" s="266">
        <v>0.173071</v>
      </c>
      <c r="I49" s="266">
        <v>0.173071</v>
      </c>
      <c r="J49" s="254"/>
      <c r="K49" s="254"/>
      <c r="L49" s="255"/>
      <c r="M49" s="456">
        <f>('INTRODUCIR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DATOS'!$D$17)+'INTRODUCIR DATOS'!$D$15+'INTRODUCIR DATOS'!$D$16+IF('INTRODUCIR DATOS'!$D$21=21%,(('INTRODUCIR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DATOS'!$D$17)+'INTRODUCIR DATOS'!$D$16)*21/100,IF('INTRODUCIR DATOS'!$D$21=10%,(('INTRODUCIR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DATOS'!$D$17)+'INTRODUCIR DATOS'!$D$16)*10/100))</f>
        <v>132.97678473804999</v>
      </c>
      <c r="N49" s="292">
        <f>IF(M49=0,"",'INTRODUCIR DATOS'!$D$14-M49)</f>
        <v>-18.82678473804998</v>
      </c>
      <c r="O49" s="271">
        <f>IF(M49=0,"",('INTRODUCIR DATOS'!$D$14-M49)/'INTRODUCIR DATOS'!$D$14)</f>
        <v>-0.16493022109548822</v>
      </c>
    </row>
    <row r="50" spans="2:15">
      <c r="B50" s="19">
        <v>50</v>
      </c>
      <c r="C50" s="572" t="s">
        <v>142</v>
      </c>
      <c r="D50" s="572" t="s">
        <v>51</v>
      </c>
      <c r="E50" s="350" t="s">
        <v>34</v>
      </c>
      <c r="F50" s="311" t="s">
        <v>134</v>
      </c>
      <c r="G50" s="267">
        <v>7.5022000000000005E-2</v>
      </c>
      <c r="H50" s="256">
        <v>7.5022000000000005E-2</v>
      </c>
      <c r="I50" s="257"/>
      <c r="J50" s="257"/>
      <c r="K50" s="257"/>
      <c r="L50" s="258"/>
      <c r="M50" s="79"/>
      <c r="N50" s="40"/>
      <c r="O50" s="145"/>
    </row>
    <row r="51" spans="2:15">
      <c r="B51" s="44">
        <v>51</v>
      </c>
      <c r="C51" s="572" t="s">
        <v>142</v>
      </c>
      <c r="D51" s="572" t="s">
        <v>144</v>
      </c>
      <c r="E51" s="350" t="s">
        <v>34</v>
      </c>
      <c r="F51" s="310" t="s">
        <v>136</v>
      </c>
      <c r="G51" s="266">
        <v>0.25307099999999999</v>
      </c>
      <c r="H51" s="266">
        <v>0.25307099999999999</v>
      </c>
      <c r="I51" s="266">
        <v>0.25307099999999999</v>
      </c>
      <c r="J51" s="254"/>
      <c r="K51" s="254"/>
      <c r="L51" s="255"/>
      <c r="M51" s="456">
        <f>('INTRODUCIR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DATOS'!$D$17)+'INTRODUCIR DATOS'!$D$15+'INTRODUCIR DATOS'!$D$16+IF('INTRODUCIR DATOS'!$D$21=21%,(('INTRODUCIR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DATOS'!$D$17)+'INTRODUCIR DATOS'!$D$16)*21/100,IF('INTRODUCIR DATOS'!$D$21=10%,(('INTRODUCIR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DATOS'!$D$17)+'INTRODUCIR DATOS'!$D$16)*10/100))</f>
        <v>136.69427877324998</v>
      </c>
      <c r="N51" s="292">
        <f>IF(M51=0,"",'INTRODUCIR DATOS'!$D$14-M51)</f>
        <v>-22.544278773249971</v>
      </c>
      <c r="O51" s="271">
        <f>IF(M51=0,"",('INTRODUCIR DATOS'!$D$14-M51)/'INTRODUCIR DATOS'!$D$14)</f>
        <v>-0.19749696691414778</v>
      </c>
    </row>
    <row r="52" spans="2:15">
      <c r="B52" s="19">
        <v>52</v>
      </c>
      <c r="C52" s="572" t="s">
        <v>142</v>
      </c>
      <c r="D52" s="572" t="s">
        <v>54</v>
      </c>
      <c r="E52" s="350" t="s">
        <v>34</v>
      </c>
      <c r="F52" s="311" t="s">
        <v>134</v>
      </c>
      <c r="G52" s="267">
        <v>0.121487</v>
      </c>
      <c r="H52" s="256">
        <v>0.121487</v>
      </c>
      <c r="I52" s="257"/>
      <c r="J52" s="257"/>
      <c r="K52" s="257"/>
      <c r="L52" s="258"/>
      <c r="M52" s="79"/>
      <c r="N52" s="40"/>
      <c r="O52" s="145"/>
    </row>
    <row r="53" spans="2:15">
      <c r="B53" s="44">
        <v>53</v>
      </c>
      <c r="C53" s="572" t="s">
        <v>142</v>
      </c>
      <c r="D53" s="572" t="s">
        <v>145</v>
      </c>
      <c r="E53" s="350" t="s">
        <v>34</v>
      </c>
      <c r="F53" s="310" t="s">
        <v>136</v>
      </c>
      <c r="G53" s="266">
        <v>0.165071</v>
      </c>
      <c r="H53" s="266">
        <v>0.165071</v>
      </c>
      <c r="I53" s="266">
        <v>0.165071</v>
      </c>
      <c r="J53" s="254"/>
      <c r="K53" s="254"/>
      <c r="L53" s="255"/>
      <c r="M53" s="456">
        <f>('INTRODUCIR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DATOS'!$D$17)+'INTRODUCIR DATOS'!$D$15+'INTRODUCIR DATOS'!$D$16+IF('INTRODUCIR DATOS'!$D$21=21%,(('INTRODUCIR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DATOS'!$D$17)+'INTRODUCIR DATOS'!$D$16)*21/100,IF('INTRODUCIR DATOS'!$D$21=10%,(('INTRODUCIR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DATOS'!$D$17)+'INTRODUCIR DATOS'!$D$16)*10/100))</f>
        <v>123.39866906124999</v>
      </c>
      <c r="N53" s="292">
        <f>IF(M53=0,"",'INTRODUCIR DATOS'!$D$14-M53)</f>
        <v>-9.2486690612499842</v>
      </c>
      <c r="O53" s="271">
        <f>IF(M53=0,"",('INTRODUCIR DATOS'!$D$14-M53)/'INTRODUCIR DATOS'!$D$14)</f>
        <v>-8.1022067991677479E-2</v>
      </c>
    </row>
    <row r="54" spans="2:15">
      <c r="B54" s="19">
        <v>54</v>
      </c>
      <c r="C54" s="572" t="s">
        <v>142</v>
      </c>
      <c r="D54" s="572" t="s">
        <v>58</v>
      </c>
      <c r="E54" s="350" t="s">
        <v>34</v>
      </c>
      <c r="F54" s="311" t="s">
        <v>134</v>
      </c>
      <c r="G54" s="267">
        <v>7.2281999999999999E-2</v>
      </c>
      <c r="H54" s="256">
        <v>7.2281999999999999E-2</v>
      </c>
      <c r="I54" s="257"/>
      <c r="J54" s="257"/>
      <c r="K54" s="257"/>
      <c r="L54" s="258"/>
      <c r="M54" s="79"/>
      <c r="N54" s="40"/>
      <c r="O54" s="145"/>
    </row>
    <row r="55" spans="2:15">
      <c r="B55" s="44">
        <v>55</v>
      </c>
      <c r="C55" s="572" t="s">
        <v>142</v>
      </c>
      <c r="D55" s="572" t="s">
        <v>146</v>
      </c>
      <c r="E55" s="350" t="s">
        <v>34</v>
      </c>
      <c r="F55" s="310" t="s">
        <v>136</v>
      </c>
      <c r="G55" s="266">
        <v>0.228071</v>
      </c>
      <c r="H55" s="266">
        <v>0.228071</v>
      </c>
      <c r="I55" s="266">
        <v>0.228071</v>
      </c>
      <c r="J55" s="254"/>
      <c r="K55" s="254"/>
      <c r="L55" s="255"/>
      <c r="M55" s="456">
        <f>('INTRODUCIR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DATOS'!$D$17)+'INTRODUCIR DATOS'!$D$15+'INTRODUCIR DATOS'!$D$16+IF('INTRODUCIR DATOS'!$D$21=21%,(('INTRODUCIR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DATOS'!$D$17)+'INTRODUCIR DATOS'!$D$16)*21/100,IF('INTRODUCIR DATOS'!$D$21=10%,(('INTRODUCIR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DATOS'!$D$17)+'INTRODUCIR DATOS'!$D$16)*10/100))</f>
        <v>125.47359085524998</v>
      </c>
      <c r="N55" s="292">
        <f>IF(M55=0,"",'INTRODUCIR DATOS'!$D$14-M55)</f>
        <v>-11.323590855249975</v>
      </c>
      <c r="O55" s="271">
        <f>IF(M55=0,"",('INTRODUCIR DATOS'!$D$14-M55)/'INTRODUCIR DATOS'!$D$14)</f>
        <v>-9.9199219056066351E-2</v>
      </c>
    </row>
    <row r="56" spans="2:15">
      <c r="B56" s="19">
        <v>56</v>
      </c>
      <c r="C56" s="572" t="s">
        <v>142</v>
      </c>
      <c r="D56" s="572" t="s">
        <v>59</v>
      </c>
      <c r="E56" s="350" t="s">
        <v>34</v>
      </c>
      <c r="F56" s="311" t="s">
        <v>134</v>
      </c>
      <c r="G56" s="267">
        <v>6.9542999999999994E-2</v>
      </c>
      <c r="H56" s="256">
        <v>3.679E-3</v>
      </c>
      <c r="I56" s="257"/>
      <c r="J56" s="257"/>
      <c r="K56" s="257"/>
      <c r="L56" s="258"/>
      <c r="M56" s="79"/>
      <c r="N56" s="40"/>
      <c r="O56" s="145"/>
    </row>
    <row r="57" spans="2:15">
      <c r="B57" s="44">
        <v>57</v>
      </c>
      <c r="C57" s="572" t="s">
        <v>142</v>
      </c>
      <c r="D57" s="572" t="s">
        <v>73</v>
      </c>
      <c r="E57" s="350" t="s">
        <v>34</v>
      </c>
      <c r="F57" s="310" t="s">
        <v>136</v>
      </c>
      <c r="G57" s="266">
        <v>0.30342799999999998</v>
      </c>
      <c r="H57" s="253">
        <v>0.24362700000000001</v>
      </c>
      <c r="I57" s="253">
        <v>0.218754</v>
      </c>
      <c r="J57" s="254"/>
      <c r="K57" s="254"/>
      <c r="L57" s="255"/>
      <c r="M57" s="456">
        <f>('INTRODUCIR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DATOS'!$D$17)+'INTRODUCIR DATOS'!$D$15+'INTRODUCIR DATOS'!$D$16+IF('INTRODUCIR DATOS'!$D$21=21%,(('INTRODUCIR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DATOS'!$D$17)+'INTRODUCIR DATOS'!$D$16)*21/100,IF('INTRODUCIR DATOS'!$D$21=10%,(('INTRODUCIR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DATOS'!$D$17)+'INTRODUCIR DATOS'!$D$16)*10/100))</f>
        <v>138.78213325899998</v>
      </c>
      <c r="N57" s="292">
        <f>IF(M57=0,"",'INTRODUCIR DATOS'!$D$14-M57)</f>
        <v>-24.632133258999971</v>
      </c>
      <c r="O57" s="271">
        <f>IF(M57=0,"",('INTRODUCIR DATOS'!$D$14-M57)/'INTRODUCIR DATOS'!$D$14)</f>
        <v>-0.21578741356986395</v>
      </c>
    </row>
    <row r="58" spans="2:15">
      <c r="B58" s="19">
        <v>58</v>
      </c>
      <c r="C58" s="572" t="s">
        <v>142</v>
      </c>
      <c r="D58" s="572" t="s">
        <v>147</v>
      </c>
      <c r="E58" s="350" t="s">
        <v>139</v>
      </c>
      <c r="F58" s="311" t="s">
        <v>134</v>
      </c>
      <c r="G58" s="267">
        <v>4.1048000000000001E-2</v>
      </c>
      <c r="H58" s="256">
        <v>3.5340000000000003E-2</v>
      </c>
      <c r="I58" s="257">
        <v>1.3703999999999999E-2</v>
      </c>
      <c r="J58" s="257">
        <v>1.2751E-2</v>
      </c>
      <c r="K58" s="257">
        <v>1.0227E-2</v>
      </c>
      <c r="L58" s="258">
        <v>8.2220000000000001E-3</v>
      </c>
      <c r="M58" s="79"/>
      <c r="N58" s="40"/>
      <c r="O58" s="145"/>
    </row>
    <row r="59" spans="2:15">
      <c r="B59" s="44">
        <v>59</v>
      </c>
      <c r="C59" s="572" t="s">
        <v>142</v>
      </c>
      <c r="D59" s="572" t="s">
        <v>75</v>
      </c>
      <c r="E59" s="350" t="s">
        <v>139</v>
      </c>
      <c r="F59" s="310" t="s">
        <v>136</v>
      </c>
      <c r="G59" s="471">
        <v>0.31468499999999999</v>
      </c>
      <c r="H59" s="472">
        <v>0.30168099999999998</v>
      </c>
      <c r="I59" s="472">
        <v>0.27819500000000003</v>
      </c>
      <c r="J59" s="473">
        <v>0.27125100000000002</v>
      </c>
      <c r="K59" s="473">
        <v>0.25512099999999999</v>
      </c>
      <c r="L59" s="474">
        <v>0.26487300000000003</v>
      </c>
      <c r="M59" s="456">
        <f>('INTRODUCIR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DATOS'!$D$17)+'INTRODUCIR DATOS'!$D$15+'INTRODUCIR DATOS'!$D$16+IF('INTRODUCIR DATOS'!$D$21=21%,(('INTRODUCIR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DATOS'!$D$17)+'INTRODUCIR DATOS'!$D$16)*21/100,IF('INTRODUCIR DATOS'!$D$21=10%,(('INTRODUCIR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DATOS'!$D$17)+'INTRODUCIR DATOS'!$D$16)*10/100))</f>
        <v>143.99766348054999</v>
      </c>
      <c r="N59" s="292">
        <f>IF(M59=0,"",'INTRODUCIR DATOS'!$D$14-M59)</f>
        <v>-29.847663480549983</v>
      </c>
      <c r="O59" s="271">
        <f>IF(M59=0,"",('INTRODUCIR DATOS'!$D$14-M59)/'INTRODUCIR DATOS'!$D$14)</f>
        <v>-0.26147756005738049</v>
      </c>
    </row>
    <row r="60" spans="2:15">
      <c r="B60" s="19">
        <v>60</v>
      </c>
      <c r="C60" s="572" t="s">
        <v>142</v>
      </c>
      <c r="D60" s="572" t="s">
        <v>148</v>
      </c>
      <c r="E60" s="350" t="s">
        <v>139</v>
      </c>
      <c r="F60" s="311" t="s">
        <v>134</v>
      </c>
      <c r="G60" s="267">
        <v>4.5157999999999997E-2</v>
      </c>
      <c r="H60" s="256">
        <v>3.9449999999999999E-2</v>
      </c>
      <c r="I60" s="257">
        <v>1.7814E-2</v>
      </c>
      <c r="J60" s="257">
        <v>1.686E-2</v>
      </c>
      <c r="K60" s="257">
        <v>1.4336E-2</v>
      </c>
      <c r="L60" s="258">
        <v>1.2331999999999999E-2</v>
      </c>
      <c r="M60" s="79"/>
      <c r="N60" s="40"/>
      <c r="O60" s="145"/>
    </row>
    <row r="61" spans="2:15">
      <c r="B61" s="44">
        <v>61</v>
      </c>
      <c r="C61" s="572" t="s">
        <v>142</v>
      </c>
      <c r="D61" s="572" t="s">
        <v>78</v>
      </c>
      <c r="E61" s="350" t="s">
        <v>139</v>
      </c>
      <c r="F61" s="310" t="s">
        <v>136</v>
      </c>
      <c r="G61" s="266">
        <v>0.31468499999999999</v>
      </c>
      <c r="H61" s="253">
        <v>0.30168099999999998</v>
      </c>
      <c r="I61" s="253">
        <v>0.27819500000000003</v>
      </c>
      <c r="J61" s="254">
        <v>0.27125100000000002</v>
      </c>
      <c r="K61" s="254">
        <v>0.25512099999999999</v>
      </c>
      <c r="L61" s="255">
        <v>0.26487300000000003</v>
      </c>
      <c r="M61" s="456">
        <f>('INTRODUCIR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DATOS'!$D$17)+'INTRODUCIR DATOS'!$D$15+'INTRODUCIR DATOS'!$D$16+IF('INTRODUCIR DATOS'!$D$21=21%,(('INTRODUCIR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DATOS'!$D$17)+'INTRODUCIR DATOS'!$D$16)*21/100,IF('INTRODUCIR DATOS'!$D$21=10%,(('INTRODUCIR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DATOS'!$D$17)+'INTRODUCIR DATOS'!$D$16)*10/100))</f>
        <v>145.91688223254999</v>
      </c>
      <c r="N61" s="292">
        <f>IF(M61=0,"",'INTRODUCIR DATOS'!$D$14-M61)</f>
        <v>-31.766882232549989</v>
      </c>
      <c r="O61" s="271">
        <f>IF(M61=0,"",('INTRODUCIR DATOS'!$D$14-M61)/'INTRODUCIR DATOS'!$D$14)</f>
        <v>-0.27829068972886539</v>
      </c>
    </row>
    <row r="62" spans="2:15">
      <c r="B62" s="19">
        <v>62</v>
      </c>
      <c r="C62" s="572" t="s">
        <v>142</v>
      </c>
      <c r="D62" s="572" t="s">
        <v>149</v>
      </c>
      <c r="E62" s="350" t="s">
        <v>139</v>
      </c>
      <c r="F62" s="311" t="s">
        <v>134</v>
      </c>
      <c r="G62" s="267">
        <v>4.9266999999999998E-2</v>
      </c>
      <c r="H62" s="256">
        <v>4.3559E-2</v>
      </c>
      <c r="I62" s="257">
        <v>2.1923000000000002E-2</v>
      </c>
      <c r="J62" s="257">
        <v>2.0969999999999999E-2</v>
      </c>
      <c r="K62" s="257">
        <v>1.8446000000000001E-2</v>
      </c>
      <c r="L62" s="258">
        <v>1.6441000000000001E-2</v>
      </c>
      <c r="M62" s="79"/>
      <c r="N62" s="40"/>
      <c r="O62" s="145"/>
    </row>
    <row r="63" spans="2:15">
      <c r="B63" s="44">
        <v>63</v>
      </c>
      <c r="C63" s="572" t="s">
        <v>142</v>
      </c>
      <c r="D63" s="572" t="s">
        <v>81</v>
      </c>
      <c r="E63" s="350" t="s">
        <v>139</v>
      </c>
      <c r="F63" s="310" t="s">
        <v>136</v>
      </c>
      <c r="G63" s="266">
        <v>0.31468499999999999</v>
      </c>
      <c r="H63" s="253">
        <v>0.30168099999999998</v>
      </c>
      <c r="I63" s="253">
        <v>0.27819500000000003</v>
      </c>
      <c r="J63" s="254">
        <v>0.27125100000000002</v>
      </c>
      <c r="K63" s="254">
        <v>0.25512099999999999</v>
      </c>
      <c r="L63" s="255">
        <v>0.26487300000000003</v>
      </c>
      <c r="M63" s="456">
        <f>('INTRODUCIR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DATOS'!$D$17)+'INTRODUCIR DATOS'!$D$15+'INTRODUCIR DATOS'!$D$16+IF('INTRODUCIR DATOS'!$D$21=21%,(('INTRODUCIR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DATOS'!$D$17)+'INTRODUCIR DATOS'!$D$16)*21/100,IF('INTRODUCIR DATOS'!$D$21=10%,(('INTRODUCIR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DATOS'!$D$17)+'INTRODUCIR DATOS'!$D$16)*10/100))</f>
        <v>147.83563402134999</v>
      </c>
      <c r="N63" s="292">
        <f>IF(M63=0,"",'INTRODUCIR DATOS'!$D$14-M63)</f>
        <v>-33.685634021349983</v>
      </c>
      <c r="O63" s="271">
        <f>IF(M63=0,"",('INTRODUCIR DATOS'!$D$14-M63)/'INTRODUCIR DATOS'!$D$14)</f>
        <v>-0.29509972861454209</v>
      </c>
    </row>
    <row r="64" spans="2:15">
      <c r="B64" s="19">
        <v>64</v>
      </c>
      <c r="C64" s="572" t="s">
        <v>142</v>
      </c>
      <c r="D64" s="574" t="s">
        <v>30</v>
      </c>
      <c r="E64" s="350" t="s">
        <v>139</v>
      </c>
      <c r="F64" s="311" t="s">
        <v>134</v>
      </c>
      <c r="G64" s="267">
        <v>4.6526999999999999E-2</v>
      </c>
      <c r="H64" s="256">
        <v>4.0819000000000001E-2</v>
      </c>
      <c r="I64" s="257">
        <v>1.9184E-2</v>
      </c>
      <c r="J64" s="257">
        <v>1.823E-2</v>
      </c>
      <c r="K64" s="257">
        <v>1.5706000000000001E-2</v>
      </c>
      <c r="L64" s="258">
        <v>1.3702000000000001E-2</v>
      </c>
      <c r="M64" s="79"/>
      <c r="N64" s="40"/>
      <c r="O64" s="145"/>
    </row>
    <row r="65" spans="2:15">
      <c r="B65" s="44">
        <v>65</v>
      </c>
      <c r="C65" s="572" t="s">
        <v>142</v>
      </c>
      <c r="D65" s="572" t="s">
        <v>73</v>
      </c>
      <c r="E65" s="350" t="s">
        <v>139</v>
      </c>
      <c r="F65" s="310" t="s">
        <v>136</v>
      </c>
      <c r="G65" s="266">
        <v>0.32918500000000001</v>
      </c>
      <c r="H65" s="253">
        <v>0.31618099999999999</v>
      </c>
      <c r="I65" s="253">
        <v>0.29269499999999998</v>
      </c>
      <c r="J65" s="254">
        <v>0.28575099999999998</v>
      </c>
      <c r="K65" s="254">
        <v>0.269621</v>
      </c>
      <c r="L65" s="255">
        <v>0.27937299999999998</v>
      </c>
      <c r="M65" s="456">
        <f>('INTRODUCIR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DATOS'!$D$17)+'INTRODUCIR DATOS'!$D$15+'INTRODUCIR DATOS'!$D$16+IF('INTRODUCIR DATOS'!$D$21=21%,(('INTRODUCIR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DATOS'!$D$17)+'INTRODUCIR DATOS'!$D$16)*21/100,IF('INTRODUCIR DATOS'!$D$21=10%,(('INTRODUCIR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DATOS'!$D$17)+'INTRODUCIR DATOS'!$D$16)*10/100))</f>
        <v>152.32205592834998</v>
      </c>
      <c r="N65" s="292">
        <f>IF(M65=0,"",'INTRODUCIR DATOS'!$D$14-M65)</f>
        <v>-38.172055928349977</v>
      </c>
      <c r="O65" s="271">
        <f>IF(M65=0,"",('INTRODUCIR DATOS'!$D$14-M65)/'INTRODUCIR DATOS'!$D$14)</f>
        <v>-0.33440259245159853</v>
      </c>
    </row>
    <row r="66" spans="2:15">
      <c r="B66" s="19">
        <v>66</v>
      </c>
      <c r="C66" s="572" t="s">
        <v>142</v>
      </c>
      <c r="D66" s="572" t="s">
        <v>35</v>
      </c>
      <c r="E66" s="350" t="s">
        <v>139</v>
      </c>
      <c r="F66" s="311" t="s">
        <v>134</v>
      </c>
      <c r="G66" s="267">
        <v>4.3788000000000001E-2</v>
      </c>
      <c r="H66" s="256">
        <v>3.8080000000000003E-2</v>
      </c>
      <c r="I66" s="257">
        <v>1.6444E-2</v>
      </c>
      <c r="J66" s="257">
        <v>1.823E-2</v>
      </c>
      <c r="K66" s="257">
        <v>1.5706000000000001E-2</v>
      </c>
      <c r="L66" s="258">
        <v>1.3702000000000001E-2</v>
      </c>
      <c r="M66" s="79"/>
      <c r="N66" s="40"/>
      <c r="O66" s="145"/>
    </row>
    <row r="67" spans="2:15">
      <c r="B67" s="44">
        <v>67</v>
      </c>
      <c r="C67" s="572" t="s">
        <v>142</v>
      </c>
      <c r="D67" s="572" t="s">
        <v>75</v>
      </c>
      <c r="E67" s="350" t="s">
        <v>139</v>
      </c>
      <c r="F67" s="310" t="s">
        <v>136</v>
      </c>
      <c r="G67" s="266">
        <v>0.326185</v>
      </c>
      <c r="H67" s="253">
        <v>0.31318099999999999</v>
      </c>
      <c r="I67" s="253">
        <v>0.28969499999999998</v>
      </c>
      <c r="J67" s="254">
        <v>0.28275099999999997</v>
      </c>
      <c r="K67" s="254">
        <v>0.266621</v>
      </c>
      <c r="L67" s="255">
        <v>0.27637299999999998</v>
      </c>
      <c r="M67" s="456">
        <f>('INTRODUCIR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DATOS'!$D$17)+'INTRODUCIR DATOS'!$D$15+'INTRODUCIR DATOS'!$D$16+IF('INTRODUCIR DATOS'!$D$21=21%,(('INTRODUCIR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DATOS'!$D$17)+'INTRODUCIR DATOS'!$D$16)*21/100,IF('INTRODUCIR DATOS'!$D$21=10%,(('INTRODUCIR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DATOS'!$D$17)+'INTRODUCIR DATOS'!$D$16)*10/100))</f>
        <v>149.85009867354998</v>
      </c>
      <c r="N67" s="292">
        <f>IF(M67=0,"",'INTRODUCIR DATOS'!$D$14-M67)</f>
        <v>-35.700098673549974</v>
      </c>
      <c r="O67" s="271">
        <f>IF(M67=0,"",('INTRODUCIR DATOS'!$D$14-M67)/'INTRODUCIR DATOS'!$D$14)</f>
        <v>-0.31274725075383242</v>
      </c>
    </row>
    <row r="68" spans="2:15">
      <c r="B68" s="19">
        <v>68</v>
      </c>
      <c r="C68" s="572" t="s">
        <v>142</v>
      </c>
      <c r="D68" s="572" t="s">
        <v>40</v>
      </c>
      <c r="E68" s="470" t="s">
        <v>139</v>
      </c>
      <c r="F68" s="311" t="s">
        <v>134</v>
      </c>
      <c r="G68" s="267">
        <v>3.8308000000000002E-2</v>
      </c>
      <c r="H68" s="256">
        <v>3.2599999999999997E-2</v>
      </c>
      <c r="I68" s="257">
        <v>1.0965000000000001E-2</v>
      </c>
      <c r="J68" s="257">
        <v>1.823E-2</v>
      </c>
      <c r="K68" s="257">
        <v>1.5706000000000001E-2</v>
      </c>
      <c r="L68" s="258">
        <v>1.3702000000000001E-2</v>
      </c>
      <c r="M68" s="79"/>
      <c r="N68" s="40"/>
      <c r="O68" s="145"/>
    </row>
    <row r="69" spans="2:15">
      <c r="B69" s="44">
        <v>69</v>
      </c>
      <c r="C69" s="572" t="s">
        <v>142</v>
      </c>
      <c r="D69" s="572" t="s">
        <v>78</v>
      </c>
      <c r="E69" s="470" t="s">
        <v>139</v>
      </c>
      <c r="F69" s="310" t="s">
        <v>136</v>
      </c>
      <c r="G69" s="266">
        <v>0.324185</v>
      </c>
      <c r="H69" s="253">
        <v>0.31118099999999999</v>
      </c>
      <c r="I69" s="253">
        <v>0.28769499999999998</v>
      </c>
      <c r="J69" s="254">
        <v>0.28075099999999997</v>
      </c>
      <c r="K69" s="254">
        <v>0.264621</v>
      </c>
      <c r="L69" s="255">
        <v>0.27437299999999998</v>
      </c>
      <c r="M69" s="456">
        <f>('INTRODUCIR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DATOS'!$D$17)+'INTRODUCIR DATOS'!$D$15+'INTRODUCIR DATOS'!$D$16+IF('INTRODUCIR DATOS'!$D$21=21%,(('INTRODUCIR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DATOS'!$D$17)+'INTRODUCIR DATOS'!$D$16)*21/100,IF('INTRODUCIR DATOS'!$D$21=10%,(('INTRODUCIR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DATOS'!$D$17)+'INTRODUCIR DATOS'!$D$16)*10/100))</f>
        <v>146.49584363755</v>
      </c>
      <c r="N69" s="292">
        <f>IF(M69=0,"",'INTRODUCIR DATOS'!$D$14-M69)</f>
        <v>-32.34584363754999</v>
      </c>
      <c r="O69" s="271">
        <f>IF(M69=0,"",('INTRODUCIR DATOS'!$D$14-M69)/'INTRODUCIR DATOS'!$D$14)</f>
        <v>-0.28336262494568543</v>
      </c>
    </row>
    <row r="70" spans="2:15">
      <c r="B70" s="19">
        <v>70</v>
      </c>
      <c r="C70" s="572" t="s">
        <v>142</v>
      </c>
      <c r="D70" s="572" t="s">
        <v>43</v>
      </c>
      <c r="E70" s="350" t="s">
        <v>139</v>
      </c>
      <c r="F70" s="311" t="s">
        <v>134</v>
      </c>
      <c r="G70" s="267">
        <v>3.8308000000000002E-2</v>
      </c>
      <c r="H70" s="256">
        <v>3.2599999999999997E-2</v>
      </c>
      <c r="I70" s="257">
        <v>1.0965000000000001E-2</v>
      </c>
      <c r="J70" s="257">
        <v>1.0011000000000001E-2</v>
      </c>
      <c r="K70" s="257">
        <v>7.4869999999999997E-3</v>
      </c>
      <c r="L70" s="258">
        <v>5.483E-3</v>
      </c>
      <c r="M70" s="79"/>
      <c r="N70" s="40"/>
      <c r="O70" s="145"/>
    </row>
    <row r="71" spans="2:15">
      <c r="B71" s="44">
        <v>71</v>
      </c>
      <c r="C71" s="572" t="s">
        <v>142</v>
      </c>
      <c r="D71" s="572" t="s">
        <v>81</v>
      </c>
      <c r="E71" s="350" t="s">
        <v>139</v>
      </c>
      <c r="F71" s="320" t="s">
        <v>136</v>
      </c>
      <c r="G71" s="266">
        <v>0.324185</v>
      </c>
      <c r="H71" s="253">
        <v>0.31118099999999999</v>
      </c>
      <c r="I71" s="253">
        <v>0.28769499999999998</v>
      </c>
      <c r="J71" s="254">
        <v>0.28707510000000003</v>
      </c>
      <c r="K71" s="254">
        <v>0.264621</v>
      </c>
      <c r="L71" s="255">
        <v>0.27437299999999998</v>
      </c>
      <c r="M71" s="456">
        <f>('INTRODUCIR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DATOS'!$D$17)+'INTRODUCIR DATOS'!$D$15+'INTRODUCIR DATOS'!$D$16+IF('INTRODUCIR DATOS'!$D$21=21%,(('INTRODUCIR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DATOS'!$D$17)+'INTRODUCIR DATOS'!$D$16)*21/100,IF('INTRODUCIR DATOS'!$D$21=10%,(('INTRODUCIR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DATOS'!$D$17)+'INTRODUCIR DATOS'!$D$16)*10/100))</f>
        <v>146.49584363755</v>
      </c>
      <c r="N71" s="292">
        <f>IF(M71=0,"",'INTRODUCIR DATOS'!$D$14-M71)</f>
        <v>-32.34584363754999</v>
      </c>
      <c r="O71" s="271">
        <f>IF(M71=0,"",('INTRODUCIR DATOS'!$D$14-M71)/'INTRODUCIR DATOS'!$D$14)</f>
        <v>-0.28336262494568543</v>
      </c>
    </row>
    <row r="72" spans="2:15">
      <c r="B72" s="19">
        <v>72</v>
      </c>
      <c r="C72" s="572" t="s">
        <v>142</v>
      </c>
      <c r="D72" s="572" t="s">
        <v>47</v>
      </c>
      <c r="E72" s="350" t="s">
        <v>139</v>
      </c>
      <c r="F72" s="311" t="s">
        <v>134</v>
      </c>
      <c r="G72" s="267">
        <v>3.8308000000000002E-2</v>
      </c>
      <c r="H72" s="256">
        <v>3.2599999999999997E-2</v>
      </c>
      <c r="I72" s="257">
        <v>1.6444E-2</v>
      </c>
      <c r="J72" s="257">
        <v>1.5443999999999999E-2</v>
      </c>
      <c r="K72" s="257">
        <v>1.8466E-2</v>
      </c>
      <c r="L72" s="258">
        <v>1.6441000000000001E-2</v>
      </c>
      <c r="M72" s="79"/>
      <c r="N72" s="40"/>
      <c r="O72" s="145"/>
    </row>
    <row r="73" spans="2:15">
      <c r="B73" s="44">
        <v>73</v>
      </c>
      <c r="C73" s="572" t="s">
        <v>142</v>
      </c>
      <c r="D73" s="572" t="s">
        <v>143</v>
      </c>
      <c r="E73" s="350" t="s">
        <v>139</v>
      </c>
      <c r="F73" s="320" t="s">
        <v>136</v>
      </c>
      <c r="G73" s="266">
        <v>0.30705100000000002</v>
      </c>
      <c r="H73" s="266">
        <v>0.30705100000000002</v>
      </c>
      <c r="I73" s="266">
        <v>0.30705100000000002</v>
      </c>
      <c r="J73" s="266">
        <v>0.30705100000000002</v>
      </c>
      <c r="K73" s="266">
        <v>0.30705100000000002</v>
      </c>
      <c r="L73" s="266">
        <v>0.30705100000000002</v>
      </c>
      <c r="M73" s="456">
        <f>('INTRODUCIR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DATOS'!$D$17)+'INTRODUCIR DATOS'!$D$15+'INTRODUCIR DATOS'!$D$16+IF('INTRODUCIR DATOS'!$D$21=21%,(('INTRODUCIR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DATOS'!$D$17)+'INTRODUCIR DATOS'!$D$16)*21/100,IF('INTRODUCIR DATOS'!$D$21=10%,(('INTRODUCIR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DATOS'!$D$17)+'INTRODUCIR DATOS'!$D$16)*10/100))</f>
        <v>139.68253680865001</v>
      </c>
      <c r="N73" s="292">
        <f>IF(M73=0,"",'INTRODUCIR DATOS'!$D$14-M73)</f>
        <v>-25.532536808650008</v>
      </c>
      <c r="O73" s="271">
        <f>IF(M73=0,"",('INTRODUCIR DATOS'!$D$14-M73)/'INTRODUCIR DATOS'!$D$14)</f>
        <v>-0.22367531150810344</v>
      </c>
    </row>
    <row r="74" spans="2:15">
      <c r="B74" s="19">
        <v>74</v>
      </c>
      <c r="C74" s="572" t="s">
        <v>142</v>
      </c>
      <c r="D74" s="572" t="s">
        <v>51</v>
      </c>
      <c r="E74" s="350" t="s">
        <v>139</v>
      </c>
      <c r="F74" s="311" t="s">
        <v>134</v>
      </c>
      <c r="G74" s="267">
        <v>3.8308000000000002E-2</v>
      </c>
      <c r="H74" s="256">
        <v>3.2599999999999997E-2</v>
      </c>
      <c r="I74" s="257">
        <v>1.6444E-2</v>
      </c>
      <c r="J74" s="257">
        <v>1.5443999999999999E-2</v>
      </c>
      <c r="K74" s="257">
        <v>1.8466E-2</v>
      </c>
      <c r="L74" s="258">
        <v>1.6441000000000001E-2</v>
      </c>
      <c r="M74" s="79"/>
      <c r="N74" s="40"/>
      <c r="O74" s="145"/>
    </row>
    <row r="75" spans="2:15">
      <c r="B75" s="44">
        <v>75</v>
      </c>
      <c r="C75" s="572" t="s">
        <v>142</v>
      </c>
      <c r="D75" s="572" t="s">
        <v>144</v>
      </c>
      <c r="E75" s="350" t="s">
        <v>139</v>
      </c>
      <c r="F75" s="320" t="s">
        <v>136</v>
      </c>
      <c r="G75" s="266">
        <v>0.30205100000000001</v>
      </c>
      <c r="H75" s="266">
        <v>0.30205100000000001</v>
      </c>
      <c r="I75" s="266">
        <v>0.30205100000000001</v>
      </c>
      <c r="J75" s="266">
        <v>0.30205100000000001</v>
      </c>
      <c r="K75" s="266">
        <v>0.30205100000000001</v>
      </c>
      <c r="L75" s="266">
        <v>0.30205100000000001</v>
      </c>
      <c r="M75" s="456">
        <f>('INTRODUCIR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DATOS'!$D$17)+'INTRODUCIR DATOS'!$D$15+'INTRODUCIR DATOS'!$D$16+IF('INTRODUCIR DATOS'!$D$21=21%,(('INTRODUCIR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DATOS'!$D$17)+'INTRODUCIR DATOS'!$D$16)*21/100,IF('INTRODUCIR DATOS'!$D$21=10%,(('INTRODUCIR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DATOS'!$D$17)+'INTRODUCIR DATOS'!$D$16)*10/100))</f>
        <v>137.69429505865</v>
      </c>
      <c r="N75" s="292">
        <f>IF(M75=0,"",'INTRODUCIR DATOS'!$D$14-M75)</f>
        <v>-23.544295058649993</v>
      </c>
      <c r="O75" s="271">
        <f>IF(M75=0,"",('INTRODUCIR DATOS'!$D$14-M75)/'INTRODUCIR DATOS'!$D$14)</f>
        <v>-0.20625751255935165</v>
      </c>
    </row>
    <row r="76" spans="2:15">
      <c r="B76" s="19">
        <v>76</v>
      </c>
      <c r="C76" s="572" t="s">
        <v>142</v>
      </c>
      <c r="D76" s="572" t="s">
        <v>54</v>
      </c>
      <c r="E76" s="350" t="s">
        <v>139</v>
      </c>
      <c r="F76" s="311" t="s">
        <v>134</v>
      </c>
      <c r="G76" s="267">
        <v>3.8308000000000002E-2</v>
      </c>
      <c r="H76" s="256">
        <v>0.32600000000000001</v>
      </c>
      <c r="I76" s="257">
        <v>1.6444E-2</v>
      </c>
      <c r="J76" s="257">
        <v>1.5443999999999999E-2</v>
      </c>
      <c r="K76" s="257">
        <v>1.8466E-2</v>
      </c>
      <c r="L76" s="258">
        <v>1.6441000000000001E-2</v>
      </c>
      <c r="M76" s="79"/>
      <c r="N76" s="40"/>
      <c r="O76" s="145"/>
    </row>
    <row r="77" spans="2:15">
      <c r="B77" s="44">
        <v>77</v>
      </c>
      <c r="C77" s="572" t="s">
        <v>142</v>
      </c>
      <c r="D77" s="572" t="s">
        <v>145</v>
      </c>
      <c r="E77" s="350" t="s">
        <v>139</v>
      </c>
      <c r="F77" s="320" t="s">
        <v>136</v>
      </c>
      <c r="G77" s="266">
        <v>0.287051</v>
      </c>
      <c r="H77" s="266">
        <v>0.287051</v>
      </c>
      <c r="I77" s="266">
        <v>0.287051</v>
      </c>
      <c r="J77" s="266">
        <v>0.287051</v>
      </c>
      <c r="K77" s="266">
        <v>0.287051</v>
      </c>
      <c r="L77" s="266">
        <v>0.287051</v>
      </c>
      <c r="M77" s="456">
        <f>('INTRODUCIR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DATOS'!$D$17)+'INTRODUCIR DATOS'!$D$15+'INTRODUCIR DATOS'!$D$16+IF('INTRODUCIR DATOS'!$D$21=21%,(('INTRODUCIR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DATOS'!$D$17)+'INTRODUCIR DATOS'!$D$16)*21/100,IF('INTRODUCIR DATOS'!$D$21=10%,(('INTRODUCIR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DATOS'!$D$17)+'INTRODUCIR DATOS'!$D$16)*10/100))</f>
        <v>200.23307124864999</v>
      </c>
      <c r="N77" s="292">
        <f>IF(M77=0,"",'INTRODUCIR DATOS'!$D$14-M77)</f>
        <v>-86.083071248649986</v>
      </c>
      <c r="O77" s="271">
        <f>IF(M77=0,"",('INTRODUCIR DATOS'!$D$14-M77)/'INTRODUCIR DATOS'!$D$14)</f>
        <v>-0.75412239376828716</v>
      </c>
    </row>
    <row r="78" spans="2:15">
      <c r="B78" s="19">
        <v>78</v>
      </c>
      <c r="C78" s="572" t="s">
        <v>142</v>
      </c>
      <c r="D78" s="572" t="s">
        <v>58</v>
      </c>
      <c r="E78" s="350" t="s">
        <v>139</v>
      </c>
      <c r="F78" s="311" t="s">
        <v>134</v>
      </c>
      <c r="G78" s="267">
        <v>3.8308000000000002E-2</v>
      </c>
      <c r="H78" s="256">
        <v>3.2599999999999997E-2</v>
      </c>
      <c r="I78" s="257">
        <v>1.0965000000000001E-2</v>
      </c>
      <c r="J78" s="257">
        <v>1.549E-2</v>
      </c>
      <c r="K78" s="257">
        <v>1.2966E-2</v>
      </c>
      <c r="L78" s="258">
        <v>1.0962E-2</v>
      </c>
      <c r="M78" s="79"/>
      <c r="N78" s="40"/>
      <c r="O78" s="145"/>
    </row>
    <row r="79" spans="2:15">
      <c r="B79" s="44">
        <v>79</v>
      </c>
      <c r="C79" s="575" t="s">
        <v>142</v>
      </c>
      <c r="D79" s="572" t="s">
        <v>146</v>
      </c>
      <c r="E79" s="350" t="s">
        <v>139</v>
      </c>
      <c r="F79" s="320" t="s">
        <v>136</v>
      </c>
      <c r="G79" s="266">
        <v>0.27705099999999999</v>
      </c>
      <c r="H79" s="266">
        <v>0.27705099999999999</v>
      </c>
      <c r="I79" s="266">
        <v>0.27705099999999999</v>
      </c>
      <c r="J79" s="266">
        <v>0.27705099999999999</v>
      </c>
      <c r="K79" s="266">
        <v>0.27705099999999999</v>
      </c>
      <c r="L79" s="266">
        <v>0.27705099999999999</v>
      </c>
      <c r="M79" s="456">
        <f>('INTRODUCIR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DATOS'!$D$17)+'INTRODUCIR DATOS'!$D$15+'INTRODUCIR DATOS'!$D$16+IF('INTRODUCIR DATOS'!$D$21=21%,(('INTRODUCIR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DATOS'!$D$17)+'INTRODUCIR DATOS'!$D$16)*21/100,IF('INTRODUCIR DATOS'!$D$21=10%,(('INTRODUCIR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DATOS'!$D$17)+'INTRODUCIR DATOS'!$D$16)*10/100))</f>
        <v>127.75308630864998</v>
      </c>
      <c r="N79" s="292">
        <f>IF(M79=0,"",'INTRODUCIR DATOS'!$D$14-M79)</f>
        <v>-13.603086308649978</v>
      </c>
      <c r="O79" s="271">
        <f>IF(M79=0,"",('INTRODUCIR DATOS'!$D$14-M79)/'INTRODUCIR DATOS'!$D$14)</f>
        <v>-0.11916851781559332</v>
      </c>
    </row>
    <row r="80" spans="2:15">
      <c r="B80" s="19">
        <v>80</v>
      </c>
      <c r="C80" s="572" t="s">
        <v>142</v>
      </c>
      <c r="D80" s="572" t="s">
        <v>59</v>
      </c>
      <c r="E80" s="350" t="s">
        <v>139</v>
      </c>
      <c r="F80" s="311" t="s">
        <v>134</v>
      </c>
      <c r="G80" s="267">
        <v>3.8308000000000002E-2</v>
      </c>
      <c r="H80" s="256">
        <v>3.2599999999999997E-2</v>
      </c>
      <c r="I80" s="257">
        <v>1.0965000000000001E-2</v>
      </c>
      <c r="J80" s="257">
        <v>1.0011000000000001E-2</v>
      </c>
      <c r="K80" s="257">
        <v>7.4869999999999997E-3</v>
      </c>
      <c r="L80" s="258">
        <v>5.483E-3</v>
      </c>
      <c r="M80" s="79"/>
      <c r="N80" s="40"/>
      <c r="O80" s="145"/>
    </row>
    <row r="81" spans="2:15">
      <c r="B81" s="44">
        <v>81</v>
      </c>
      <c r="C81" s="575" t="s">
        <v>142</v>
      </c>
      <c r="D81" s="572" t="s">
        <v>73</v>
      </c>
      <c r="E81" s="350" t="s">
        <v>139</v>
      </c>
      <c r="F81" s="320" t="s">
        <v>136</v>
      </c>
      <c r="G81" s="266">
        <v>0.31468499999999999</v>
      </c>
      <c r="H81" s="253">
        <v>0.30168099999999998</v>
      </c>
      <c r="I81" s="253">
        <v>0.27819500000000003</v>
      </c>
      <c r="J81" s="254">
        <v>0.27125100000000002</v>
      </c>
      <c r="K81" s="254">
        <v>0.25512099999999999</v>
      </c>
      <c r="L81" s="255">
        <v>0.26487300000000003</v>
      </c>
      <c r="M81" s="456">
        <f>('INTRODUCIR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DATOS'!$D$17)+'INTRODUCIR DATOS'!$D$15+'INTRODUCIR DATOS'!$D$16+IF('INTRODUCIR DATOS'!$D$21=21%,(('INTRODUCIR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DATOS'!$D$17)+'INTRODUCIR DATOS'!$D$16)*21/100,IF('INTRODUCIR DATOS'!$D$21=10%,(('INTRODUCIR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DATOS'!$D$17)+'INTRODUCIR DATOS'!$D$16)*10/100))</f>
        <v>142.71818431254999</v>
      </c>
      <c r="N81" s="292">
        <f>IF(M81=0,"",'INTRODUCIR DATOS'!$D$14-M81)</f>
        <v>-28.568184312549988</v>
      </c>
      <c r="O81" s="271">
        <f>IF(M81=0,"",('INTRODUCIR DATOS'!$D$14-M81)/'INTRODUCIR DATOS'!$D$14)</f>
        <v>-0.25026880694305725</v>
      </c>
    </row>
    <row r="82" spans="2:15">
      <c r="B82" s="19">
        <v>82</v>
      </c>
      <c r="C82" s="572" t="s">
        <v>142</v>
      </c>
      <c r="D82" s="575"/>
      <c r="E82" s="350"/>
      <c r="F82" s="311" t="s">
        <v>134</v>
      </c>
      <c r="G82" s="267"/>
      <c r="H82" s="256"/>
      <c r="I82" s="257"/>
      <c r="J82" s="257"/>
      <c r="K82" s="257"/>
      <c r="L82" s="258"/>
      <c r="M82" s="79"/>
      <c r="N82" s="40"/>
      <c r="O82" s="145"/>
    </row>
    <row r="83" spans="2:15">
      <c r="B83" s="44">
        <v>83</v>
      </c>
      <c r="C83" s="575" t="s">
        <v>142</v>
      </c>
      <c r="D83" s="574"/>
      <c r="E83" s="350"/>
      <c r="F83" s="320" t="s">
        <v>136</v>
      </c>
      <c r="G83" s="266"/>
      <c r="H83" s="253"/>
      <c r="I83" s="253"/>
      <c r="J83" s="254"/>
      <c r="K83" s="254"/>
      <c r="L83" s="255"/>
      <c r="M83" s="456">
        <f>('INTRODUCIR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DATOS'!$D$17)+'INTRODUCIR DATOS'!$D$15+'INTRODUCIR DATOS'!$D$16+IF('INTRODUCIR DATOS'!$D$21=21%,(('INTRODUCIR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DATOS'!$D$17)+'INTRODUCIR DATOS'!$D$16)*21/100,IF('INTRODUCIR DATOS'!$D$21=10%,(('INTRODUCIR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DATOS'!$D$17)+'INTRODUCIR DATOS'!$D$16)*10/100))</f>
        <v>1.0285</v>
      </c>
      <c r="N83" s="292">
        <f>IF(M83=0,"",'INTRODUCIR DATOS'!$D$14-M83)</f>
        <v>113.12150000000001</v>
      </c>
      <c r="O83" s="271">
        <f>IF(M83=0,"",('INTRODUCIR DATOS'!$D$14-M83)/'INTRODUCIR DATOS'!$D$14)</f>
        <v>0.99098992553657472</v>
      </c>
    </row>
    <row r="84" spans="2:15">
      <c r="B84" s="19">
        <v>84</v>
      </c>
      <c r="C84" s="572" t="s">
        <v>142</v>
      </c>
      <c r="D84" s="575"/>
      <c r="E84" s="350"/>
      <c r="F84" s="311" t="s">
        <v>134</v>
      </c>
      <c r="G84" s="267"/>
      <c r="H84" s="256"/>
      <c r="I84" s="257"/>
      <c r="J84" s="257"/>
      <c r="K84" s="257"/>
      <c r="L84" s="258"/>
      <c r="M84" s="79"/>
      <c r="N84" s="40"/>
      <c r="O84" s="145"/>
    </row>
    <row r="85" spans="2:15">
      <c r="B85" s="44">
        <v>85</v>
      </c>
      <c r="C85" s="575" t="s">
        <v>142</v>
      </c>
      <c r="D85" s="574"/>
      <c r="E85" s="350"/>
      <c r="F85" s="320" t="s">
        <v>136</v>
      </c>
      <c r="G85" s="266"/>
      <c r="H85" s="253"/>
      <c r="I85" s="253"/>
      <c r="J85" s="254"/>
      <c r="K85" s="254"/>
      <c r="L85" s="255"/>
      <c r="M85" s="456">
        <f>('INTRODUCIR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DATOS'!$D$17)+'INTRODUCIR DATOS'!$D$15+'INTRODUCIR DATOS'!$D$16+IF('INTRODUCIR DATOS'!$D$21=21%,(('INTRODUCIR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DATOS'!$D$17)+'INTRODUCIR DATOS'!$D$16)*21/100,IF('INTRODUCIR DATOS'!$D$21=10%,(('INTRODUCIR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DATOS'!$D$17)+'INTRODUCIR DATOS'!$D$16)*10/100))</f>
        <v>1.0285</v>
      </c>
      <c r="N85" s="292">
        <f>IF(M85=0,"",'INTRODUCIR DATOS'!$D$14-M85)</f>
        <v>113.12150000000001</v>
      </c>
      <c r="O85" s="271">
        <f>IF(M85=0,"",('INTRODUCIR DATOS'!$D$14-M85)/'INTRODUCIR DATOS'!$D$14)</f>
        <v>0.99098992553657472</v>
      </c>
    </row>
    <row r="86" spans="2:15">
      <c r="B86" s="19">
        <v>86</v>
      </c>
      <c r="C86" s="572" t="s">
        <v>142</v>
      </c>
      <c r="D86" s="572"/>
      <c r="E86" s="350"/>
      <c r="F86" s="311" t="s">
        <v>134</v>
      </c>
      <c r="G86" s="267"/>
      <c r="H86" s="256"/>
      <c r="I86" s="257"/>
      <c r="J86" s="257"/>
      <c r="K86" s="257"/>
      <c r="L86" s="258"/>
      <c r="M86" s="79"/>
      <c r="N86" s="40"/>
      <c r="O86" s="145"/>
    </row>
    <row r="87" spans="2:15" ht="15" thickBot="1">
      <c r="B87" s="44">
        <v>87</v>
      </c>
      <c r="C87" s="575" t="s">
        <v>142</v>
      </c>
      <c r="D87" s="575"/>
      <c r="E87" s="429"/>
      <c r="F87" s="320" t="s">
        <v>136</v>
      </c>
      <c r="G87" s="268"/>
      <c r="H87" s="262"/>
      <c r="I87" s="262"/>
      <c r="J87" s="263"/>
      <c r="K87" s="263"/>
      <c r="L87" s="461"/>
      <c r="M87" s="462">
        <f>('INTRODUCIR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DATOS'!$D$17)+'INTRODUCIR DATOS'!$D$15+'INTRODUCIR DATOS'!$D$16+IF('INTRODUCIR DATOS'!$D$21=21%,(('INTRODUCIR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DATOS'!$D$17)+'INTRODUCIR DATOS'!$D$16)*21/100,IF('INTRODUCIR DATOS'!$D$21=10%,(('INTRODUCIR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DATOS'!$D$17)+'INTRODUCIR DATOS'!$D$16)*10/100))</f>
        <v>1.0285</v>
      </c>
      <c r="N87" s="299">
        <f>IF(M87=0,"",'INTRODUCIR DATOS'!$D$14-M87)</f>
        <v>113.12150000000001</v>
      </c>
      <c r="O87" s="284">
        <f>IF(M87=0,"",('INTRODUCIR DATOS'!$D$14-M87)/'INTRODUCIR DATOS'!$D$14)</f>
        <v>0.99098992553657472</v>
      </c>
    </row>
    <row r="88" spans="2:15">
      <c r="B88" s="19">
        <v>88</v>
      </c>
      <c r="C88" s="577" t="s">
        <v>32</v>
      </c>
      <c r="D88" s="578" t="s">
        <v>64</v>
      </c>
      <c r="E88" s="351" t="s">
        <v>34</v>
      </c>
      <c r="F88" s="452" t="s">
        <v>134</v>
      </c>
      <c r="G88" s="265">
        <v>8.1000000000000003E-2</v>
      </c>
      <c r="H88" s="250">
        <v>1.4999999999999999E-2</v>
      </c>
      <c r="I88" s="251"/>
      <c r="J88" s="251"/>
      <c r="K88" s="251"/>
      <c r="L88" s="252"/>
      <c r="M88" s="78"/>
      <c r="N88" s="21"/>
      <c r="O88" s="22"/>
    </row>
    <row r="89" spans="2:15">
      <c r="B89" s="44">
        <v>89</v>
      </c>
      <c r="C89" s="570" t="s">
        <v>32</v>
      </c>
      <c r="D89" s="572" t="s">
        <v>150</v>
      </c>
      <c r="E89" s="350" t="s">
        <v>34</v>
      </c>
      <c r="F89" s="453" t="s">
        <v>136</v>
      </c>
      <c r="G89" s="266">
        <v>0.28231400000000001</v>
      </c>
      <c r="H89" s="253">
        <v>0.22179599999999999</v>
      </c>
      <c r="I89" s="253">
        <v>0.19177900000000001</v>
      </c>
      <c r="J89" s="254"/>
      <c r="K89" s="254"/>
      <c r="L89" s="255"/>
      <c r="M89" s="456">
        <f>('INTRODUCIR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DATOS'!$D$17)+'INTRODUCIR DATOS'!$D$15+'INTRODUCIR DATOS'!$D$16+IF('INTRODUCIR DATOS'!$D$21=21%,(('INTRODUCIR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DATOS'!$D$17)+'INTRODUCIR DATOS'!$D$16)*21/100,IF('INTRODUCIR DATOS'!$D$21=10%,(('INTRODUCIR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DATOS'!$D$17)+'INTRODUCIR DATOS'!$D$16)*10/100))</f>
        <v>135.70442988189998</v>
      </c>
      <c r="N89" s="292">
        <f>IF(M89=0,"",'INTRODUCIR DATOS'!$D$14-M89)</f>
        <v>-21.554429881899978</v>
      </c>
      <c r="O89" s="271">
        <f>IF(M89=0,"",('INTRODUCIR DATOS'!$D$14-M89)/'INTRODUCIR DATOS'!$D$14)</f>
        <v>-0.18882549173806373</v>
      </c>
    </row>
    <row r="90" spans="2:15">
      <c r="B90" s="19">
        <v>90</v>
      </c>
      <c r="C90" s="570" t="s">
        <v>32</v>
      </c>
      <c r="D90" s="572" t="s">
        <v>66</v>
      </c>
      <c r="E90" s="350" t="s">
        <v>34</v>
      </c>
      <c r="F90" s="454" t="s">
        <v>134</v>
      </c>
      <c r="G90" s="267">
        <v>8.5999999999999993E-2</v>
      </c>
      <c r="H90" s="256">
        <v>0.02</v>
      </c>
      <c r="I90" s="257"/>
      <c r="J90" s="257"/>
      <c r="K90" s="257"/>
      <c r="L90" s="258"/>
      <c r="M90" s="79"/>
      <c r="N90" s="40"/>
      <c r="O90" s="145"/>
    </row>
    <row r="91" spans="2:15">
      <c r="B91" s="44">
        <v>91</v>
      </c>
      <c r="C91" s="570" t="s">
        <v>32</v>
      </c>
      <c r="D91" s="572" t="s">
        <v>151</v>
      </c>
      <c r="E91" s="350" t="s">
        <v>34</v>
      </c>
      <c r="F91" s="453" t="s">
        <v>136</v>
      </c>
      <c r="G91" s="266">
        <v>0.28531400000000001</v>
      </c>
      <c r="H91" s="253">
        <v>0.224796</v>
      </c>
      <c r="I91" s="253">
        <v>0.19477900000000001</v>
      </c>
      <c r="J91" s="254"/>
      <c r="K91" s="254"/>
      <c r="L91" s="255"/>
      <c r="M91" s="456">
        <f>('INTRODUCIR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DATOS'!$D$17)+'INTRODUCIR DATOS'!$D$15+'INTRODUCIR DATOS'!$D$16+IF('INTRODUCIR DATOS'!$D$21=21%,(('INTRODUCIR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DATOS'!$D$17)+'INTRODUCIR DATOS'!$D$16)*21/100,IF('INTRODUCIR DATOS'!$D$21=10%,(('INTRODUCIR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DATOS'!$D$17)+'INTRODUCIR DATOS'!$D$16)*10/100))</f>
        <v>139.23219093189999</v>
      </c>
      <c r="N91" s="292">
        <f>IF(M91=0,"",'INTRODUCIR DATOS'!$D$14-M91)</f>
        <v>-25.082190931899987</v>
      </c>
      <c r="O91" s="271">
        <f>IF(M91=0,"",('INTRODUCIR DATOS'!$D$14-M91)/'INTRODUCIR DATOS'!$D$14)</f>
        <v>-0.21973010014805069</v>
      </c>
    </row>
    <row r="92" spans="2:15">
      <c r="B92" s="19">
        <v>92</v>
      </c>
      <c r="C92" s="570" t="s">
        <v>32</v>
      </c>
      <c r="D92" s="572" t="s">
        <v>68</v>
      </c>
      <c r="E92" s="350" t="s">
        <v>34</v>
      </c>
      <c r="F92" s="454" t="s">
        <v>134</v>
      </c>
      <c r="G92" s="267">
        <v>8.8999999999999996E-2</v>
      </c>
      <c r="H92" s="256">
        <v>2.3E-2</v>
      </c>
      <c r="I92" s="257"/>
      <c r="J92" s="257"/>
      <c r="K92" s="257"/>
      <c r="L92" s="258"/>
      <c r="M92" s="79"/>
      <c r="N92" s="40"/>
      <c r="O92" s="145"/>
    </row>
    <row r="93" spans="2:15">
      <c r="B93" s="44">
        <v>93</v>
      </c>
      <c r="C93" s="570" t="s">
        <v>32</v>
      </c>
      <c r="D93" s="572" t="s">
        <v>152</v>
      </c>
      <c r="E93" s="350" t="s">
        <v>34</v>
      </c>
      <c r="F93" s="453" t="s">
        <v>136</v>
      </c>
      <c r="G93" s="253">
        <v>0.28631400000000001</v>
      </c>
      <c r="H93" s="253">
        <v>0.225796</v>
      </c>
      <c r="I93" s="253">
        <v>0.19577900000000001</v>
      </c>
      <c r="J93" s="254"/>
      <c r="K93" s="254"/>
      <c r="L93" s="255"/>
      <c r="M93" s="456">
        <f>('INTRODUCIR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DATOS'!$D$17)+'INTRODUCIR DATOS'!$D$15+'INTRODUCIR DATOS'!$D$16+IF('INTRODUCIR DATOS'!$D$21=21%,(('INTRODUCIR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DATOS'!$D$17)+'INTRODUCIR DATOS'!$D$16)*21/100,IF('INTRODUCIR DATOS'!$D$21=10%,(('INTRODUCIR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DATOS'!$D$17)+'INTRODUCIR DATOS'!$D$16)*10/100))</f>
        <v>141.03072888189999</v>
      </c>
      <c r="N93" s="292">
        <f>IF(M93=0,"",'INTRODUCIR DATOS'!$D$14-M93)</f>
        <v>-26.880728881899984</v>
      </c>
      <c r="O93" s="271">
        <f>IF(M93=0,"",('INTRODUCIR DATOS'!$D$14-M93)/'INTRODUCIR DATOS'!$D$14)</f>
        <v>-0.23548601736224251</v>
      </c>
    </row>
    <row r="94" spans="2:15">
      <c r="B94" s="19">
        <v>94</v>
      </c>
      <c r="C94" s="570" t="s">
        <v>32</v>
      </c>
      <c r="D94" s="572" t="s">
        <v>33</v>
      </c>
      <c r="E94" s="350" t="s">
        <v>34</v>
      </c>
      <c r="F94" s="454" t="s">
        <v>134</v>
      </c>
      <c r="G94" s="256">
        <v>8.1000000000000003E-2</v>
      </c>
      <c r="H94" s="256">
        <v>1.4999999999999999E-2</v>
      </c>
      <c r="I94" s="257"/>
      <c r="J94" s="257"/>
      <c r="K94" s="257"/>
      <c r="L94" s="258"/>
      <c r="M94" s="79"/>
      <c r="N94" s="40"/>
      <c r="O94" s="145"/>
    </row>
    <row r="95" spans="2:15">
      <c r="B95" s="44">
        <v>95</v>
      </c>
      <c r="C95" s="570" t="s">
        <v>32</v>
      </c>
      <c r="D95" s="572"/>
      <c r="E95" s="350" t="s">
        <v>34</v>
      </c>
      <c r="F95" s="453" t="s">
        <v>136</v>
      </c>
      <c r="G95" s="266">
        <v>0.227045</v>
      </c>
      <c r="H95" s="266">
        <v>0.227045</v>
      </c>
      <c r="I95" s="266">
        <v>0.227045</v>
      </c>
      <c r="J95" s="266">
        <v>0.227045</v>
      </c>
      <c r="K95" s="266">
        <v>0.227045</v>
      </c>
      <c r="L95" s="266">
        <v>0.227045</v>
      </c>
      <c r="M95" s="456">
        <f>('INTRODUCIR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DATOS'!$D$17)+'INTRODUCIR DATOS'!$D$15+'INTRODUCIR DATOS'!$D$16+IF('INTRODUCIR DATOS'!$D$21=21%,(('INTRODUCIR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DATOS'!$D$17)+'INTRODUCIR DATOS'!$D$16)*21/100,IF('INTRODUCIR DATOS'!$D$21=10%,(('INTRODUCIR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DATOS'!$D$17)+'INTRODUCIR DATOS'!$D$16)*10/100))</f>
        <v>113.72680322574998</v>
      </c>
      <c r="N95" s="292">
        <f>IF(M95=0,"",'INTRODUCIR DATOS'!$D$14-M95)</f>
        <v>0.42319677425003022</v>
      </c>
      <c r="O95" s="271">
        <f>IF(M95=0,"",('INTRODUCIR DATOS'!$D$14-M95)/'INTRODUCIR DATOS'!$D$14)</f>
        <v>3.7073742816472201E-3</v>
      </c>
    </row>
    <row r="96" spans="2:15">
      <c r="B96" s="19">
        <v>96</v>
      </c>
      <c r="C96" s="570" t="s">
        <v>32</v>
      </c>
      <c r="D96" s="572" t="s">
        <v>77</v>
      </c>
      <c r="E96" s="350" t="s">
        <v>34</v>
      </c>
      <c r="F96" s="454" t="s">
        <v>134</v>
      </c>
      <c r="G96" s="267">
        <v>8.5999999999999993E-2</v>
      </c>
      <c r="H96" s="256">
        <v>0.02</v>
      </c>
      <c r="I96" s="257"/>
      <c r="J96" s="257"/>
      <c r="K96" s="257"/>
      <c r="L96" s="258"/>
      <c r="M96" s="79"/>
      <c r="N96" s="40"/>
      <c r="O96" s="145"/>
    </row>
    <row r="97" spans="2:15">
      <c r="B97" s="44">
        <v>97</v>
      </c>
      <c r="C97" s="570" t="s">
        <v>32</v>
      </c>
      <c r="D97" s="572"/>
      <c r="E97" s="350" t="s">
        <v>34</v>
      </c>
      <c r="F97" s="453" t="s">
        <v>136</v>
      </c>
      <c r="G97" s="266">
        <v>0.230045</v>
      </c>
      <c r="H97" s="266">
        <v>0.230045</v>
      </c>
      <c r="I97" s="266">
        <v>0.230045</v>
      </c>
      <c r="J97" s="266">
        <v>0.230045</v>
      </c>
      <c r="K97" s="266">
        <v>0.230045</v>
      </c>
      <c r="L97" s="266">
        <v>0.230045</v>
      </c>
      <c r="M97" s="456">
        <f>('INTRODUCIR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DATOS'!$D$17)+'INTRODUCIR DATOS'!$D$15+'INTRODUCIR DATOS'!$D$16+IF('INTRODUCIR DATOS'!$D$21=21%,(('INTRODUCIR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DATOS'!$D$17)+'INTRODUCIR DATOS'!$D$16)*21/100,IF('INTRODUCIR DATOS'!$D$21=10%,(('INTRODUCIR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DATOS'!$D$17)+'INTRODUCIR DATOS'!$D$16)*10/100))</f>
        <v>117.25456427575001</v>
      </c>
      <c r="N97" s="292">
        <f>IF(M97=0,"",'INTRODUCIR DATOS'!$D$14-M97)</f>
        <v>-3.1045642757500076</v>
      </c>
      <c r="O97" s="271">
        <f>IF(M97=0,"",('INTRODUCIR DATOS'!$D$14-M97)/'INTRODUCIR DATOS'!$D$14)</f>
        <v>-2.7197234128339968E-2</v>
      </c>
    </row>
    <row r="98" spans="2:15">
      <c r="B98" s="19">
        <v>98</v>
      </c>
      <c r="C98" s="570" t="s">
        <v>32</v>
      </c>
      <c r="D98" s="572" t="s">
        <v>80</v>
      </c>
      <c r="E98" s="350" t="s">
        <v>34</v>
      </c>
      <c r="F98" s="454" t="s">
        <v>134</v>
      </c>
      <c r="G98" s="267">
        <v>8.8999999999999996E-2</v>
      </c>
      <c r="H98" s="256">
        <v>2.3E-2</v>
      </c>
      <c r="I98" s="257"/>
      <c r="J98" s="257"/>
      <c r="K98" s="257"/>
      <c r="L98" s="258"/>
      <c r="M98" s="79"/>
      <c r="N98" s="40"/>
      <c r="O98" s="145"/>
    </row>
    <row r="99" spans="2:15">
      <c r="B99" s="44">
        <v>99</v>
      </c>
      <c r="C99" s="570" t="s">
        <v>32</v>
      </c>
      <c r="D99" s="572"/>
      <c r="E99" s="350" t="s">
        <v>34</v>
      </c>
      <c r="F99" s="453" t="s">
        <v>136</v>
      </c>
      <c r="G99" s="266">
        <v>0.231045</v>
      </c>
      <c r="H99" s="266">
        <v>0.231045</v>
      </c>
      <c r="I99" s="266">
        <v>0.231045</v>
      </c>
      <c r="J99" s="266">
        <v>0.231045</v>
      </c>
      <c r="K99" s="266">
        <v>0.231045</v>
      </c>
      <c r="L99" s="266">
        <v>0.231045</v>
      </c>
      <c r="M99" s="456">
        <f>('INTRODUCIR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DATOS'!$D$17)+'INTRODUCIR DATOS'!$D$15+'INTRODUCIR DATOS'!$D$16+IF('INTRODUCIR DATOS'!$D$21=21%,(('INTRODUCIR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DATOS'!$D$17)+'INTRODUCIR DATOS'!$D$16)*21/100,IF('INTRODUCIR DATOS'!$D$21=10%,(('INTRODUCIR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DATOS'!$D$17)+'INTRODUCIR DATOS'!$D$16)*10/100))</f>
        <v>119.05310222575</v>
      </c>
      <c r="N99" s="292">
        <f>IF(M99=0,"",'INTRODUCIR DATOS'!$D$14-M99)</f>
        <v>-4.9031022257499899</v>
      </c>
      <c r="O99" s="271">
        <f>IF(M99=0,"",('INTRODUCIR DATOS'!$D$14-M99)/'INTRODUCIR DATOS'!$D$14)</f>
        <v>-4.2953151342531665E-2</v>
      </c>
    </row>
    <row r="100" spans="2:15">
      <c r="B100" s="19">
        <v>100</v>
      </c>
      <c r="C100" s="570" t="s">
        <v>32</v>
      </c>
      <c r="D100" s="583" t="s">
        <v>69</v>
      </c>
      <c r="E100" s="350" t="s">
        <v>34</v>
      </c>
      <c r="F100" s="454" t="s">
        <v>134</v>
      </c>
      <c r="G100" s="267">
        <v>6.9542739699999995E-2</v>
      </c>
      <c r="H100" s="256">
        <v>3.6786301399999999E-3</v>
      </c>
      <c r="I100" s="257"/>
      <c r="J100" s="257"/>
      <c r="K100" s="257"/>
      <c r="L100" s="258"/>
      <c r="M100" s="79"/>
      <c r="N100" s="40"/>
      <c r="O100" s="145"/>
    </row>
    <row r="101" spans="2:15">
      <c r="B101" s="44">
        <v>101</v>
      </c>
      <c r="C101" s="570" t="s">
        <v>32</v>
      </c>
      <c r="D101" s="583" t="s">
        <v>153</v>
      </c>
      <c r="E101" s="350" t="s">
        <v>34</v>
      </c>
      <c r="F101" s="453" t="s">
        <v>136</v>
      </c>
      <c r="G101" s="266">
        <v>0.28231400000000001</v>
      </c>
      <c r="H101" s="253">
        <v>0.22179599999999999</v>
      </c>
      <c r="I101" s="253">
        <v>0.19177900000000001</v>
      </c>
      <c r="J101" s="254"/>
      <c r="K101" s="254"/>
      <c r="L101" s="255"/>
      <c r="M101" s="456">
        <f>('INTRODUCIR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DATOS'!$D$17)+'INTRODUCIR DATOS'!$D$15+'INTRODUCIR DATOS'!$D$16+IF('INTRODUCIR DATOS'!$D$21=21%,(('INTRODUCIR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DATOS'!$D$17)+'INTRODUCIR DATOS'!$D$16)*21/100,IF('INTRODUCIR DATOS'!$D$21=10%,(('INTRODUCIR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DATOS'!$D$17)+'INTRODUCIR DATOS'!$D$16)*10/100))</f>
        <v>130.38603886633496</v>
      </c>
      <c r="N101" s="292">
        <f>IF(M101=0,"",'INTRODUCIR DATOS'!$D$14-M101)</f>
        <v>-16.236038866334951</v>
      </c>
      <c r="O101" s="271">
        <f>IF(M101=0,"",('INTRODUCIR DATOS'!$D$14-M101)/'INTRODUCIR DATOS'!$D$14)</f>
        <v>-0.14223424324428341</v>
      </c>
    </row>
    <row r="102" spans="2:15">
      <c r="B102" s="19">
        <v>102</v>
      </c>
      <c r="C102" s="570" t="s">
        <v>32</v>
      </c>
      <c r="D102" s="583" t="s">
        <v>70</v>
      </c>
      <c r="E102" s="350" t="s">
        <v>34</v>
      </c>
      <c r="F102" s="454" t="s">
        <v>134</v>
      </c>
      <c r="G102" s="267">
        <v>6.9542739719999996E-2</v>
      </c>
      <c r="H102" s="256">
        <v>3.6786301299999999E-3</v>
      </c>
      <c r="I102" s="257"/>
      <c r="J102" s="257"/>
      <c r="K102" s="257"/>
      <c r="L102" s="258"/>
      <c r="M102" s="79"/>
      <c r="N102" s="40"/>
      <c r="O102" s="145"/>
    </row>
    <row r="103" spans="2:15">
      <c r="B103" s="44">
        <v>103</v>
      </c>
      <c r="C103" s="570" t="s">
        <v>32</v>
      </c>
      <c r="D103" s="583" t="s">
        <v>150</v>
      </c>
      <c r="E103" s="350" t="s">
        <v>34</v>
      </c>
      <c r="F103" s="453" t="s">
        <v>136</v>
      </c>
      <c r="G103" s="266">
        <v>0.28531400000000001</v>
      </c>
      <c r="H103" s="253">
        <v>0.224796</v>
      </c>
      <c r="I103" s="253">
        <v>0.19477900000000001</v>
      </c>
      <c r="J103" s="254"/>
      <c r="K103" s="254"/>
      <c r="L103" s="255"/>
      <c r="M103" s="456">
        <f>('INTRODUCIR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DATOS'!$D$17)+'INTRODUCIR DATOS'!$D$15+'INTRODUCIR DATOS'!$D$16+IF('INTRODUCIR DATOS'!$D$21=21%,(('INTRODUCIR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DATOS'!$D$17)+'INTRODUCIR DATOS'!$D$16)*21/100,IF('INTRODUCIR DATOS'!$D$21=10%,(('INTRODUCIR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DATOS'!$D$17)+'INTRODUCIR DATOS'!$D$16)*10/100))</f>
        <v>131.57898391866976</v>
      </c>
      <c r="N103" s="292">
        <f>IF(M103=0,"",'INTRODUCIR DATOS'!$D$14-M103)</f>
        <v>-17.428983918669758</v>
      </c>
      <c r="O103" s="271">
        <f>IF(M103=0,"",('INTRODUCIR DATOS'!$D$14-M103)/'INTRODUCIR DATOS'!$D$14)</f>
        <v>-0.15268492263398822</v>
      </c>
    </row>
    <row r="104" spans="2:15">
      <c r="B104" s="19">
        <v>104</v>
      </c>
      <c r="C104" s="570" t="s">
        <v>32</v>
      </c>
      <c r="D104" s="583" t="s">
        <v>72</v>
      </c>
      <c r="E104" s="350" t="s">
        <v>34</v>
      </c>
      <c r="F104" s="454" t="s">
        <v>134</v>
      </c>
      <c r="G104" s="267">
        <v>6.9542739719999996E-2</v>
      </c>
      <c r="H104" s="256">
        <v>3.6786301299999999E-3</v>
      </c>
      <c r="I104" s="257"/>
      <c r="J104" s="257"/>
      <c r="K104" s="257"/>
      <c r="L104" s="258"/>
      <c r="M104" s="79"/>
      <c r="N104" s="40"/>
      <c r="O104" s="145"/>
    </row>
    <row r="105" spans="2:15">
      <c r="B105" s="44">
        <v>105</v>
      </c>
      <c r="C105" s="570" t="s">
        <v>32</v>
      </c>
      <c r="D105" s="583" t="s">
        <v>151</v>
      </c>
      <c r="E105" s="350" t="s">
        <v>34</v>
      </c>
      <c r="F105" s="453" t="s">
        <v>136</v>
      </c>
      <c r="G105" s="266">
        <v>0.28631400000000001</v>
      </c>
      <c r="H105" s="253">
        <v>0.225796</v>
      </c>
      <c r="I105" s="253">
        <v>0.19577900000000001</v>
      </c>
      <c r="J105" s="254"/>
      <c r="K105" s="254"/>
      <c r="L105" s="255"/>
      <c r="M105" s="456">
        <f>('INTRODUCIR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DATOS'!$D$17)+'INTRODUCIR DATOS'!$D$15+'INTRODUCIR DATOS'!$D$16+IF('INTRODUCIR DATOS'!$D$21=21%,(('INTRODUCIR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DATOS'!$D$17)+'INTRODUCIR DATOS'!$D$16)*21/100,IF('INTRODUCIR DATOS'!$D$21=10%,(('INTRODUCIR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DATOS'!$D$17)+'INTRODUCIR DATOS'!$D$16)*10/100))</f>
        <v>131.97663226866976</v>
      </c>
      <c r="N105" s="292">
        <f>IF(M105=0,"",'INTRODUCIR DATOS'!$D$14-M105)</f>
        <v>-17.826632268669755</v>
      </c>
      <c r="O105" s="271">
        <f>IF(M105=0,"",('INTRODUCIR DATOS'!$D$14-M105)/'INTRODUCIR DATOS'!$D$14)</f>
        <v>-0.15616848242373854</v>
      </c>
    </row>
    <row r="106" spans="2:15">
      <c r="B106" s="19">
        <v>106</v>
      </c>
      <c r="C106" s="570" t="s">
        <v>32</v>
      </c>
      <c r="D106" s="572" t="s">
        <v>82</v>
      </c>
      <c r="E106" s="350" t="s">
        <v>34</v>
      </c>
      <c r="F106" s="454" t="s">
        <v>134</v>
      </c>
      <c r="G106" s="267">
        <v>6.9542739719999996E-2</v>
      </c>
      <c r="H106" s="256">
        <v>3.6786301299999999E-3</v>
      </c>
      <c r="I106" s="253"/>
      <c r="J106" s="254"/>
      <c r="K106" s="254"/>
      <c r="L106" s="255"/>
      <c r="M106" s="79"/>
      <c r="N106" s="40"/>
      <c r="O106" s="145"/>
    </row>
    <row r="107" spans="2:15">
      <c r="B107" s="44">
        <v>107</v>
      </c>
      <c r="C107" s="570" t="s">
        <v>32</v>
      </c>
      <c r="D107" s="572" t="s">
        <v>153</v>
      </c>
      <c r="E107" s="350" t="s">
        <v>34</v>
      </c>
      <c r="F107" s="453" t="s">
        <v>136</v>
      </c>
      <c r="G107" s="266">
        <v>0.227045</v>
      </c>
      <c r="H107" s="266">
        <v>0.227045</v>
      </c>
      <c r="I107" s="266">
        <v>0.227045</v>
      </c>
      <c r="J107" s="266">
        <v>0.227045</v>
      </c>
      <c r="K107" s="266">
        <v>0.227045</v>
      </c>
      <c r="L107" s="266">
        <v>0.227045</v>
      </c>
      <c r="M107" s="456">
        <f>('INTRODUCIR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DATOS'!$D$17)+'INTRODUCIR DATOS'!$D$15+'INTRODUCIR DATOS'!$D$16+IF('INTRODUCIR DATOS'!$D$21=21%,(('INTRODUCIR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DATOS'!$D$17)+'INTRODUCIR DATOS'!$D$16)*21/100,IF('INTRODUCIR DATOS'!$D$21=10%,(('INTRODUCIR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DATOS'!$D$17)+'INTRODUCIR DATOS'!$D$16)*10/100))</f>
        <v>108.40841221251975</v>
      </c>
      <c r="N107" s="292">
        <f>IF(M107=0,"",'INTRODUCIR DATOS'!$D$14-M107)</f>
        <v>5.7415877874802561</v>
      </c>
      <c r="O107" s="271">
        <f>IF(M107=0,"",('INTRODUCIR DATOS'!$D$14-M107)/'INTRODUCIR DATOS'!$D$14)</f>
        <v>5.0298622754973772E-2</v>
      </c>
    </row>
    <row r="108" spans="2:15">
      <c r="B108" s="19">
        <v>108</v>
      </c>
      <c r="C108" s="570" t="s">
        <v>32</v>
      </c>
      <c r="D108" s="572" t="s">
        <v>83</v>
      </c>
      <c r="E108" s="350" t="s">
        <v>34</v>
      </c>
      <c r="F108" s="454" t="s">
        <v>134</v>
      </c>
      <c r="G108" s="267">
        <v>6.9542739719999996E-2</v>
      </c>
      <c r="H108" s="256">
        <v>3.6786301299999999E-3</v>
      </c>
      <c r="I108" s="253"/>
      <c r="J108" s="254"/>
      <c r="K108" s="254"/>
      <c r="L108" s="255"/>
      <c r="M108" s="79"/>
      <c r="N108" s="40"/>
      <c r="O108" s="145"/>
    </row>
    <row r="109" spans="2:15">
      <c r="B109" s="44">
        <v>109</v>
      </c>
      <c r="C109" s="570" t="s">
        <v>32</v>
      </c>
      <c r="D109" s="572" t="s">
        <v>150</v>
      </c>
      <c r="E109" s="350" t="s">
        <v>34</v>
      </c>
      <c r="F109" s="453" t="s">
        <v>136</v>
      </c>
      <c r="G109" s="266">
        <v>0.230045</v>
      </c>
      <c r="H109" s="266">
        <v>0.230045</v>
      </c>
      <c r="I109" s="266">
        <v>0.230045</v>
      </c>
      <c r="J109" s="266">
        <v>0.230045</v>
      </c>
      <c r="K109" s="266">
        <v>0.230045</v>
      </c>
      <c r="L109" s="266">
        <v>0.230045</v>
      </c>
      <c r="M109" s="456">
        <f>('INTRODUCIR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DATOS'!$D$17)+'INTRODUCIR DATOS'!$D$15+'INTRODUCIR DATOS'!$D$16+IF('INTRODUCIR DATOS'!$D$21=21%,(('INTRODUCIR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DATOS'!$D$17)+'INTRODUCIR DATOS'!$D$16)*21/100,IF('INTRODUCIR DATOS'!$D$21=10%,(('INTRODUCIR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DATOS'!$D$17)+'INTRODUCIR DATOS'!$D$16)*10/100))</f>
        <v>109.60135726251977</v>
      </c>
      <c r="N109" s="292">
        <f>IF(M109=0,"",'INTRODUCIR DATOS'!$D$14-M109)</f>
        <v>4.5486427374802361</v>
      </c>
      <c r="O109" s="271">
        <f>IF(M109=0,"",('INTRODUCIR DATOS'!$D$14-M109)/'INTRODUCIR DATOS'!$D$14)</f>
        <v>3.984794338572261E-2</v>
      </c>
    </row>
    <row r="110" spans="2:15">
      <c r="B110" s="19">
        <v>110</v>
      </c>
      <c r="C110" s="570" t="s">
        <v>32</v>
      </c>
      <c r="D110" s="572" t="s">
        <v>85</v>
      </c>
      <c r="E110" s="350" t="s">
        <v>34</v>
      </c>
      <c r="F110" s="454" t="s">
        <v>134</v>
      </c>
      <c r="G110" s="267">
        <v>6.9542739719999996E-2</v>
      </c>
      <c r="H110" s="256">
        <v>3.6786301299999999E-3</v>
      </c>
      <c r="I110" s="253"/>
      <c r="J110" s="254"/>
      <c r="K110" s="254"/>
      <c r="L110" s="255"/>
      <c r="M110" s="79"/>
      <c r="N110" s="40"/>
      <c r="O110" s="145"/>
    </row>
    <row r="111" spans="2:15">
      <c r="B111" s="44">
        <v>111</v>
      </c>
      <c r="C111" s="570" t="s">
        <v>32</v>
      </c>
      <c r="D111" s="572" t="s">
        <v>151</v>
      </c>
      <c r="E111" s="350" t="s">
        <v>34</v>
      </c>
      <c r="F111" s="453" t="s">
        <v>136</v>
      </c>
      <c r="G111" s="266">
        <v>0.231045</v>
      </c>
      <c r="H111" s="266">
        <v>0.231045</v>
      </c>
      <c r="I111" s="266">
        <v>0.231045</v>
      </c>
      <c r="J111" s="266">
        <v>0.231045</v>
      </c>
      <c r="K111" s="266">
        <v>0.231045</v>
      </c>
      <c r="L111" s="266">
        <v>0.231045</v>
      </c>
      <c r="M111" s="456">
        <f>('INTRODUCIR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DATOS'!$D$17)+'INTRODUCIR DATOS'!$D$15+'INTRODUCIR DATOS'!$D$16+IF('INTRODUCIR DATOS'!$D$21=21%,(('INTRODUCIR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DATOS'!$D$17)+'INTRODUCIR DATOS'!$D$16)*21/100,IF('INTRODUCIR DATOS'!$D$21=10%,(('INTRODUCIR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DATOS'!$D$17)+'INTRODUCIR DATOS'!$D$16)*10/100))</f>
        <v>109.99900561251975</v>
      </c>
      <c r="N111" s="292">
        <f>IF(M111=0,"",'INTRODUCIR DATOS'!$D$14-M111)</f>
        <v>4.1509943874802531</v>
      </c>
      <c r="O111" s="271">
        <f>IF(M111=0,"",('INTRODUCIR DATOS'!$D$14-M111)/'INTRODUCIR DATOS'!$D$14)</f>
        <v>3.6364383595972431E-2</v>
      </c>
    </row>
    <row r="112" spans="2:15">
      <c r="B112" s="19">
        <v>112</v>
      </c>
      <c r="C112" s="570" t="s">
        <v>32</v>
      </c>
      <c r="D112" s="572" t="s">
        <v>64</v>
      </c>
      <c r="E112" s="350" t="s">
        <v>139</v>
      </c>
      <c r="F112" s="454" t="s">
        <v>134</v>
      </c>
      <c r="G112" s="267">
        <v>4.2000000000000003E-2</v>
      </c>
      <c r="H112" s="256">
        <v>3.5999999999999997E-2</v>
      </c>
      <c r="I112" s="257">
        <v>1.4999999999999999E-2</v>
      </c>
      <c r="J112" s="257">
        <v>1.4E-2</v>
      </c>
      <c r="K112" s="257">
        <v>1.0999999999999999E-2</v>
      </c>
      <c r="L112" s="258">
        <v>8.9999999999999993E-3</v>
      </c>
      <c r="M112" s="79"/>
      <c r="N112" s="40"/>
      <c r="O112" s="145"/>
    </row>
    <row r="113" spans="2:15">
      <c r="B113" s="44">
        <v>113</v>
      </c>
      <c r="C113" s="570" t="s">
        <v>32</v>
      </c>
      <c r="D113" s="572" t="s">
        <v>150</v>
      </c>
      <c r="E113" s="350" t="s">
        <v>139</v>
      </c>
      <c r="F113" s="453" t="s">
        <v>136</v>
      </c>
      <c r="G113" s="266">
        <v>0.26893899999999998</v>
      </c>
      <c r="H113" s="253">
        <v>0.23178299999999999</v>
      </c>
      <c r="I113" s="253">
        <v>0.20199700000000001</v>
      </c>
      <c r="J113" s="254">
        <v>0.19149099999999999</v>
      </c>
      <c r="K113" s="254">
        <v>0.170766</v>
      </c>
      <c r="L113" s="255">
        <v>0.183563</v>
      </c>
      <c r="M113" s="456">
        <f>('INTRODUCIR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DATOS'!$D$17)+'INTRODUCIR DATOS'!$D$15+'INTRODUCIR DATOS'!$D$16+IF('INTRODUCIR DATOS'!$D$21=21%,(('INTRODUCIR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DATOS'!$D$17)+'INTRODUCIR DATOS'!$D$16)*21/100,IF('INTRODUCIR DATOS'!$D$21=10%,(('INTRODUCIR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DATOS'!$D$17)+'INTRODUCIR DATOS'!$D$16)*10/100))</f>
        <v>126.18321440064997</v>
      </c>
      <c r="N113" s="292">
        <f>IF(M113=0,"",'INTRODUCIR DATOS'!$D$14-M113)</f>
        <v>-12.033214400649968</v>
      </c>
      <c r="O113" s="271">
        <f>IF(M113=0,"",('INTRODUCIR DATOS'!$D$14-M113)/'INTRODUCIR DATOS'!$D$14)</f>
        <v>-0.10541580727682845</v>
      </c>
    </row>
    <row r="114" spans="2:15">
      <c r="B114" s="19">
        <v>114</v>
      </c>
      <c r="C114" s="570" t="s">
        <v>32</v>
      </c>
      <c r="D114" s="572" t="s">
        <v>66</v>
      </c>
      <c r="E114" s="350" t="s">
        <v>139</v>
      </c>
      <c r="F114" s="454" t="s">
        <v>134</v>
      </c>
      <c r="G114" s="267">
        <v>4.3999999999999997E-2</v>
      </c>
      <c r="H114" s="256">
        <v>3.7999999999999999E-2</v>
      </c>
      <c r="I114" s="257">
        <v>1.6E-2</v>
      </c>
      <c r="J114" s="257">
        <v>1.4999999999999999E-2</v>
      </c>
      <c r="K114" s="257">
        <v>1.2999999999999999E-2</v>
      </c>
      <c r="L114" s="258">
        <v>1.0999999999999999E-2</v>
      </c>
      <c r="M114" s="79"/>
      <c r="N114" s="40"/>
      <c r="O114" s="145"/>
    </row>
    <row r="115" spans="2:15">
      <c r="B115" s="44">
        <v>115</v>
      </c>
      <c r="C115" s="570" t="s">
        <v>32</v>
      </c>
      <c r="D115" s="572" t="s">
        <v>151</v>
      </c>
      <c r="E115" s="350" t="s">
        <v>139</v>
      </c>
      <c r="F115" s="453" t="s">
        <v>136</v>
      </c>
      <c r="G115" s="266">
        <v>0.26993899999999998</v>
      </c>
      <c r="H115" s="253">
        <v>0.23278299999999999</v>
      </c>
      <c r="I115" s="253">
        <v>0.20299700000000001</v>
      </c>
      <c r="J115" s="253">
        <v>0.192491</v>
      </c>
      <c r="K115" s="253">
        <v>0.171766</v>
      </c>
      <c r="L115" s="458">
        <v>0.184563</v>
      </c>
      <c r="M115" s="456">
        <f>('INTRODUCIR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DATOS'!$D$17)+'INTRODUCIR DATOS'!$D$15+'INTRODUCIR DATOS'!$D$16+IF('INTRODUCIR DATOS'!$D$21=21%,(('INTRODUCIR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DATOS'!$D$17)+'INTRODUCIR DATOS'!$D$16)*21/100,IF('INTRODUCIR DATOS'!$D$21=10%,(('INTRODUCIR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DATOS'!$D$17)+'INTRODUCIR DATOS'!$D$16)*10/100))</f>
        <v>127.51478915064999</v>
      </c>
      <c r="N115" s="292">
        <f>IF(M115=0,"",'INTRODUCIR DATOS'!$D$14-M115)</f>
        <v>-13.364789150649983</v>
      </c>
      <c r="O115" s="271">
        <f>IF(M115=0,"",('INTRODUCIR DATOS'!$D$14-M115)/'INTRODUCIR DATOS'!$D$14)</f>
        <v>-0.11708093868287325</v>
      </c>
    </row>
    <row r="116" spans="2:15">
      <c r="B116" s="19">
        <v>116</v>
      </c>
      <c r="C116" s="570" t="s">
        <v>32</v>
      </c>
      <c r="D116" s="572" t="s">
        <v>68</v>
      </c>
      <c r="E116" s="350" t="s">
        <v>139</v>
      </c>
      <c r="F116" s="454" t="s">
        <v>134</v>
      </c>
      <c r="G116" s="267">
        <v>4.3999999999999997E-2</v>
      </c>
      <c r="H116" s="256">
        <v>3.9E-2</v>
      </c>
      <c r="I116" s="257">
        <v>1.7000000000000001E-2</v>
      </c>
      <c r="J116" s="257">
        <v>1.6E-2</v>
      </c>
      <c r="K116" s="257">
        <v>1.2999999999999999E-2</v>
      </c>
      <c r="L116" s="258">
        <v>1.0999999999999999E-2</v>
      </c>
      <c r="M116" s="79"/>
      <c r="N116" s="40"/>
      <c r="O116" s="145"/>
    </row>
    <row r="117" spans="2:15">
      <c r="B117" s="44">
        <v>117</v>
      </c>
      <c r="C117" s="570" t="s">
        <v>32</v>
      </c>
      <c r="D117" s="572" t="s">
        <v>152</v>
      </c>
      <c r="E117" s="350" t="s">
        <v>139</v>
      </c>
      <c r="F117" s="453" t="s">
        <v>136</v>
      </c>
      <c r="G117" s="266">
        <v>0.27193899999999999</v>
      </c>
      <c r="H117" s="253">
        <v>0.23478299999999999</v>
      </c>
      <c r="I117" s="253">
        <v>0.20499700000000001</v>
      </c>
      <c r="J117" s="253">
        <v>0.194491</v>
      </c>
      <c r="K117" s="253">
        <v>0.173766</v>
      </c>
      <c r="L117" s="458">
        <v>0.18656300000000001</v>
      </c>
      <c r="M117" s="456">
        <f>('INTRODUCIR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DATOS'!$D$17)+'INTRODUCIR DATOS'!$D$15+'INTRODUCIR DATOS'!$D$16+IF('INTRODUCIR DATOS'!$D$21=21%,(('INTRODUCIR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DATOS'!$D$17)+'INTRODUCIR DATOS'!$D$16)*21/100,IF('INTRODUCIR DATOS'!$D$21=10%,(('INTRODUCIR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DATOS'!$D$17)+'INTRODUCIR DATOS'!$D$16)*10/100))</f>
        <v>128.54356745064999</v>
      </c>
      <c r="N117" s="292">
        <f>IF(M117=0,"",'INTRODUCIR DATOS'!$D$14-M117)</f>
        <v>-14.393567450649982</v>
      </c>
      <c r="O117" s="271">
        <f>IF(M117=0,"",('INTRODUCIR DATOS'!$D$14-M117)/'INTRODUCIR DATOS'!$D$14)</f>
        <v>-0.12609345116644749</v>
      </c>
    </row>
    <row r="118" spans="2:15">
      <c r="B118" s="19">
        <v>118</v>
      </c>
      <c r="C118" s="570" t="s">
        <v>32</v>
      </c>
      <c r="D118" s="572" t="s">
        <v>33</v>
      </c>
      <c r="E118" s="350" t="s">
        <v>139</v>
      </c>
      <c r="F118" s="454" t="s">
        <v>134</v>
      </c>
      <c r="G118" s="267">
        <v>4.2000000000000003E-2</v>
      </c>
      <c r="H118" s="256">
        <v>3.5999999999999997E-2</v>
      </c>
      <c r="I118" s="257">
        <v>1.4999999999999999E-2</v>
      </c>
      <c r="J118" s="257">
        <v>1.4E-2</v>
      </c>
      <c r="K118" s="257">
        <v>1.0999999999999999E-2</v>
      </c>
      <c r="L118" s="258">
        <v>8.9999999999999993E-3</v>
      </c>
      <c r="M118" s="79"/>
      <c r="N118" s="40"/>
      <c r="O118" s="145"/>
    </row>
    <row r="119" spans="2:15">
      <c r="B119" s="44">
        <v>119</v>
      </c>
      <c r="C119" s="570" t="s">
        <v>32</v>
      </c>
      <c r="D119" s="572"/>
      <c r="E119" s="350" t="s">
        <v>139</v>
      </c>
      <c r="F119" s="453" t="s">
        <v>136</v>
      </c>
      <c r="G119" s="266">
        <v>0.20799000000000001</v>
      </c>
      <c r="H119" s="266">
        <v>0.20799000000000001</v>
      </c>
      <c r="I119" s="266">
        <v>0.20799000000000001</v>
      </c>
      <c r="J119" s="266">
        <v>0.20799000000000001</v>
      </c>
      <c r="K119" s="266">
        <v>0.20799000000000001</v>
      </c>
      <c r="L119" s="266">
        <v>0.20799000000000001</v>
      </c>
      <c r="M119" s="456">
        <f>('INTRODUCIR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DATOS'!$D$17)+'INTRODUCIR DATOS'!$D$15+'INTRODUCIR DATOS'!$D$16+IF('INTRODUCIR DATOS'!$D$21=21%,(('INTRODUCIR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DATOS'!$D$17)+'INTRODUCIR DATOS'!$D$16)*21/100,IF('INTRODUCIR DATOS'!$D$21=10%,(('INTRODUCIR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DATOS'!$D$17)+'INTRODUCIR DATOS'!$D$16)*10/100))</f>
        <v>101.94694511649999</v>
      </c>
      <c r="N119" s="292">
        <f>IF(M119=0,"",'INTRODUCIR DATOS'!$D$14-M119)</f>
        <v>12.203054883500016</v>
      </c>
      <c r="O119" s="271">
        <f>IF(M119=0,"",('INTRODUCIR DATOS'!$D$14-M119)/'INTRODUCIR DATOS'!$D$14)</f>
        <v>0.10690367834866417</v>
      </c>
    </row>
    <row r="120" spans="2:15">
      <c r="B120" s="19">
        <v>120</v>
      </c>
      <c r="C120" s="570" t="s">
        <v>32</v>
      </c>
      <c r="D120" s="572" t="s">
        <v>77</v>
      </c>
      <c r="E120" s="350" t="s">
        <v>139</v>
      </c>
      <c r="F120" s="454" t="s">
        <v>134</v>
      </c>
      <c r="G120" s="267">
        <v>4.3999999999999997E-2</v>
      </c>
      <c r="H120" s="256">
        <v>3.7999999999999999E-2</v>
      </c>
      <c r="I120" s="257">
        <v>1.6E-2</v>
      </c>
      <c r="J120" s="257">
        <v>1.4999999999999999E-2</v>
      </c>
      <c r="K120" s="257">
        <v>1.2999999999999999E-2</v>
      </c>
      <c r="L120" s="258">
        <v>1.0999999999999999E-2</v>
      </c>
      <c r="M120" s="79"/>
      <c r="N120" s="40"/>
      <c r="O120" s="145"/>
    </row>
    <row r="121" spans="2:15">
      <c r="B121" s="44">
        <v>121</v>
      </c>
      <c r="C121" s="570" t="s">
        <v>32</v>
      </c>
      <c r="D121" s="572"/>
      <c r="E121" s="350" t="s">
        <v>139</v>
      </c>
      <c r="F121" s="453" t="s">
        <v>136</v>
      </c>
      <c r="G121" s="266">
        <v>0.20899000000000001</v>
      </c>
      <c r="H121" s="266">
        <v>0.20899000000000001</v>
      </c>
      <c r="I121" s="266">
        <v>0.20899000000000001</v>
      </c>
      <c r="J121" s="266">
        <v>0.20899000000000001</v>
      </c>
      <c r="K121" s="266">
        <v>0.20899000000000001</v>
      </c>
      <c r="L121" s="266">
        <v>0.20899000000000001</v>
      </c>
      <c r="M121" s="456">
        <f>('INTRODUCIR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DATOS'!$D$17)+'INTRODUCIR DATOS'!$D$15+'INTRODUCIR DATOS'!$D$16+IF('INTRODUCIR DATOS'!$D$21=21%,(('INTRODUCIR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DATOS'!$D$17)+'INTRODUCIR DATOS'!$D$16)*21/100,IF('INTRODUCIR DATOS'!$D$21=10%,(('INTRODUCIR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DATOS'!$D$17)+'INTRODUCIR DATOS'!$D$16)*10/100))</f>
        <v>103.27851986650001</v>
      </c>
      <c r="N121" s="292">
        <f>IF(M121=0,"",'INTRODUCIR DATOS'!$D$14-M121)</f>
        <v>10.8714801335</v>
      </c>
      <c r="O121" s="271">
        <f>IF(M121=0,"",('INTRODUCIR DATOS'!$D$14-M121)/'INTRODUCIR DATOS'!$D$14)</f>
        <v>9.5238546942619365E-2</v>
      </c>
    </row>
    <row r="122" spans="2:15">
      <c r="B122" s="19">
        <v>122</v>
      </c>
      <c r="C122" s="570" t="s">
        <v>32</v>
      </c>
      <c r="D122" s="572" t="s">
        <v>80</v>
      </c>
      <c r="E122" s="350" t="s">
        <v>139</v>
      </c>
      <c r="F122" s="454" t="s">
        <v>134</v>
      </c>
      <c r="G122" s="267">
        <v>4.3999999999999997E-2</v>
      </c>
      <c r="H122" s="256">
        <v>3.9E-2</v>
      </c>
      <c r="I122" s="257">
        <v>1.7000000000000001E-2</v>
      </c>
      <c r="J122" s="257">
        <v>1.6E-2</v>
      </c>
      <c r="K122" s="257">
        <v>1.2999999999999999E-2</v>
      </c>
      <c r="L122" s="258">
        <v>1.0999999999999999E-2</v>
      </c>
      <c r="M122" s="79"/>
      <c r="N122" s="40"/>
      <c r="O122" s="145"/>
    </row>
    <row r="123" spans="2:15">
      <c r="B123" s="44">
        <v>123</v>
      </c>
      <c r="C123" s="570" t="s">
        <v>32</v>
      </c>
      <c r="D123" s="572"/>
      <c r="E123" s="350" t="s">
        <v>139</v>
      </c>
      <c r="F123" s="453" t="s">
        <v>136</v>
      </c>
      <c r="G123" s="266">
        <v>0.21099000000000001</v>
      </c>
      <c r="H123" s="266">
        <v>0.21099000000000001</v>
      </c>
      <c r="I123" s="266">
        <v>0.21099000000000001</v>
      </c>
      <c r="J123" s="266">
        <v>0.21099000000000001</v>
      </c>
      <c r="K123" s="266">
        <v>0.21099000000000001</v>
      </c>
      <c r="L123" s="266">
        <v>0.21099000000000001</v>
      </c>
      <c r="M123" s="456">
        <f>('INTRODUCIR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DATOS'!$D$17)+'INTRODUCIR DATOS'!$D$15+'INTRODUCIR DATOS'!$D$16+IF('INTRODUCIR DATOS'!$D$21=21%,(('INTRODUCIR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DATOS'!$D$17)+'INTRODUCIR DATOS'!$D$16)*21/100,IF('INTRODUCIR DATOS'!$D$21=10%,(('INTRODUCIR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DATOS'!$D$17)+'INTRODUCIR DATOS'!$D$16)*10/100))</f>
        <v>104.30729816649999</v>
      </c>
      <c r="N123" s="292">
        <f>IF(M123=0,"",'INTRODUCIR DATOS'!$D$14-M123)</f>
        <v>9.8427018335000156</v>
      </c>
      <c r="O123" s="271">
        <f>IF(M123=0,"",('INTRODUCIR DATOS'!$D$14-M123)/'INTRODUCIR DATOS'!$D$14)</f>
        <v>8.6226034459045253E-2</v>
      </c>
    </row>
    <row r="124" spans="2:15">
      <c r="B124" s="19">
        <v>124</v>
      </c>
      <c r="C124" s="570" t="s">
        <v>32</v>
      </c>
      <c r="D124" s="572" t="s">
        <v>69</v>
      </c>
      <c r="E124" s="350" t="s">
        <v>139</v>
      </c>
      <c r="F124" s="454" t="s">
        <v>134</v>
      </c>
      <c r="G124" s="267">
        <v>3.8308219169999998E-2</v>
      </c>
      <c r="H124" s="256">
        <v>3.2600273970000003E-2</v>
      </c>
      <c r="I124" s="257">
        <v>1.0964383560000001E-2</v>
      </c>
      <c r="J124" s="257">
        <v>1.00109589E-2</v>
      </c>
      <c r="K124" s="257">
        <v>7.4868493099999999E-3</v>
      </c>
      <c r="L124" s="258">
        <v>5.4824657500000002E-3</v>
      </c>
      <c r="M124" s="79"/>
      <c r="N124" s="40"/>
      <c r="O124" s="145"/>
    </row>
    <row r="125" spans="2:15">
      <c r="B125" s="44">
        <v>125</v>
      </c>
      <c r="C125" s="570" t="s">
        <v>32</v>
      </c>
      <c r="D125" s="572" t="s">
        <v>153</v>
      </c>
      <c r="E125" s="350" t="s">
        <v>139</v>
      </c>
      <c r="F125" s="453" t="s">
        <v>136</v>
      </c>
      <c r="G125" s="266">
        <v>0.26893899999999998</v>
      </c>
      <c r="H125" s="266">
        <v>0.23178299999999999</v>
      </c>
      <c r="I125" s="266">
        <v>0.20199700000000001</v>
      </c>
      <c r="J125" s="266">
        <v>0.19149099999999999</v>
      </c>
      <c r="K125" s="266">
        <v>0.17046600000000001</v>
      </c>
      <c r="L125" s="266">
        <v>0.183563</v>
      </c>
      <c r="M125" s="456">
        <f>('INTRODUCIR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DATOS'!$D$17)+'INTRODUCIR DATOS'!$D$15+'INTRODUCIR DATOS'!$D$16+IF('INTRODUCIR DATOS'!$D$21=21%,(('INTRODUCIR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DATOS'!$D$17)+'INTRODUCIR DATOS'!$D$16)*21/100,IF('INTRODUCIR DATOS'!$D$21=10%,(('INTRODUCIR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DATOS'!$D$17)+'INTRODUCIR DATOS'!$D$16)*10/100))</f>
        <v>124.52747803256619</v>
      </c>
      <c r="N125" s="292">
        <f>IF(M125=0,"",'INTRODUCIR DATOS'!$D$14-M125)</f>
        <v>-10.377478032566188</v>
      </c>
      <c r="O125" s="271">
        <f>IF(M125=0,"",('INTRODUCIR DATOS'!$D$14-M125)/'INTRODUCIR DATOS'!$D$14)</f>
        <v>-9.0910889466195244E-2</v>
      </c>
    </row>
    <row r="126" spans="2:15">
      <c r="B126" s="19">
        <v>126</v>
      </c>
      <c r="C126" s="570" t="s">
        <v>32</v>
      </c>
      <c r="D126" s="572" t="s">
        <v>70</v>
      </c>
      <c r="E126" s="350" t="s">
        <v>139</v>
      </c>
      <c r="F126" s="454" t="s">
        <v>134</v>
      </c>
      <c r="G126" s="267">
        <v>3.8308219169999998E-2</v>
      </c>
      <c r="H126" s="256">
        <v>3.2600273970000003E-2</v>
      </c>
      <c r="I126" s="257">
        <v>1.0964383560000001E-2</v>
      </c>
      <c r="J126" s="257">
        <v>1.00109589E-2</v>
      </c>
      <c r="K126" s="257">
        <v>7.4868493099999999E-3</v>
      </c>
      <c r="L126" s="258">
        <v>5.4824657500000002E-3</v>
      </c>
      <c r="M126" s="79"/>
      <c r="N126" s="40"/>
      <c r="O126" s="145"/>
    </row>
    <row r="127" spans="2:15">
      <c r="B127" s="44">
        <v>127</v>
      </c>
      <c r="C127" s="570" t="s">
        <v>32</v>
      </c>
      <c r="D127" s="572" t="s">
        <v>150</v>
      </c>
      <c r="E127" s="350" t="s">
        <v>139</v>
      </c>
      <c r="F127" s="453" t="s">
        <v>136</v>
      </c>
      <c r="G127" s="266">
        <v>0.26993899999999998</v>
      </c>
      <c r="H127" s="266">
        <v>0.23278299999999999</v>
      </c>
      <c r="I127" s="266">
        <v>0.20299700000000001</v>
      </c>
      <c r="J127" s="266">
        <v>0.192491</v>
      </c>
      <c r="K127" s="266">
        <v>0.171766</v>
      </c>
      <c r="L127" s="266">
        <v>0.184563</v>
      </c>
      <c r="M127" s="456">
        <f>('INTRODUCIR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DATOS'!$D$17)+'INTRODUCIR DATOS'!$D$15+'INTRODUCIR DATOS'!$D$16+IF('INTRODUCIR DATOS'!$D$21=21%,(('INTRODUCIR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DATOS'!$D$17)+'INTRODUCIR DATOS'!$D$16)*21/100,IF('INTRODUCIR DATOS'!$D$21=10%,(('INTRODUCIR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DATOS'!$D$17)+'INTRODUCIR DATOS'!$D$16)*10/100))</f>
        <v>124.92512638256621</v>
      </c>
      <c r="N127" s="292">
        <f>IF(M127=0,"",'INTRODUCIR DATOS'!$D$14-M127)</f>
        <v>-10.775126382566199</v>
      </c>
      <c r="O127" s="271">
        <f>IF(M127=0,"",('INTRODUCIR DATOS'!$D$14-M127)/'INTRODUCIR DATOS'!$D$14)</f>
        <v>-9.4394449255945673E-2</v>
      </c>
    </row>
    <row r="128" spans="2:15">
      <c r="B128" s="19">
        <v>128</v>
      </c>
      <c r="C128" s="570" t="s">
        <v>32</v>
      </c>
      <c r="D128" s="583" t="s">
        <v>72</v>
      </c>
      <c r="E128" s="350" t="s">
        <v>139</v>
      </c>
      <c r="F128" s="454" t="s">
        <v>134</v>
      </c>
      <c r="G128" s="267">
        <v>3.8308219169999998E-2</v>
      </c>
      <c r="H128" s="256">
        <v>3.2600273970000003E-2</v>
      </c>
      <c r="I128" s="257">
        <v>1.0964383560000001E-2</v>
      </c>
      <c r="J128" s="257">
        <v>1.00109589E-2</v>
      </c>
      <c r="K128" s="257">
        <v>7.4868493099999999E-3</v>
      </c>
      <c r="L128" s="258">
        <v>5.4824657500000002E-3</v>
      </c>
      <c r="M128" s="79"/>
      <c r="N128" s="40"/>
      <c r="O128" s="145"/>
    </row>
    <row r="129" spans="1:17">
      <c r="B129" s="44">
        <v>129</v>
      </c>
      <c r="C129" s="570" t="s">
        <v>32</v>
      </c>
      <c r="D129" s="583" t="s">
        <v>151</v>
      </c>
      <c r="E129" s="350" t="s">
        <v>139</v>
      </c>
      <c r="F129" s="453" t="s">
        <v>136</v>
      </c>
      <c r="G129" s="266">
        <v>0.27193899999999999</v>
      </c>
      <c r="H129" s="266">
        <v>0.23478299999999999</v>
      </c>
      <c r="I129" s="266">
        <v>0.20499700000000001</v>
      </c>
      <c r="J129" s="266">
        <v>0.194491</v>
      </c>
      <c r="K129" s="266">
        <v>0.173766</v>
      </c>
      <c r="L129" s="266">
        <v>0.18656300000000001</v>
      </c>
      <c r="M129" s="456">
        <f>('INTRODUCIR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DATOS'!$D$17)+'INTRODUCIR DATOS'!$D$15+'INTRODUCIR DATOS'!$D$16+IF('INTRODUCIR DATOS'!$D$21=21%,(('INTRODUCIR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DATOS'!$D$17)+'INTRODUCIR DATOS'!$D$16)*21/100,IF('INTRODUCIR DATOS'!$D$21=10%,(('INTRODUCIR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DATOS'!$D$17)+'INTRODUCIR DATOS'!$D$16)*10/100))</f>
        <v>125.72042308256621</v>
      </c>
      <c r="N129" s="292">
        <f>IF(M129=0,"",'INTRODUCIR DATOS'!$D$14-M129)</f>
        <v>-11.570423082566208</v>
      </c>
      <c r="O129" s="271">
        <f>IF(M129=0,"",('INTRODUCIR DATOS'!$D$14-M129)/'INTRODUCIR DATOS'!$D$14)</f>
        <v>-0.10136156883544641</v>
      </c>
    </row>
    <row r="130" spans="1:17">
      <c r="B130" s="19">
        <v>130</v>
      </c>
      <c r="C130" s="570" t="s">
        <v>32</v>
      </c>
      <c r="D130" s="572" t="s">
        <v>82</v>
      </c>
      <c r="E130" s="350" t="s">
        <v>139</v>
      </c>
      <c r="F130" s="454" t="s">
        <v>134</v>
      </c>
      <c r="G130" s="267">
        <v>3.8308219169999998E-2</v>
      </c>
      <c r="H130" s="256">
        <v>3.2600273970000003E-2</v>
      </c>
      <c r="I130" s="257">
        <v>1.0964383560000001E-2</v>
      </c>
      <c r="J130" s="257">
        <v>1.0010910958900001E-2</v>
      </c>
      <c r="K130" s="257">
        <v>7.4868493099999999E-3</v>
      </c>
      <c r="L130" s="258">
        <v>5.4824657500000002E-3</v>
      </c>
      <c r="M130" s="79"/>
      <c r="N130" s="40"/>
      <c r="O130" s="145"/>
    </row>
    <row r="131" spans="1:17">
      <c r="B131" s="44">
        <v>131</v>
      </c>
      <c r="C131" s="570" t="s">
        <v>32</v>
      </c>
      <c r="D131" s="572" t="s">
        <v>153</v>
      </c>
      <c r="E131" s="350" t="s">
        <v>139</v>
      </c>
      <c r="F131" s="453" t="s">
        <v>136</v>
      </c>
      <c r="G131" s="266">
        <v>0.20799000000000001</v>
      </c>
      <c r="H131" s="266">
        <v>0.20799000000000001</v>
      </c>
      <c r="I131" s="266">
        <v>0.20799000000000001</v>
      </c>
      <c r="J131" s="266">
        <v>0.20799000000000001</v>
      </c>
      <c r="K131" s="266">
        <v>0.20799000000000001</v>
      </c>
      <c r="L131" s="266">
        <v>0.20799000000000001</v>
      </c>
      <c r="M131" s="456">
        <f>('INTRODUCIR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DATOS'!$D$17)+'INTRODUCIR DATOS'!$D$15+'INTRODUCIR DATOS'!$D$16+IF('INTRODUCIR DATOS'!$D$21=21%,(('INTRODUCIR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DATOS'!$D$17)+'INTRODUCIR DATOS'!$D$16)*21/100,IF('INTRODUCIR DATOS'!$D$21=10%,(('INTRODUCIR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DATOS'!$D$17)+'INTRODUCIR DATOS'!$D$16)*10/100))</f>
        <v>100.29120874841621</v>
      </c>
      <c r="N131" s="292">
        <f>IF(M131=0,"",'INTRODUCIR DATOS'!$D$14-M131)</f>
        <v>13.858791251583796</v>
      </c>
      <c r="O131" s="271">
        <f>IF(M131=0,"",('INTRODUCIR DATOS'!$D$14-M131)/'INTRODUCIR DATOS'!$D$14)</f>
        <v>0.12140859615929737</v>
      </c>
    </row>
    <row r="132" spans="1:17">
      <c r="B132" s="19">
        <v>132</v>
      </c>
      <c r="C132" s="570" t="s">
        <v>32</v>
      </c>
      <c r="D132" s="572" t="s">
        <v>83</v>
      </c>
      <c r="E132" s="350" t="s">
        <v>139</v>
      </c>
      <c r="F132" s="454" t="s">
        <v>134</v>
      </c>
      <c r="G132" s="267">
        <v>3.8308219169999998E-2</v>
      </c>
      <c r="H132" s="256">
        <v>3.2600273970000003E-2</v>
      </c>
      <c r="I132" s="257">
        <v>1.0964383560000001E-2</v>
      </c>
      <c r="J132" s="257">
        <v>1.00109589E-2</v>
      </c>
      <c r="K132" s="257">
        <v>7.4868493099999999E-3</v>
      </c>
      <c r="L132" s="258">
        <v>5.4824657500000002E-3</v>
      </c>
      <c r="M132" s="79"/>
      <c r="N132" s="40"/>
      <c r="O132" s="145"/>
    </row>
    <row r="133" spans="1:17">
      <c r="B133" s="44">
        <v>133</v>
      </c>
      <c r="C133" s="570" t="s">
        <v>32</v>
      </c>
      <c r="D133" s="572" t="s">
        <v>150</v>
      </c>
      <c r="E133" s="350" t="s">
        <v>139</v>
      </c>
      <c r="F133" s="453" t="s">
        <v>136</v>
      </c>
      <c r="G133" s="266">
        <v>0.20899000000000001</v>
      </c>
      <c r="H133" s="266">
        <v>0.20899000000000001</v>
      </c>
      <c r="I133" s="266">
        <v>0.20899000000000001</v>
      </c>
      <c r="J133" s="266">
        <v>0.20899000000000001</v>
      </c>
      <c r="K133" s="266">
        <v>0.20899000000000001</v>
      </c>
      <c r="L133" s="266">
        <v>0.20899000000000001</v>
      </c>
      <c r="M133" s="456">
        <f>('INTRODUCIR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DATOS'!$D$17)+'INTRODUCIR DATOS'!$D$15+'INTRODUCIR DATOS'!$D$16+IF('INTRODUCIR DATOS'!$D$21=21%,(('INTRODUCIR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DATOS'!$D$17)+'INTRODUCIR DATOS'!$D$16)*21/100,IF('INTRODUCIR DATOS'!$D$21=10%,(('INTRODUCIR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DATOS'!$D$17)+'INTRODUCIR DATOS'!$D$16)*10/100))</f>
        <v>100.68885709841622</v>
      </c>
      <c r="N133" s="292">
        <f>IF(M133=0,"",'INTRODUCIR DATOS'!$D$14-M133)</f>
        <v>13.461142901583784</v>
      </c>
      <c r="O133" s="271">
        <f>IF(M133=0,"",('INTRODUCIR DATOS'!$D$14-M133)/'INTRODUCIR DATOS'!$D$14)</f>
        <v>0.11792503636954695</v>
      </c>
    </row>
    <row r="134" spans="1:17">
      <c r="B134" s="19">
        <v>134</v>
      </c>
      <c r="C134" s="570" t="s">
        <v>32</v>
      </c>
      <c r="D134" s="572" t="s">
        <v>85</v>
      </c>
      <c r="E134" s="350" t="s">
        <v>139</v>
      </c>
      <c r="F134" s="454" t="s">
        <v>134</v>
      </c>
      <c r="G134" s="267">
        <v>3.8308219169999998E-2</v>
      </c>
      <c r="H134" s="256">
        <v>3.2600273970000003E-2</v>
      </c>
      <c r="I134" s="257">
        <v>1.0964383560000001E-2</v>
      </c>
      <c r="J134" s="257">
        <v>1.00109589E-2</v>
      </c>
      <c r="K134" s="257">
        <v>7.4868493099999999E-3</v>
      </c>
      <c r="L134" s="258">
        <v>5.4824657500000002E-3</v>
      </c>
      <c r="M134" s="79"/>
      <c r="N134" s="40"/>
      <c r="O134" s="145"/>
    </row>
    <row r="135" spans="1:17" ht="15" thickBot="1">
      <c r="B135" s="44">
        <v>135</v>
      </c>
      <c r="C135" s="571" t="s">
        <v>32</v>
      </c>
      <c r="D135" s="573" t="s">
        <v>151</v>
      </c>
      <c r="E135" s="428" t="s">
        <v>139</v>
      </c>
      <c r="F135" s="455" t="s">
        <v>136</v>
      </c>
      <c r="G135" s="266">
        <v>0.21099000000000001</v>
      </c>
      <c r="H135" s="266">
        <v>0.21099000000000001</v>
      </c>
      <c r="I135" s="266">
        <v>0.21099000000000001</v>
      </c>
      <c r="J135" s="266">
        <v>0.21099000000000001</v>
      </c>
      <c r="K135" s="266">
        <v>0.21099000000000001</v>
      </c>
      <c r="L135" s="266">
        <v>0.21099000000000001</v>
      </c>
      <c r="M135" s="457">
        <f>('INTRODUCIR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DATOS'!$D$17)+'INTRODUCIR DATOS'!$D$15+'INTRODUCIR DATOS'!$D$16+IF('INTRODUCIR DATOS'!$D$21=21%,(('INTRODUCIR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DATOS'!$D$17)+'INTRODUCIR DATOS'!$D$16)*21/100,IF('INTRODUCIR DATOS'!$D$21=10%,(('INTRODUCIR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DATOS'!$D$17)+'INTRODUCIR DATOS'!$D$16)*10/100))</f>
        <v>101.48415379841622</v>
      </c>
      <c r="N135" s="293">
        <f>IF(M135=0,"",'INTRODUCIR DATOS'!$D$14-M135)</f>
        <v>12.66584620158379</v>
      </c>
      <c r="O135" s="285">
        <f>IF(M135=0,"",('INTRODUCIR DATOS'!$D$14-M135)/'INTRODUCIR DATOS'!$D$14)</f>
        <v>0.11095791679004634</v>
      </c>
    </row>
    <row r="136" spans="1:17">
      <c r="A136" s="19" t="str">
        <f t="shared" ref="A136:A152" si="9">D136&amp;E136</f>
        <v>TEMPO HAPPY2.0TD</v>
      </c>
      <c r="B136" s="19">
        <v>136</v>
      </c>
      <c r="C136" s="574" t="s">
        <v>44</v>
      </c>
      <c r="D136" s="574" t="s">
        <v>87</v>
      </c>
      <c r="E136" s="427" t="s">
        <v>34</v>
      </c>
      <c r="F136" s="319" t="s">
        <v>134</v>
      </c>
      <c r="G136" s="287">
        <v>9.5743499999999995E-2</v>
      </c>
      <c r="H136" s="288">
        <v>2.6622033329999999E-2</v>
      </c>
      <c r="I136" s="289"/>
      <c r="J136" s="289"/>
      <c r="K136" s="289"/>
      <c r="L136" s="460"/>
      <c r="M136" s="439"/>
      <c r="N136" s="339"/>
      <c r="O136" s="149"/>
    </row>
    <row r="137" spans="1:17">
      <c r="A137" s="19" t="str">
        <f t="shared" si="9"/>
        <v>TEMPO HAPPY2.0TD</v>
      </c>
      <c r="B137" s="44">
        <v>137</v>
      </c>
      <c r="C137" s="572" t="s">
        <v>44</v>
      </c>
      <c r="D137" s="572" t="s">
        <v>87</v>
      </c>
      <c r="E137" s="350" t="s">
        <v>34</v>
      </c>
      <c r="F137" s="310" t="s">
        <v>136</v>
      </c>
      <c r="G137" s="266">
        <v>0.31680000000000003</v>
      </c>
      <c r="H137" s="266">
        <v>0.31680000000000003</v>
      </c>
      <c r="I137" s="266">
        <v>0.31680000000000003</v>
      </c>
      <c r="J137" s="254"/>
      <c r="K137" s="254"/>
      <c r="L137" s="255"/>
      <c r="M137" s="456">
        <f>('INTRODUCIR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DATOS'!$D$17)+'INTRODUCIR DATOS'!$D$15+'INTRODUCIR DATOS'!$D$16+IF('INTRODUCIR DATOS'!$D$21=21%,(('INTRODUCIR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DATOS'!$D$17)+'INTRODUCIR DATOS'!$D$16)*21/100,IF('INTRODUCIR DATOS'!$D$21=10%,(('INTRODUCIR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DATOS'!$D$17)+'INTRODUCIR DATOS'!$D$16)*10/100))</f>
        <v>155.57359778674174</v>
      </c>
      <c r="N137" s="292">
        <f>IF(M137=0,"",'INTRODUCIR DATOS'!$D$14-M137)</f>
        <v>-41.423597786741738</v>
      </c>
      <c r="O137" s="271">
        <f>IF(M137=0,"",('INTRODUCIR DATOS'!$D$14-M137)/'INTRODUCIR DATOS'!$D$14)</f>
        <v>-0.36288740943269149</v>
      </c>
    </row>
    <row r="138" spans="1:17">
      <c r="A138" s="19" t="str">
        <f t="shared" si="9"/>
        <v>TEMPO OPEN2.0TD</v>
      </c>
      <c r="B138" s="19">
        <v>138</v>
      </c>
      <c r="C138" s="572" t="s">
        <v>44</v>
      </c>
      <c r="D138" s="572" t="s">
        <v>45</v>
      </c>
      <c r="E138" s="350" t="s">
        <v>34</v>
      </c>
      <c r="F138" s="311" t="s">
        <v>134</v>
      </c>
      <c r="G138" s="325">
        <v>9.5743499999999995E-2</v>
      </c>
      <c r="H138" s="256">
        <v>2.6622033329999999E-2</v>
      </c>
      <c r="I138" s="257"/>
      <c r="J138" s="257"/>
      <c r="K138" s="257"/>
      <c r="L138" s="258"/>
      <c r="M138" s="79"/>
      <c r="N138" s="40"/>
      <c r="O138" s="145"/>
      <c r="P138" s="19" t="s">
        <v>154</v>
      </c>
    </row>
    <row r="139" spans="1:17">
      <c r="A139" s="19" t="str">
        <f t="shared" si="9"/>
        <v>TEMPO OPEN2.0TD</v>
      </c>
      <c r="B139" s="44">
        <v>139</v>
      </c>
      <c r="C139" s="572" t="s">
        <v>44</v>
      </c>
      <c r="D139" s="572" t="s">
        <v>45</v>
      </c>
      <c r="E139" s="350" t="s">
        <v>34</v>
      </c>
      <c r="F139" s="310" t="s">
        <v>136</v>
      </c>
      <c r="G139" s="266">
        <v>0.16813705500000001</v>
      </c>
      <c r="H139" s="266">
        <v>0.16813705500000001</v>
      </c>
      <c r="I139" s="266">
        <v>0.16813705500000001</v>
      </c>
      <c r="J139" s="266"/>
      <c r="K139" s="266"/>
      <c r="L139" s="266"/>
      <c r="M139" s="456">
        <f>('INTRODUCIR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DATOS'!$D$17)+'INTRODUCIR DATOS'!$D$15+'INTRODUCIR DATOS'!$D$16+IF('INTRODUCIR DATOS'!$D$21=21%,(('INTRODUCIR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DATOS'!$D$17)+'INTRODUCIR DATOS'!$D$16)*21/100,IF('INTRODUCIR DATOS'!$D$21=10%,(('INTRODUCIR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DATOS'!$D$17)+'INTRODUCIR DATOS'!$D$16)*10/100))</f>
        <v>96.458023001350981</v>
      </c>
      <c r="N139" s="292">
        <f>IF(M139=0,"",'INTRODUCIR DATOS'!$D$14-M139)</f>
        <v>17.691976998649025</v>
      </c>
      <c r="O139" s="271">
        <f>IF(M139=0,"",('INTRODUCIR DATOS'!$D$14-M139)/'INTRODUCIR DATOS'!$D$14)</f>
        <v>0.15498884799517323</v>
      </c>
    </row>
    <row r="140" spans="1:17">
      <c r="A140" s="19" t="str">
        <f t="shared" si="9"/>
        <v>TEMPO 3 PERIODOS2.0TD</v>
      </c>
      <c r="B140" s="19">
        <v>140</v>
      </c>
      <c r="C140" s="572" t="s">
        <v>44</v>
      </c>
      <c r="D140" s="572" t="s">
        <v>88</v>
      </c>
      <c r="E140" s="350" t="s">
        <v>34</v>
      </c>
      <c r="F140" s="311" t="s">
        <v>134</v>
      </c>
      <c r="G140" s="267">
        <v>9.5743499999999995E-2</v>
      </c>
      <c r="H140" s="256">
        <v>2.6622033329999999E-2</v>
      </c>
      <c r="I140" s="257"/>
      <c r="J140" s="257"/>
      <c r="K140" s="257"/>
      <c r="L140" s="258"/>
      <c r="M140" s="79"/>
      <c r="N140" s="40"/>
      <c r="O140" s="145"/>
    </row>
    <row r="141" spans="1:17">
      <c r="A141" s="19" t="str">
        <f t="shared" si="9"/>
        <v>TEMPO 3 PERIODOS2.0TD</v>
      </c>
      <c r="B141" s="44">
        <v>141</v>
      </c>
      <c r="C141" s="572" t="s">
        <v>44</v>
      </c>
      <c r="D141" s="572" t="s">
        <v>88</v>
      </c>
      <c r="E141" s="350" t="s">
        <v>34</v>
      </c>
      <c r="F141" s="310" t="s">
        <v>136</v>
      </c>
      <c r="G141" s="266">
        <v>0.26236530000000002</v>
      </c>
      <c r="H141" s="253">
        <v>0.2100108</v>
      </c>
      <c r="I141" s="253">
        <v>0.17496814999999999</v>
      </c>
      <c r="J141" s="254"/>
      <c r="K141" s="254"/>
      <c r="L141" s="255"/>
      <c r="M141" s="456">
        <f>('INTRODUCIR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DATOS'!$D$17)+'INTRODUCIR DATOS'!$D$15+'INTRODUCIR DATOS'!$D$16+IF('INTRODUCIR DATOS'!$D$21=21%,(('INTRODUCIR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DATOS'!$D$17)+'INTRODUCIR DATOS'!$D$16)*21/100,IF('INTRODUCIR DATOS'!$D$21=10%,(('INTRODUCIR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DATOS'!$D$17)+'INTRODUCIR DATOS'!$D$16)*10/100))</f>
        <v>133.92772914899672</v>
      </c>
      <c r="N141" s="292">
        <f>IF(M141=0,"",'INTRODUCIR DATOS'!$D$14-M141)</f>
        <v>-19.777729148996713</v>
      </c>
      <c r="O141" s="271">
        <f>IF(M141=0,"",('INTRODUCIR DATOS'!$D$14-M141)/'INTRODUCIR DATOS'!$D$14)</f>
        <v>-0.17326087734556908</v>
      </c>
    </row>
    <row r="142" spans="1:17">
      <c r="A142" s="19" t="str">
        <f t="shared" si="9"/>
        <v>TEMPO OPEN3.0TD</v>
      </c>
      <c r="B142" s="19">
        <v>142</v>
      </c>
      <c r="C142" s="572" t="s">
        <v>44</v>
      </c>
      <c r="D142" s="572" t="s">
        <v>45</v>
      </c>
      <c r="E142" s="350" t="s">
        <v>139</v>
      </c>
      <c r="F142" s="311" t="s">
        <v>134</v>
      </c>
      <c r="G142" s="267">
        <v>3.9951399999999998E-2</v>
      </c>
      <c r="H142" s="256">
        <v>3.4164100000000003E-2</v>
      </c>
      <c r="I142" s="257">
        <v>1.22279E-2</v>
      </c>
      <c r="J142" s="257">
        <v>1.1261033300000001E-2</v>
      </c>
      <c r="K142" s="257">
        <v>8.7019666700000001E-3</v>
      </c>
      <c r="L142" s="258">
        <v>6.6698333300000004E-3</v>
      </c>
      <c r="M142" s="79"/>
      <c r="N142" s="40"/>
      <c r="O142" s="145"/>
      <c r="P142" s="19">
        <v>15</v>
      </c>
      <c r="Q142" s="19">
        <v>30</v>
      </c>
    </row>
    <row r="143" spans="1:17">
      <c r="A143" s="19" t="str">
        <f t="shared" si="9"/>
        <v>TEMPO OPEN3.0TD</v>
      </c>
      <c r="B143" s="44">
        <v>143</v>
      </c>
      <c r="C143" s="572" t="s">
        <v>44</v>
      </c>
      <c r="D143" s="572" t="s">
        <v>45</v>
      </c>
      <c r="E143" s="350" t="s">
        <v>139</v>
      </c>
      <c r="F143" s="310" t="s">
        <v>136</v>
      </c>
      <c r="G143" s="266">
        <v>0.217413</v>
      </c>
      <c r="H143" s="266">
        <v>0.217413</v>
      </c>
      <c r="I143" s="266">
        <v>0.217413</v>
      </c>
      <c r="J143" s="266">
        <v>0.217413</v>
      </c>
      <c r="K143" s="266">
        <v>0.217413</v>
      </c>
      <c r="L143" s="266">
        <v>0.217413</v>
      </c>
      <c r="M143" s="456">
        <f>('INTRODUCIR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DATOS'!$D$17)+'INTRODUCIR DATOS'!$D$15+'INTRODUCIR DATOS'!$D$16+IF('INTRODUCIR DATOS'!$D$21=21%,(('INTRODUCIR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DATOS'!$D$17)+'INTRODUCIR DATOS'!$D$16)*21/100,IF('INTRODUCIR DATOS'!$D$21=10%,(('INTRODUCIR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DATOS'!$D$17)+'INTRODUCIR DATOS'!$D$16)*10/100))</f>
        <v>104.78702624335</v>
      </c>
      <c r="N143" s="292">
        <f>IF(M143=0,"",'INTRODUCIR DATOS'!$D$14-M143)</f>
        <v>9.3629737566500069</v>
      </c>
      <c r="O143" s="271">
        <f>IF(M143=0,"",('INTRODUCIR DATOS'!$D$14-M143)/'INTRODUCIR DATOS'!$D$14)</f>
        <v>8.2023423185720604E-2</v>
      </c>
    </row>
    <row r="144" spans="1:17">
      <c r="A144" s="19" t="str">
        <f t="shared" si="9"/>
        <v>TEMPO OPEN3.0TD</v>
      </c>
      <c r="B144" s="19">
        <v>144</v>
      </c>
      <c r="C144" s="572" t="s">
        <v>44</v>
      </c>
      <c r="D144" s="575" t="s">
        <v>45</v>
      </c>
      <c r="E144" s="350" t="s">
        <v>139</v>
      </c>
      <c r="F144" s="311" t="s">
        <v>134</v>
      </c>
      <c r="G144" s="267">
        <v>3.9951399999999998E-2</v>
      </c>
      <c r="H144" s="256">
        <v>3.4164100000000003E-2</v>
      </c>
      <c r="I144" s="257">
        <v>1.22279E-2</v>
      </c>
      <c r="J144" s="257">
        <v>1.1261033300000001E-2</v>
      </c>
      <c r="K144" s="257">
        <v>8.7019666700000001E-3</v>
      </c>
      <c r="L144" s="258">
        <v>6.6698333300000004E-3</v>
      </c>
      <c r="M144" s="79"/>
      <c r="N144" s="40"/>
      <c r="O144" s="145"/>
      <c r="P144" s="19">
        <v>30</v>
      </c>
      <c r="Q144" s="19">
        <v>50</v>
      </c>
    </row>
    <row r="145" spans="1:24">
      <c r="A145" s="19" t="str">
        <f t="shared" si="9"/>
        <v>TEMPO OPEN3.0TD</v>
      </c>
      <c r="B145" s="44">
        <v>145</v>
      </c>
      <c r="C145" s="572" t="s">
        <v>44</v>
      </c>
      <c r="D145" s="574" t="s">
        <v>45</v>
      </c>
      <c r="E145" s="350" t="s">
        <v>139</v>
      </c>
      <c r="F145" s="310" t="s">
        <v>136</v>
      </c>
      <c r="G145" s="266">
        <v>0.207927</v>
      </c>
      <c r="H145" s="266">
        <v>0.207927</v>
      </c>
      <c r="I145" s="266">
        <v>0.207927</v>
      </c>
      <c r="J145" s="266">
        <v>0.207927</v>
      </c>
      <c r="K145" s="266">
        <v>0.207927</v>
      </c>
      <c r="L145" s="266">
        <v>0.207927</v>
      </c>
      <c r="M145" s="456">
        <f>('INTRODUCIR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DATOS'!$D$17)+'INTRODUCIR DATOS'!$D$15+'INTRODUCIR DATOS'!$D$16+IF('INTRODUCIR DATOS'!$D$21=21%,(('INTRODUCIR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DATOS'!$D$17)+'INTRODUCIR DATOS'!$D$16)*21/100,IF('INTRODUCIR DATOS'!$D$21=10%,(('INTRODUCIR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DATOS'!$D$17)+'INTRODUCIR DATOS'!$D$16)*10/100))</f>
        <v>101.01493399524999</v>
      </c>
      <c r="N145" s="292">
        <f>IF(M145=0,"",'INTRODUCIR DATOS'!$D$14-M145)</f>
        <v>13.135066004750016</v>
      </c>
      <c r="O145" s="271">
        <f>IF(M145=0,"",('INTRODUCIR DATOS'!$D$14-M145)/'INTRODUCIR DATOS'!$D$14)</f>
        <v>0.11506847135129229</v>
      </c>
    </row>
    <row r="146" spans="1:24">
      <c r="A146" s="19" t="str">
        <f t="shared" si="9"/>
        <v>TEMPO OPEN3.0TD</v>
      </c>
      <c r="B146" s="19">
        <v>146</v>
      </c>
      <c r="C146" s="572" t="s">
        <v>44</v>
      </c>
      <c r="D146" s="572" t="s">
        <v>45</v>
      </c>
      <c r="E146" s="350" t="s">
        <v>139</v>
      </c>
      <c r="F146" s="311" t="s">
        <v>134</v>
      </c>
      <c r="G146" s="267">
        <v>3.9951399999999998E-2</v>
      </c>
      <c r="H146" s="256">
        <v>3.4164100000000003E-2</v>
      </c>
      <c r="I146" s="257">
        <v>1.22279E-2</v>
      </c>
      <c r="J146" s="257">
        <v>1.1261033300000001E-2</v>
      </c>
      <c r="K146" s="257">
        <v>8.7019666700000001E-3</v>
      </c>
      <c r="L146" s="258">
        <v>6.6698333300000004E-3</v>
      </c>
      <c r="M146" s="79"/>
      <c r="N146" s="40"/>
      <c r="O146" s="145"/>
      <c r="P146" s="19">
        <v>50</v>
      </c>
      <c r="Q146" s="19">
        <v>100</v>
      </c>
    </row>
    <row r="147" spans="1:24">
      <c r="A147" s="19" t="str">
        <f t="shared" si="9"/>
        <v>TEMPO OPEN3.0TD</v>
      </c>
      <c r="B147" s="44">
        <v>147</v>
      </c>
      <c r="C147" s="572" t="s">
        <v>44</v>
      </c>
      <c r="D147" s="572" t="s">
        <v>45</v>
      </c>
      <c r="E147" s="350" t="s">
        <v>139</v>
      </c>
      <c r="F147" s="310" t="s">
        <v>136</v>
      </c>
      <c r="G147" s="266">
        <v>0.1992825</v>
      </c>
      <c r="H147" s="266">
        <v>0.1992825</v>
      </c>
      <c r="I147" s="266">
        <v>0.1992825</v>
      </c>
      <c r="J147" s="266">
        <v>0.1992825</v>
      </c>
      <c r="K147" s="266">
        <v>0.1992825</v>
      </c>
      <c r="L147" s="266">
        <v>0.1992825</v>
      </c>
      <c r="M147" s="456">
        <f>('INTRODUCIR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DATOS'!$D$17)+'INTRODUCIR DATOS'!$D$15+'INTRODUCIR DATOS'!$D$16+IF('INTRODUCIR DATOS'!$D$21=21%,(('INTRODUCIR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DATOS'!$D$17)+'INTRODUCIR DATOS'!$D$16)*21/100,IF('INTRODUCIR DATOS'!$D$21=10%,(('INTRODUCIR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DATOS'!$D$17)+'INTRODUCIR DATOS'!$D$16)*10/100))</f>
        <v>97.577462833675</v>
      </c>
      <c r="N147" s="292">
        <f>IF(M147=0,"",'INTRODUCIR DATOS'!$D$14-M147)</f>
        <v>16.572537166325006</v>
      </c>
      <c r="O147" s="271">
        <f>IF(M147=0,"",('INTRODUCIR DATOS'!$D$14-M147)/'INTRODUCIR DATOS'!$D$14)</f>
        <v>0.14518210395378892</v>
      </c>
    </row>
    <row r="148" spans="1:24">
      <c r="A148" s="19" t="str">
        <f t="shared" si="9"/>
        <v>TEMPO OPEN3.0TD</v>
      </c>
      <c r="B148" s="19">
        <v>148</v>
      </c>
      <c r="C148" s="572" t="s">
        <v>44</v>
      </c>
      <c r="D148" s="572" t="s">
        <v>45</v>
      </c>
      <c r="E148" s="350" t="s">
        <v>139</v>
      </c>
      <c r="F148" s="311" t="s">
        <v>134</v>
      </c>
      <c r="G148" s="267">
        <v>3.9951399999999998E-2</v>
      </c>
      <c r="H148" s="256">
        <v>3.4164100000000003E-2</v>
      </c>
      <c r="I148" s="257">
        <v>1.22279E-2</v>
      </c>
      <c r="J148" s="257">
        <v>1.1261033300000001E-2</v>
      </c>
      <c r="K148" s="257">
        <v>8.7019666700000001E-3</v>
      </c>
      <c r="L148" s="258">
        <v>6.6698333300000004E-3</v>
      </c>
      <c r="M148" s="79"/>
      <c r="N148" s="40"/>
      <c r="O148" s="145"/>
      <c r="P148" s="19">
        <v>100</v>
      </c>
    </row>
    <row r="149" spans="1:24">
      <c r="A149" s="19" t="str">
        <f t="shared" si="9"/>
        <v>TEMPO OPEN3.0TD</v>
      </c>
      <c r="B149" s="44">
        <v>149</v>
      </c>
      <c r="C149" s="572" t="s">
        <v>44</v>
      </c>
      <c r="D149" s="572" t="s">
        <v>45</v>
      </c>
      <c r="E149" s="350" t="s">
        <v>139</v>
      </c>
      <c r="F149" s="310" t="s">
        <v>136</v>
      </c>
      <c r="G149" s="266">
        <v>0.19201499999999999</v>
      </c>
      <c r="H149" s="266">
        <v>0.19201499999999999</v>
      </c>
      <c r="I149" s="266">
        <v>0.19201499999999999</v>
      </c>
      <c r="J149" s="266">
        <v>0.19201499999999999</v>
      </c>
      <c r="K149" s="266">
        <v>0.19201499999999999</v>
      </c>
      <c r="L149" s="266">
        <v>0.19201499999999999</v>
      </c>
      <c r="M149" s="456">
        <f>('INTRODUCIR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DATOS'!$D$17)+'INTRODUCIR DATOS'!$D$15+'INTRODUCIR DATOS'!$D$16+IF('INTRODUCIR DATOS'!$D$21=21%,(('INTRODUCIR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DATOS'!$D$17)+'INTRODUCIR DATOS'!$D$16)*21/100,IF('INTRODUCIR DATOS'!$D$21=10%,(('INTRODUCIR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DATOS'!$D$17)+'INTRODUCIR DATOS'!$D$16)*10/100))</f>
        <v>94.68755345004999</v>
      </c>
      <c r="N149" s="292">
        <f>IF(M149=0,"",'INTRODUCIR DATOS'!$D$14-M149)</f>
        <v>19.462446549950016</v>
      </c>
      <c r="O149" s="271">
        <f>IF(M149=0,"",('INTRODUCIR DATOS'!$D$14-M149)/'INTRODUCIR DATOS'!$D$14)</f>
        <v>0.17049887472579953</v>
      </c>
    </row>
    <row r="150" spans="1:24">
      <c r="A150" s="19" t="str">
        <f t="shared" si="9"/>
        <v>TEMPO 24H (LIBRE)2.0TD</v>
      </c>
      <c r="B150" s="19">
        <v>150</v>
      </c>
      <c r="C150" s="572" t="s">
        <v>44</v>
      </c>
      <c r="D150" s="572" t="s">
        <v>89</v>
      </c>
      <c r="E150" s="350" t="s">
        <v>34</v>
      </c>
      <c r="F150" s="311" t="s">
        <v>134</v>
      </c>
      <c r="G150" s="267">
        <v>9.5743499999999995E-2</v>
      </c>
      <c r="H150" s="256">
        <v>2.6622033329999999E-2</v>
      </c>
      <c r="I150" s="257"/>
      <c r="J150" s="257"/>
      <c r="K150" s="257"/>
      <c r="L150" s="258"/>
      <c r="M150" s="79"/>
      <c r="N150" s="40"/>
      <c r="O150" s="145"/>
    </row>
    <row r="151" spans="1:24">
      <c r="A151" s="19" t="str">
        <f t="shared" si="9"/>
        <v>PREMIUM 24H2.0TD</v>
      </c>
      <c r="B151" s="44">
        <v>151</v>
      </c>
      <c r="C151" s="572" t="s">
        <v>44</v>
      </c>
      <c r="D151" s="572" t="s">
        <v>155</v>
      </c>
      <c r="E151" s="350" t="s">
        <v>34</v>
      </c>
      <c r="F151" s="310" t="s">
        <v>136</v>
      </c>
      <c r="G151" s="266">
        <v>0.21145765</v>
      </c>
      <c r="H151" s="266">
        <v>0.21145765</v>
      </c>
      <c r="I151" s="266">
        <v>0.21145765</v>
      </c>
      <c r="J151" s="254"/>
      <c r="K151" s="254"/>
      <c r="L151" s="255"/>
      <c r="M151" s="456">
        <f>('INTRODUCIR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DATOS'!$D$17)+'INTRODUCIR DATOS'!$D$15+'INTRODUCIR DATOS'!$D$16+IF('INTRODUCIR DATOS'!$D$21=21%,(('INTRODUCIR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DATOS'!$D$17)+'INTRODUCIR DATOS'!$D$16)*21/100,IF('INTRODUCIR DATOS'!$D$21=10%,(('INTRODUCIR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DATOS'!$D$17)+'INTRODUCIR DATOS'!$D$16)*10/100))</f>
        <v>113.68438612411923</v>
      </c>
      <c r="N151" s="292">
        <f>IF(M151=0,"",'INTRODUCIR DATOS'!$D$14-M151)</f>
        <v>0.46561387588077707</v>
      </c>
      <c r="O151" s="271">
        <f>IF(M151=0,"",('INTRODUCIR DATOS'!$D$14-M151)/'INTRODUCIR DATOS'!$D$14)</f>
        <v>4.0789651851141223E-3</v>
      </c>
    </row>
    <row r="152" spans="1:24">
      <c r="A152" s="19" t="str">
        <f t="shared" si="9"/>
        <v/>
      </c>
      <c r="B152" s="19">
        <v>152</v>
      </c>
      <c r="C152" s="572" t="s">
        <v>44</v>
      </c>
      <c r="D152" s="572"/>
      <c r="E152" s="350"/>
      <c r="F152" s="311"/>
      <c r="G152" s="267"/>
      <c r="H152" s="256"/>
      <c r="I152" s="257"/>
      <c r="J152" s="257"/>
      <c r="K152" s="257"/>
      <c r="L152" s="258"/>
      <c r="M152" s="79"/>
      <c r="N152" s="40"/>
      <c r="O152" s="145"/>
    </row>
    <row r="153" spans="1:24">
      <c r="B153" s="44">
        <v>153</v>
      </c>
      <c r="C153" s="572" t="s">
        <v>44</v>
      </c>
      <c r="D153" s="572"/>
      <c r="E153" s="350"/>
      <c r="F153" s="310"/>
      <c r="G153" s="266"/>
      <c r="H153" s="253"/>
      <c r="I153" s="253"/>
      <c r="J153" s="254"/>
      <c r="K153" s="254"/>
      <c r="L153" s="255"/>
      <c r="M153" s="456">
        <f>('INTRODUCIR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DATOS'!$D$17)+'INTRODUCIR DATOS'!$D$15+'INTRODUCIR DATOS'!$D$16+IF('INTRODUCIR DATOS'!$D$21=21%,(('INTRODUCIR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DATOS'!$D$17)+'INTRODUCIR DATOS'!$D$16)*21/100,IF('INTRODUCIR DATOS'!$D$21=10%,(('INTRODUCIR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DATOS'!$D$17)+'INTRODUCIR DATOS'!$D$16)*10/100))</f>
        <v>1.0285</v>
      </c>
      <c r="N153" s="292">
        <f>IF(M153=0,"",'INTRODUCIR DATOS'!$D$14-M153)</f>
        <v>113.12150000000001</v>
      </c>
      <c r="O153" s="271">
        <f>IF(M153=0,"",('INTRODUCIR DATOS'!$D$14-M153)/'INTRODUCIR DATOS'!$D$14)</f>
        <v>0.99098992553657472</v>
      </c>
    </row>
    <row r="154" spans="1:24">
      <c r="B154" s="19">
        <v>154</v>
      </c>
      <c r="C154" s="572" t="s">
        <v>44</v>
      </c>
      <c r="D154" s="572" t="s">
        <v>156</v>
      </c>
      <c r="E154" s="350" t="s">
        <v>140</v>
      </c>
      <c r="F154" s="311" t="s">
        <v>134</v>
      </c>
      <c r="G154" s="267">
        <v>6.4903366700000006E-2</v>
      </c>
      <c r="H154" s="256">
        <v>5.6225499999999998E-2</v>
      </c>
      <c r="I154" s="257">
        <v>2.9798833300000001E-2</v>
      </c>
      <c r="J154" s="257">
        <v>2.4890733299999999E-2</v>
      </c>
      <c r="K154" s="257">
        <v>6.4127333299999999E-3</v>
      </c>
      <c r="L154" s="258">
        <v>4.3026666999999999E-3</v>
      </c>
      <c r="M154" s="79"/>
      <c r="N154" s="40"/>
      <c r="O154" s="145"/>
      <c r="P154" s="19" t="s">
        <v>157</v>
      </c>
    </row>
    <row r="155" spans="1:24" ht="15" thickBot="1">
      <c r="B155" s="44">
        <v>155</v>
      </c>
      <c r="C155" s="575" t="s">
        <v>44</v>
      </c>
      <c r="D155" s="575"/>
      <c r="E155" s="429" t="s">
        <v>140</v>
      </c>
      <c r="F155" s="320" t="s">
        <v>136</v>
      </c>
      <c r="G155" s="268">
        <v>0.21294099999999999</v>
      </c>
      <c r="H155" s="268">
        <v>0.21294099999999999</v>
      </c>
      <c r="I155" s="268">
        <v>0.21294099999999999</v>
      </c>
      <c r="J155" s="268">
        <v>0.21294099999999999</v>
      </c>
      <c r="K155" s="268">
        <v>0.21294099999999999</v>
      </c>
      <c r="L155" s="268">
        <v>0.21294099999999999</v>
      </c>
      <c r="M155" s="462">
        <f>('INTRODUCIR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DATOS'!$D$17)+'INTRODUCIR DATOS'!$D$15+'INTRODUCIR DATOS'!$D$16+IF('INTRODUCIR DATOS'!$D$21=21%,(('INTRODUCIR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DATOS'!$D$17)+'INTRODUCIR DATOS'!$D$16)*21/100,IF('INTRODUCIR DATOS'!$D$21=10%,(('INTRODUCIR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DATOS'!$D$17)+'INTRODUCIR DATOS'!$D$16)*10/100))</f>
        <v>113.98549890065269</v>
      </c>
      <c r="N155" s="299">
        <f>IF(M155=0,"",'INTRODUCIR DATOS'!$D$14-M155)</f>
        <v>0.16450109934731927</v>
      </c>
      <c r="O155" s="284">
        <f>IF(M155=0,"",('INTRODUCIR DATOS'!$D$14-M155)/'INTRODUCIR DATOS'!$D$14)</f>
        <v>1.4410959206948687E-3</v>
      </c>
    </row>
    <row r="156" spans="1:24">
      <c r="B156" s="19">
        <v>156</v>
      </c>
      <c r="C156" s="577" t="s">
        <v>48</v>
      </c>
      <c r="D156" s="578" t="s">
        <v>49</v>
      </c>
      <c r="E156" s="351" t="s">
        <v>34</v>
      </c>
      <c r="F156" s="309" t="s">
        <v>134</v>
      </c>
      <c r="G156" s="265">
        <v>8.8982786300000005E-2</v>
      </c>
      <c r="H156" s="250">
        <v>1.4501619170000001E-2</v>
      </c>
      <c r="I156" s="251"/>
      <c r="J156" s="251"/>
      <c r="K156" s="251"/>
      <c r="L156" s="252"/>
      <c r="M156" s="78"/>
      <c r="N156" s="21"/>
      <c r="O156" s="22"/>
      <c r="P156" s="19" t="s">
        <v>158</v>
      </c>
      <c r="S156" s="59">
        <v>31.156689</v>
      </c>
      <c r="T156" s="59">
        <v>5.4468360000000002</v>
      </c>
    </row>
    <row r="157" spans="1:24">
      <c r="B157" s="44">
        <v>157</v>
      </c>
      <c r="C157" s="570" t="s">
        <v>48</v>
      </c>
      <c r="D157" s="572" t="s">
        <v>159</v>
      </c>
      <c r="E157" s="350" t="s">
        <v>34</v>
      </c>
      <c r="F157" s="310" t="s">
        <v>136</v>
      </c>
      <c r="G157" s="266">
        <v>0.17895559999999999</v>
      </c>
      <c r="H157" s="266">
        <v>0.17895559999999999</v>
      </c>
      <c r="I157" s="266">
        <v>0.17895559999999999</v>
      </c>
      <c r="J157" s="253"/>
      <c r="K157" s="253"/>
      <c r="L157" s="458"/>
      <c r="M157" s="456">
        <f>('INTRODUCIR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DATOS'!$D$17)+'INTRODUCIR DATOS'!$D$15+'INTRODUCIR DATOS'!$D$16+IF('INTRODUCIR DATOS'!$D$21=21%,(('INTRODUCIR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DATOS'!$D$17)+'INTRODUCIR DATOS'!$D$16)*21/100,IF('INTRODUCIR DATOS'!$D$21=10%,(('INTRODUCIR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DATOS'!$D$17)+'INTRODUCIR DATOS'!$D$16)*10/100))</f>
        <v>96.351603627444334</v>
      </c>
      <c r="N157" s="292">
        <f>IF(M157=0,"",'INTRODUCIR DATOS'!$D$14-M157)</f>
        <v>17.798396372555672</v>
      </c>
      <c r="O157" s="271">
        <f>IF(M157=0,"",('INTRODUCIR DATOS'!$D$14-M157)/'INTRODUCIR DATOS'!$D$14)</f>
        <v>0.15592112459531907</v>
      </c>
    </row>
    <row r="158" spans="1:24">
      <c r="B158" s="19">
        <v>158</v>
      </c>
      <c r="C158" s="570" t="s">
        <v>48</v>
      </c>
      <c r="D158" s="572" t="s">
        <v>49</v>
      </c>
      <c r="E158" s="350" t="s">
        <v>139</v>
      </c>
      <c r="F158" s="311" t="s">
        <v>134</v>
      </c>
      <c r="G158" s="267">
        <v>4.1951479450000002E-2</v>
      </c>
      <c r="H158" s="267">
        <v>3.3960920540000002E-2</v>
      </c>
      <c r="I158" s="267">
        <v>1.161085479E-2</v>
      </c>
      <c r="J158" s="267">
        <v>1.056346027E-2</v>
      </c>
      <c r="K158" s="267">
        <v>1.066932328E-2</v>
      </c>
      <c r="L158" s="267">
        <v>8.8463561600000008E-3</v>
      </c>
      <c r="M158" s="79"/>
      <c r="N158" s="40"/>
      <c r="O158" s="145"/>
      <c r="S158" s="59">
        <v>21.071154</v>
      </c>
      <c r="T158" s="59">
        <v>14.294556</v>
      </c>
      <c r="U158" s="59">
        <v>7.2659589999999996</v>
      </c>
      <c r="V158" s="59">
        <v>6.3333110000000001</v>
      </c>
      <c r="W158" s="59">
        <v>4.5630179999999996</v>
      </c>
      <c r="X158" s="59">
        <v>4.5630179999999996</v>
      </c>
    </row>
    <row r="159" spans="1:24" ht="15" thickBot="1">
      <c r="B159" s="44">
        <v>159</v>
      </c>
      <c r="C159" s="570" t="s">
        <v>48</v>
      </c>
      <c r="D159" s="572" t="s">
        <v>159</v>
      </c>
      <c r="E159" s="350" t="s">
        <v>139</v>
      </c>
      <c r="F159" s="310" t="s">
        <v>136</v>
      </c>
      <c r="G159" s="266">
        <v>0.21929999999999999</v>
      </c>
      <c r="H159" s="266">
        <v>0.21929999999999999</v>
      </c>
      <c r="I159" s="266">
        <v>0.21929999999999999</v>
      </c>
      <c r="J159" s="266">
        <v>0.21929999999999999</v>
      </c>
      <c r="K159" s="266">
        <v>0.21929999999999999</v>
      </c>
      <c r="L159" s="266">
        <v>0.21929999999999999</v>
      </c>
      <c r="M159" s="456">
        <f>('INTRODUCIR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DATOS'!$D$17)+'INTRODUCIR DATOS'!$D$15+'INTRODUCIR DATOS'!$D$16+IF('INTRODUCIR DATOS'!$D$21=21%,(('INTRODUCIR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DATOS'!$D$17)+'INTRODUCIR DATOS'!$D$16)*21/100,IF('INTRODUCIR DATOS'!$D$21=10%,(('INTRODUCIR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DATOS'!$D$17)+'INTRODUCIR DATOS'!$D$16)*10/100))</f>
        <v>105.95693176450519</v>
      </c>
      <c r="N159" s="292">
        <f>IF(M159=0,"",'INTRODUCIR DATOS'!$D$14-M159)</f>
        <v>8.1930682354948203</v>
      </c>
      <c r="O159" s="271">
        <f>IF(M159=0,"",('INTRODUCIR DATOS'!$D$14-M159)/'INTRODUCIR DATOS'!$D$14)</f>
        <v>7.1774579373585806E-2</v>
      </c>
    </row>
    <row r="160" spans="1:24">
      <c r="B160" s="19">
        <v>160</v>
      </c>
      <c r="C160" s="570" t="s">
        <v>48</v>
      </c>
      <c r="D160" s="572" t="s">
        <v>160</v>
      </c>
      <c r="E160" s="350" t="s">
        <v>34</v>
      </c>
      <c r="F160" s="311" t="s">
        <v>134</v>
      </c>
      <c r="G160" s="265">
        <f>32.478717/365</f>
        <v>8.8982786301369868E-2</v>
      </c>
      <c r="H160" s="250">
        <f>5.293091/365</f>
        <v>1.4501619178082193E-2</v>
      </c>
      <c r="I160" s="257"/>
      <c r="J160" s="257"/>
      <c r="K160" s="257"/>
      <c r="L160" s="258"/>
      <c r="M160" s="79"/>
      <c r="N160" s="40"/>
      <c r="O160" s="145"/>
    </row>
    <row r="161" spans="2:15">
      <c r="B161" s="44">
        <v>161</v>
      </c>
      <c r="C161" s="570" t="s">
        <v>48</v>
      </c>
      <c r="D161" s="572" t="s">
        <v>161</v>
      </c>
      <c r="E161" s="350" t="s">
        <v>34</v>
      </c>
      <c r="F161" s="310" t="s">
        <v>136</v>
      </c>
      <c r="G161" s="266">
        <v>0.21116805</v>
      </c>
      <c r="H161" s="253">
        <v>0.17358699999999999</v>
      </c>
      <c r="I161" s="253">
        <v>0.16106055</v>
      </c>
      <c r="J161" s="253"/>
      <c r="K161" s="253"/>
      <c r="L161" s="458"/>
      <c r="M161" s="456">
        <f>('INTRODUCIR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DATOS'!$D$17)+'INTRODUCIR DATOS'!$D$15+'INTRODUCIR DATOS'!$D$16+IF('INTRODUCIR DATOS'!$D$21=21%,(('INTRODUCIR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DATOS'!$D$17)+'INTRODUCIR DATOS'!$D$16)*21/100,IF('INTRODUCIR DATOS'!$D$21=10%,(('INTRODUCIR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DATOS'!$D$17)+'INTRODUCIR DATOS'!$D$16)*10/100))</f>
        <v>109.16083122160873</v>
      </c>
      <c r="N161" s="292">
        <f>IF(M161=0,"",'INTRODUCIR DATOS'!$D$14-M161)</f>
        <v>4.9891687783912744</v>
      </c>
      <c r="O161" s="271">
        <f>IF(M161=0,"",('INTRODUCIR DATOS'!$D$14-M161)/'INTRODUCIR DATOS'!$D$14)</f>
        <v>4.3707129026642789E-2</v>
      </c>
    </row>
    <row r="162" spans="2:15">
      <c r="B162" s="19">
        <v>162</v>
      </c>
      <c r="C162" s="570" t="s">
        <v>48</v>
      </c>
      <c r="D162" s="572" t="s">
        <v>86</v>
      </c>
      <c r="E162" s="350" t="s">
        <v>139</v>
      </c>
      <c r="F162" s="311" t="s">
        <v>134</v>
      </c>
      <c r="G162" s="267">
        <v>4.1951479450000002E-2</v>
      </c>
      <c r="H162" s="267">
        <v>3.3960920540000002E-2</v>
      </c>
      <c r="I162" s="267">
        <v>1.161085479E-2</v>
      </c>
      <c r="J162" s="267">
        <v>1.056346027E-2</v>
      </c>
      <c r="K162" s="267">
        <v>1.066932328E-2</v>
      </c>
      <c r="L162" s="267">
        <v>8.8463561600000008E-3</v>
      </c>
      <c r="M162" s="79"/>
      <c r="N162" s="40"/>
      <c r="O162" s="145"/>
    </row>
    <row r="163" spans="2:15">
      <c r="B163" s="44">
        <v>163</v>
      </c>
      <c r="C163" s="570" t="s">
        <v>48</v>
      </c>
      <c r="D163" s="572"/>
      <c r="E163" s="350" t="s">
        <v>139</v>
      </c>
      <c r="F163" s="310" t="s">
        <v>136</v>
      </c>
      <c r="G163" s="266">
        <v>0.19889999999999999</v>
      </c>
      <c r="H163" s="266">
        <v>0.2329</v>
      </c>
      <c r="I163" s="266"/>
      <c r="J163" s="266"/>
      <c r="K163" s="266"/>
      <c r="L163" s="266"/>
      <c r="M163" s="456">
        <f>('INTRODUCIR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DATOS'!$D$17)+'INTRODUCIR DATOS'!$D$15+'INTRODUCIR DATOS'!$D$16+IF('INTRODUCIR DATOS'!$D$21=21%,(('INTRODUCIR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DATOS'!$D$17)+'INTRODUCIR DATOS'!$D$16)*21/100,IF('INTRODUCIR DATOS'!$D$21=10%,(('INTRODUCIR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DATOS'!$D$17)+'INTRODUCIR DATOS'!$D$16)*10/100))</f>
        <v>97.844905424505185</v>
      </c>
      <c r="N163" s="292">
        <f>IF(M163=0,"",'INTRODUCIR DATOS'!$D$14-M163)</f>
        <v>16.30509457549482</v>
      </c>
      <c r="O163" s="271">
        <f>IF(M163=0,"",('INTRODUCIR DATOS'!$D$14-M163)/'INTRODUCIR DATOS'!$D$14)</f>
        <v>0.1428391990844925</v>
      </c>
    </row>
    <row r="164" spans="2:15">
      <c r="B164" s="19">
        <v>164</v>
      </c>
      <c r="C164" s="570" t="s">
        <v>48</v>
      </c>
      <c r="D164" s="572"/>
      <c r="E164" s="350"/>
      <c r="F164" s="311" t="s">
        <v>134</v>
      </c>
      <c r="G164" s="267"/>
      <c r="H164" s="256"/>
      <c r="I164" s="257"/>
      <c r="J164" s="257"/>
      <c r="K164" s="257"/>
      <c r="L164" s="258"/>
      <c r="M164" s="79"/>
      <c r="N164" s="40"/>
      <c r="O164" s="145"/>
    </row>
    <row r="165" spans="2:15" ht="15" thickBot="1">
      <c r="B165" s="44">
        <v>165</v>
      </c>
      <c r="C165" s="576" t="s">
        <v>48</v>
      </c>
      <c r="D165" s="575"/>
      <c r="E165" s="429"/>
      <c r="F165" s="312" t="s">
        <v>136</v>
      </c>
      <c r="G165" s="269"/>
      <c r="H165" s="259"/>
      <c r="I165" s="259"/>
      <c r="J165" s="259"/>
      <c r="K165" s="259"/>
      <c r="L165" s="459"/>
      <c r="M165" s="457">
        <f>('INTRODUCIR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DATOS'!$D$17)+'INTRODUCIR DATOS'!$D$15+'INTRODUCIR DATOS'!$D$16+IF('INTRODUCIR DATOS'!$D$21=21%,(('INTRODUCIR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DATOS'!$D$17)+'INTRODUCIR DATOS'!$D$16)*21/100,IF('INTRODUCIR DATOS'!$D$21=10%,(('INTRODUCIR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DATOS'!$D$17)+'INTRODUCIR DATOS'!$D$16)*10/100))</f>
        <v>1.0285</v>
      </c>
      <c r="N165" s="293">
        <f>IF(M165=0,"",'INTRODUCIR DATOS'!$D$14-M165)</f>
        <v>113.12150000000001</v>
      </c>
      <c r="O165" s="285">
        <f>IF(M165=0,"",('INTRODUCIR DATOS'!$D$14-M165)/'INTRODUCIR DATOS'!$D$14)</f>
        <v>0.99098992553657472</v>
      </c>
    </row>
    <row r="166" spans="2:15">
      <c r="B166" s="19">
        <v>166</v>
      </c>
      <c r="C166" s="577" t="s">
        <v>52</v>
      </c>
      <c r="D166" s="579" t="s">
        <v>53</v>
      </c>
      <c r="E166" s="463" t="s">
        <v>34</v>
      </c>
      <c r="F166" s="309" t="s">
        <v>134</v>
      </c>
      <c r="G166" s="265">
        <v>6.9542999999999994E-2</v>
      </c>
      <c r="H166" s="250">
        <v>3.679E-3</v>
      </c>
      <c r="I166" s="251"/>
      <c r="J166" s="251"/>
      <c r="K166" s="251"/>
      <c r="L166" s="252"/>
      <c r="M166" s="78"/>
      <c r="N166" s="21"/>
      <c r="O166" s="22"/>
    </row>
    <row r="167" spans="2:15" ht="15" thickBot="1">
      <c r="B167" s="44">
        <v>167</v>
      </c>
      <c r="C167" s="570"/>
      <c r="D167" s="574"/>
      <c r="E167" s="464" t="s">
        <v>34</v>
      </c>
      <c r="F167" s="312" t="s">
        <v>136</v>
      </c>
      <c r="G167" s="266">
        <v>0.33500000000000002</v>
      </c>
      <c r="H167" s="266">
        <v>0.33500000000000002</v>
      </c>
      <c r="I167" s="266">
        <v>0.33500000000000002</v>
      </c>
      <c r="J167" s="253"/>
      <c r="K167" s="253"/>
      <c r="L167" s="458"/>
      <c r="M167" s="456">
        <f>('INTRODUCIR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DATOS'!$D$17)+'INTRODUCIR DATOS'!$D$15+'INTRODUCIR DATOS'!$D$16+IF('INTRODUCIR DATOS'!$D$21=21%,(('INTRODUCIR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DATOS'!$D$17)+'INTRODUCIR DATOS'!$D$16)*21/100,IF('INTRODUCIR DATOS'!$D$21=10%,(('INTRODUCIR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DATOS'!$D$17)+'INTRODUCIR DATOS'!$D$16)*10/100))</f>
        <v>151.33668696519999</v>
      </c>
      <c r="N167" s="292">
        <f>IF(M167=0,"",'INTRODUCIR DATOS'!$D$14-M167)</f>
        <v>-37.186686965199982</v>
      </c>
      <c r="O167" s="271">
        <f>IF(M167=0,"",('INTRODUCIR DATOS'!$D$14-M167)/'INTRODUCIR DATOS'!$D$14)</f>
        <v>-0.32577036325186143</v>
      </c>
    </row>
    <row r="168" spans="2:15">
      <c r="B168" s="19">
        <v>168</v>
      </c>
      <c r="C168" s="570" t="s">
        <v>52</v>
      </c>
      <c r="D168" s="572"/>
      <c r="E168" s="464" t="s">
        <v>34</v>
      </c>
      <c r="F168" s="311" t="s">
        <v>134</v>
      </c>
      <c r="G168" s="267"/>
      <c r="H168" s="256"/>
      <c r="I168" s="257"/>
      <c r="J168" s="257"/>
      <c r="K168" s="257"/>
      <c r="L168" s="258"/>
      <c r="M168" s="79"/>
      <c r="N168" s="40"/>
      <c r="O168" s="145"/>
    </row>
    <row r="169" spans="2:15" ht="15" thickBot="1">
      <c r="B169" s="44">
        <v>169</v>
      </c>
      <c r="C169" s="570"/>
      <c r="D169" s="572"/>
      <c r="E169" s="464" t="s">
        <v>34</v>
      </c>
      <c r="F169" s="312" t="s">
        <v>136</v>
      </c>
      <c r="G169" s="266"/>
      <c r="H169" s="253"/>
      <c r="I169" s="253"/>
      <c r="J169" s="253"/>
      <c r="K169" s="253"/>
      <c r="L169" s="458"/>
      <c r="M169" s="456">
        <f>('INTRODUCIR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DATOS'!$D$17)+'INTRODUCIR DATOS'!$D$15+'INTRODUCIR DATOS'!$D$16+IF('INTRODUCIR DATOS'!$D$21=21%,(('INTRODUCIR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DATOS'!$D$17)+'INTRODUCIR DATOS'!$D$16)*21/100,IF('INTRODUCIR DATOS'!$D$21=10%,(('INTRODUCIR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DATOS'!$D$17)+'INTRODUCIR DATOS'!$D$16)*10/100))</f>
        <v>1.0285</v>
      </c>
      <c r="N169" s="292">
        <f>IF(M169=0,"",'INTRODUCIR DATOS'!$D$14-M169)</f>
        <v>113.12150000000001</v>
      </c>
      <c r="O169" s="271">
        <f>IF(M169=0,"",('INTRODUCIR DATOS'!$D$14-M169)/'INTRODUCIR DATOS'!$D$14)</f>
        <v>0.99098992553657472</v>
      </c>
    </row>
    <row r="170" spans="2:15">
      <c r="B170" s="19">
        <v>170</v>
      </c>
      <c r="C170" s="570" t="s">
        <v>52</v>
      </c>
      <c r="D170" s="572" t="s">
        <v>93</v>
      </c>
      <c r="E170" s="464" t="s">
        <v>34</v>
      </c>
      <c r="F170" s="311" t="s">
        <v>134</v>
      </c>
      <c r="G170" s="265">
        <v>6.9542999999999994E-2</v>
      </c>
      <c r="H170" s="250">
        <v>3.679E-3</v>
      </c>
      <c r="I170" s="257"/>
      <c r="J170" s="257"/>
      <c r="K170" s="257"/>
      <c r="L170" s="258"/>
      <c r="M170" s="79"/>
      <c r="N170" s="40"/>
      <c r="O170" s="145"/>
    </row>
    <row r="171" spans="2:15" ht="15" thickBot="1">
      <c r="B171" s="44">
        <v>171</v>
      </c>
      <c r="C171" s="570"/>
      <c r="D171" s="572"/>
      <c r="E171" s="464" t="s">
        <v>34</v>
      </c>
      <c r="F171" s="312" t="s">
        <v>136</v>
      </c>
      <c r="G171" s="266">
        <v>0.41099999999999998</v>
      </c>
      <c r="H171" s="253">
        <v>0.34899999999999998</v>
      </c>
      <c r="I171" s="253">
        <v>0.28199999999999997</v>
      </c>
      <c r="J171" s="253"/>
      <c r="K171" s="253"/>
      <c r="L171" s="458"/>
      <c r="M171" s="456">
        <f>('INTRODUCIR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DATOS'!$D$17)+'INTRODUCIR DATOS'!$D$15+'INTRODUCIR DATOS'!$D$16+IF('INTRODUCIR DATOS'!$D$21=21%,(('INTRODUCIR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DATOS'!$D$17)+'INTRODUCIR DATOS'!$D$16)*21/100,IF('INTRODUCIR DATOS'!$D$21=10%,(('INTRODUCIR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DATOS'!$D$17)+'INTRODUCIR DATOS'!$D$16)*10/100))</f>
        <v>181.5579615652</v>
      </c>
      <c r="N171" s="292">
        <f>IF(M171=0,"",'INTRODUCIR DATOS'!$D$14-M171)</f>
        <v>-67.407961565199997</v>
      </c>
      <c r="O171" s="271">
        <f>IF(M171=0,"",('INTRODUCIR DATOS'!$D$14-M171)/'INTRODUCIR DATOS'!$D$14)</f>
        <v>-0.59052090727288653</v>
      </c>
    </row>
    <row r="172" spans="2:15">
      <c r="B172" s="19">
        <v>172</v>
      </c>
      <c r="C172" s="570" t="s">
        <v>52</v>
      </c>
      <c r="D172" s="572"/>
      <c r="E172" s="464" t="s">
        <v>34</v>
      </c>
      <c r="F172" s="311" t="s">
        <v>134</v>
      </c>
      <c r="G172" s="267"/>
      <c r="H172" s="256"/>
      <c r="I172" s="257"/>
      <c r="J172" s="257"/>
      <c r="K172" s="257"/>
      <c r="L172" s="258"/>
      <c r="M172" s="79"/>
      <c r="N172" s="40"/>
      <c r="O172" s="145"/>
    </row>
    <row r="173" spans="2:15" ht="15" thickBot="1">
      <c r="B173" s="44">
        <v>173</v>
      </c>
      <c r="C173" s="570"/>
      <c r="D173" s="572"/>
      <c r="E173" s="464" t="s">
        <v>34</v>
      </c>
      <c r="F173" s="312" t="s">
        <v>136</v>
      </c>
      <c r="G173" s="266"/>
      <c r="H173" s="253"/>
      <c r="I173" s="253"/>
      <c r="J173" s="253"/>
      <c r="K173" s="253"/>
      <c r="L173" s="458"/>
      <c r="M173" s="456">
        <f>('INTRODUCIR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DATOS'!$D$17)+'INTRODUCIR DATOS'!$D$15+'INTRODUCIR DATOS'!$D$16+IF('INTRODUCIR DATOS'!$D$21=21%,(('INTRODUCIR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DATOS'!$D$17)+'INTRODUCIR DATOS'!$D$16)*21/100,IF('INTRODUCIR DATOS'!$D$21=10%,(('INTRODUCIR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DATOS'!$D$17)+'INTRODUCIR DATOS'!$D$16)*10/100))</f>
        <v>1.0285</v>
      </c>
      <c r="N173" s="292">
        <f>IF(M173=0,"",'INTRODUCIR DATOS'!$D$14-M173)</f>
        <v>113.12150000000001</v>
      </c>
      <c r="O173" s="271">
        <f>IF(M173=0,"",('INTRODUCIR DATOS'!$D$14-M173)/'INTRODUCIR DATOS'!$D$14)</f>
        <v>0.99098992553657472</v>
      </c>
    </row>
    <row r="174" spans="2:15">
      <c r="B174" s="19">
        <v>174</v>
      </c>
      <c r="C174" s="570" t="s">
        <v>52</v>
      </c>
      <c r="D174" s="572" t="s">
        <v>162</v>
      </c>
      <c r="E174" s="464" t="s">
        <v>34</v>
      </c>
      <c r="F174" s="311" t="s">
        <v>134</v>
      </c>
      <c r="G174" s="267"/>
      <c r="H174" s="256"/>
      <c r="I174" s="257"/>
      <c r="J174" s="257"/>
      <c r="K174" s="257"/>
      <c r="L174" s="258"/>
      <c r="M174" s="79"/>
      <c r="N174" s="40"/>
      <c r="O174" s="145"/>
    </row>
    <row r="175" spans="2:15" ht="15" thickBot="1">
      <c r="B175" s="44">
        <v>175</v>
      </c>
      <c r="C175" s="576"/>
      <c r="D175" s="575"/>
      <c r="E175" s="466" t="s">
        <v>34</v>
      </c>
      <c r="F175" s="312" t="s">
        <v>136</v>
      </c>
      <c r="G175" s="269"/>
      <c r="H175" s="259"/>
      <c r="I175" s="259"/>
      <c r="J175" s="259"/>
      <c r="K175" s="259"/>
      <c r="L175" s="459"/>
      <c r="M175" s="457">
        <f>('INTRODUCIR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DATOS'!$D$17)+'INTRODUCIR DATOS'!$D$15+'INTRODUCIR DATOS'!$D$16+IF('INTRODUCIR DATOS'!$D$21=21%,(('INTRODUCIR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DATOS'!$D$17)+'INTRODUCIR DATOS'!$D$16)*21/100,IF('INTRODUCIR DATOS'!$D$21=10%,(('INTRODUCIR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DATOS'!$D$17)+'INTRODUCIR DATOS'!$D$16)*10/100))</f>
        <v>1.0285</v>
      </c>
      <c r="N175" s="293">
        <f>IF(M175=0,"",'INTRODUCIR DATOS'!$D$14-M175)</f>
        <v>113.12150000000001</v>
      </c>
      <c r="O175" s="285">
        <f>IF(M175=0,"",('INTRODUCIR DATOS'!$D$14-M175)/'INTRODUCIR DATOS'!$D$14)</f>
        <v>0.99098992553657472</v>
      </c>
    </row>
    <row r="176" spans="2:15">
      <c r="B176" s="19">
        <v>176</v>
      </c>
      <c r="C176" s="577" t="s">
        <v>55</v>
      </c>
      <c r="D176" s="578" t="s">
        <v>56</v>
      </c>
      <c r="E176" s="463" t="s">
        <v>34</v>
      </c>
      <c r="F176" s="319" t="s">
        <v>134</v>
      </c>
      <c r="G176" s="287">
        <v>8.7278999999999995E-2</v>
      </c>
      <c r="H176" s="288">
        <v>1.4942E-2</v>
      </c>
      <c r="I176" s="289"/>
      <c r="J176" s="289"/>
      <c r="K176" s="289"/>
      <c r="L176" s="460"/>
      <c r="M176" s="439"/>
      <c r="N176" s="339"/>
      <c r="O176" s="149"/>
    </row>
    <row r="177" spans="2:15" ht="15" thickBot="1">
      <c r="B177" s="44">
        <v>177</v>
      </c>
      <c r="C177" s="570"/>
      <c r="D177" s="572"/>
      <c r="E177" s="464" t="s">
        <v>34</v>
      </c>
      <c r="F177" s="312" t="s">
        <v>136</v>
      </c>
      <c r="G177" s="266">
        <v>0.17253299999999999</v>
      </c>
      <c r="H177" s="266">
        <v>0.17253299999999999</v>
      </c>
      <c r="I177" s="266">
        <v>0.17253299999999999</v>
      </c>
      <c r="J177" s="253"/>
      <c r="K177" s="253"/>
      <c r="L177" s="458"/>
      <c r="M177" s="456">
        <f>('INTRODUCIR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DATOS'!$D$17)+'INTRODUCIR DATOS'!$D$15+'INTRODUCIR DATOS'!$D$16+IF('INTRODUCIR DATOS'!$D$21=21%,(('INTRODUCIR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DATOS'!$D$17)+'INTRODUCIR DATOS'!$D$16)*21/100,IF('INTRODUCIR DATOS'!$D$21=10%,(('INTRODUCIR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DATOS'!$D$17)+'INTRODUCIR DATOS'!$D$16)*10/100))</f>
        <v>93.50268540415</v>
      </c>
      <c r="N177" s="292">
        <f>IF(M177=0,"",'INTRODUCIR DATOS'!$D$14-M177)</f>
        <v>20.647314595850006</v>
      </c>
      <c r="O177" s="271">
        <f>IF(M177=0,"",('INTRODUCIR DATOS'!$D$14-M177)/'INTRODUCIR DATOS'!$D$14)</f>
        <v>0.18087879628427511</v>
      </c>
    </row>
    <row r="178" spans="2:15">
      <c r="B178" s="19">
        <v>178</v>
      </c>
      <c r="C178" s="570" t="s">
        <v>55</v>
      </c>
      <c r="D178" s="572" t="s">
        <v>94</v>
      </c>
      <c r="E178" s="464" t="s">
        <v>34</v>
      </c>
      <c r="F178" s="311" t="s">
        <v>134</v>
      </c>
      <c r="G178" s="287">
        <v>8.7278999999999995E-2</v>
      </c>
      <c r="H178" s="288">
        <v>1.4942E-2</v>
      </c>
      <c r="I178" s="257"/>
      <c r="J178" s="257"/>
      <c r="K178" s="257"/>
      <c r="L178" s="258"/>
      <c r="M178" s="79"/>
      <c r="N178" s="40"/>
      <c r="O178" s="145"/>
    </row>
    <row r="179" spans="2:15" ht="15" thickBot="1">
      <c r="B179" s="44">
        <v>179</v>
      </c>
      <c r="C179" s="571"/>
      <c r="D179" s="573"/>
      <c r="E179" s="465" t="s">
        <v>34</v>
      </c>
      <c r="F179" s="312" t="s">
        <v>136</v>
      </c>
      <c r="G179" s="269">
        <v>0.232683</v>
      </c>
      <c r="H179" s="259">
        <v>0.17696500000000001</v>
      </c>
      <c r="I179" s="259">
        <v>0.13486100000000001</v>
      </c>
      <c r="J179" s="259"/>
      <c r="K179" s="259"/>
      <c r="L179" s="459"/>
      <c r="M179" s="457">
        <f>('INTRODUCIR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DATOS'!$D$17)+'INTRODUCIR DATOS'!$D$15+'INTRODUCIR DATOS'!$D$16+IF('INTRODUCIR DATOS'!$D$21=21%,(('INTRODUCIR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DATOS'!$D$17)+'INTRODUCIR DATOS'!$D$16)*21/100,IF('INTRODUCIR DATOS'!$D$21=10%,(('INTRODUCIR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DATOS'!$D$17)+'INTRODUCIR DATOS'!$D$16)*10/100))</f>
        <v>117.42123365665</v>
      </c>
      <c r="N179" s="293">
        <f>IF(M179=0,"",'INTRODUCIR DATOS'!$D$14-M179)</f>
        <v>-3.2712336566499971</v>
      </c>
      <c r="O179" s="285">
        <f>IF(M179=0,"",('INTRODUCIR DATOS'!$D$14-M179)/'INTRODUCIR DATOS'!$D$14)</f>
        <v>-2.8657325069207158E-2</v>
      </c>
    </row>
  </sheetData>
  <mergeCells count="179">
    <mergeCell ref="C164:C165"/>
    <mergeCell ref="C148:C149"/>
    <mergeCell ref="C150:C151"/>
    <mergeCell ref="C152:C153"/>
    <mergeCell ref="C154:C155"/>
    <mergeCell ref="C156:C157"/>
    <mergeCell ref="C138:C139"/>
    <mergeCell ref="C140:C141"/>
    <mergeCell ref="C142:C143"/>
    <mergeCell ref="C144:C145"/>
    <mergeCell ref="C146:C147"/>
    <mergeCell ref="C128:C129"/>
    <mergeCell ref="C130:C131"/>
    <mergeCell ref="C132:C133"/>
    <mergeCell ref="C134:C135"/>
    <mergeCell ref="C136:C137"/>
    <mergeCell ref="C112:C113"/>
    <mergeCell ref="C114:C115"/>
    <mergeCell ref="C116:C117"/>
    <mergeCell ref="C124:C125"/>
    <mergeCell ref="C126:C127"/>
    <mergeCell ref="C90:C91"/>
    <mergeCell ref="C92:C93"/>
    <mergeCell ref="C100:C101"/>
    <mergeCell ref="C102:C103"/>
    <mergeCell ref="C104:C105"/>
    <mergeCell ref="C106:C107"/>
    <mergeCell ref="C108:C109"/>
    <mergeCell ref="C110:C111"/>
    <mergeCell ref="C74:C75"/>
    <mergeCell ref="C76:C77"/>
    <mergeCell ref="C78:C79"/>
    <mergeCell ref="C88:C89"/>
    <mergeCell ref="C62:C63"/>
    <mergeCell ref="C64:C65"/>
    <mergeCell ref="C66:C67"/>
    <mergeCell ref="C68:C69"/>
    <mergeCell ref="C70:C71"/>
    <mergeCell ref="C80:C81"/>
    <mergeCell ref="C82:C83"/>
    <mergeCell ref="C84:C85"/>
    <mergeCell ref="C86:C87"/>
    <mergeCell ref="C58:C59"/>
    <mergeCell ref="C60:C61"/>
    <mergeCell ref="C42:C43"/>
    <mergeCell ref="C44:C45"/>
    <mergeCell ref="C46:C47"/>
    <mergeCell ref="C48:C49"/>
    <mergeCell ref="C50:C51"/>
    <mergeCell ref="C72:C73"/>
    <mergeCell ref="C2:C3"/>
    <mergeCell ref="C4:C5"/>
    <mergeCell ref="C6:C7"/>
    <mergeCell ref="C8:C9"/>
    <mergeCell ref="C10:C11"/>
    <mergeCell ref="C32:C33"/>
    <mergeCell ref="C34:C35"/>
    <mergeCell ref="C36:C37"/>
    <mergeCell ref="C38:C39"/>
    <mergeCell ref="C22:C23"/>
    <mergeCell ref="C24:C25"/>
    <mergeCell ref="C26:C27"/>
    <mergeCell ref="C28:C29"/>
    <mergeCell ref="C30:C31"/>
    <mergeCell ref="C12:C13"/>
    <mergeCell ref="C14:C15"/>
    <mergeCell ref="C16:C17"/>
    <mergeCell ref="C18:C19"/>
    <mergeCell ref="C20:C21"/>
    <mergeCell ref="C40:C41"/>
    <mergeCell ref="C52:C53"/>
    <mergeCell ref="C54:C55"/>
    <mergeCell ref="C56:C57"/>
    <mergeCell ref="D74:D75"/>
    <mergeCell ref="D76:D77"/>
    <mergeCell ref="D50:D51"/>
    <mergeCell ref="D52:D53"/>
    <mergeCell ref="D54:D55"/>
    <mergeCell ref="D44:D45"/>
    <mergeCell ref="D46:D47"/>
    <mergeCell ref="D48:D49"/>
    <mergeCell ref="D62:D63"/>
    <mergeCell ref="D64:D65"/>
    <mergeCell ref="D66:D67"/>
    <mergeCell ref="D56:D57"/>
    <mergeCell ref="D58:D59"/>
    <mergeCell ref="D60:D61"/>
    <mergeCell ref="D26:D27"/>
    <mergeCell ref="D28:D29"/>
    <mergeCell ref="D30:D31"/>
    <mergeCell ref="D78:D79"/>
    <mergeCell ref="D68:D69"/>
    <mergeCell ref="D70:D71"/>
    <mergeCell ref="D72:D73"/>
    <mergeCell ref="D124:D125"/>
    <mergeCell ref="D126:D127"/>
    <mergeCell ref="D128:D129"/>
    <mergeCell ref="D112:D113"/>
    <mergeCell ref="D114:D115"/>
    <mergeCell ref="D116:D117"/>
    <mergeCell ref="D80:D81"/>
    <mergeCell ref="D82:D83"/>
    <mergeCell ref="D84:D85"/>
    <mergeCell ref="D108:D109"/>
    <mergeCell ref="D110:D111"/>
    <mergeCell ref="D86:D87"/>
    <mergeCell ref="D100:D101"/>
    <mergeCell ref="D102:D103"/>
    <mergeCell ref="D104:D105"/>
    <mergeCell ref="D88:D89"/>
    <mergeCell ref="D90:D91"/>
    <mergeCell ref="D92:D93"/>
    <mergeCell ref="D20:D21"/>
    <mergeCell ref="D22:D23"/>
    <mergeCell ref="D24:D25"/>
    <mergeCell ref="D38:D39"/>
    <mergeCell ref="D40:D41"/>
    <mergeCell ref="D42:D43"/>
    <mergeCell ref="D32:D33"/>
    <mergeCell ref="D34:D35"/>
    <mergeCell ref="D36:D37"/>
    <mergeCell ref="P1:Q1"/>
    <mergeCell ref="D2:D3"/>
    <mergeCell ref="D4:D5"/>
    <mergeCell ref="D6:D7"/>
    <mergeCell ref="D8:D9"/>
    <mergeCell ref="D14:D15"/>
    <mergeCell ref="D16:D17"/>
    <mergeCell ref="D18:D19"/>
    <mergeCell ref="D10:D11"/>
    <mergeCell ref="D12:D13"/>
    <mergeCell ref="D152:D153"/>
    <mergeCell ref="D142:D143"/>
    <mergeCell ref="D144:D145"/>
    <mergeCell ref="D172:D173"/>
    <mergeCell ref="C174:C175"/>
    <mergeCell ref="D174:D175"/>
    <mergeCell ref="C176:C177"/>
    <mergeCell ref="D176:D177"/>
    <mergeCell ref="C166:C167"/>
    <mergeCell ref="D166:D167"/>
    <mergeCell ref="C168:C169"/>
    <mergeCell ref="D168:D169"/>
    <mergeCell ref="C170:C171"/>
    <mergeCell ref="D170:D171"/>
    <mergeCell ref="D146:D147"/>
    <mergeCell ref="D160:D161"/>
    <mergeCell ref="D162:D163"/>
    <mergeCell ref="D164:D165"/>
    <mergeCell ref="D154:D155"/>
    <mergeCell ref="D156:D157"/>
    <mergeCell ref="D158:D159"/>
    <mergeCell ref="C158:C159"/>
    <mergeCell ref="C160:C161"/>
    <mergeCell ref="C162:C163"/>
    <mergeCell ref="C178:C179"/>
    <mergeCell ref="D178:D179"/>
    <mergeCell ref="C94:C95"/>
    <mergeCell ref="D94:D95"/>
    <mergeCell ref="C96:C97"/>
    <mergeCell ref="D96:D97"/>
    <mergeCell ref="C98:C99"/>
    <mergeCell ref="D98:D99"/>
    <mergeCell ref="C118:C119"/>
    <mergeCell ref="C120:C121"/>
    <mergeCell ref="C122:C123"/>
    <mergeCell ref="D118:D119"/>
    <mergeCell ref="D120:D121"/>
    <mergeCell ref="D122:D123"/>
    <mergeCell ref="C172:C173"/>
    <mergeCell ref="D106:D107"/>
    <mergeCell ref="D136:D137"/>
    <mergeCell ref="D138:D139"/>
    <mergeCell ref="D140:D141"/>
    <mergeCell ref="D130:D131"/>
    <mergeCell ref="D132:D133"/>
    <mergeCell ref="D134:D135"/>
    <mergeCell ref="D148:D149"/>
    <mergeCell ref="D150:D151"/>
  </mergeCells>
  <phoneticPr fontId="44" type="noConversion"/>
  <conditionalFormatting sqref="N3 N5 N7 N9 N11 N13 N15 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cfRule type="expression" dxfId="500" priority="268">
      <formula>LEFT(#REF!,3)="Fee"</formula>
    </cfRule>
  </conditionalFormatting>
  <conditionalFormatting sqref="O3 O5 O7 O9 O11 O13 O15 O17 O19 O21 O23 O25 O27 O29 O31 O33 O35 O37 O39 O41 O43 O45 O47 O49 O51 O53 O55 O57 O59 O61 O63 O65 O67 O69 O71 O73 O75 O77 O79 O81 O83 O85 O87 O89 O91 O93 O95 O97 O99 O101 O103 O105 O107 O109 O111 O113 O115 O117 O119 O121 O123 O125 O127 O129 O131 O133 O135 O137 O139 O141 O143 O145 O147 O149 O151 O153 O155 O157 O159 O161 O163 O165 O167 O169 O171 O173 O175 O177 O179">
    <cfRule type="expression" dxfId="499" priority="267">
      <formula>LEFT(#REF!,3)&lt;&gt;"Fee"</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270" id="{A015424C-F235-474F-B5D1-C20899426D97}">
            <xm:f>'G:\Users\GEC\Documents\LUZ\[Copia de 20200615.xlsx]DATOS'!#REF!="NO"</xm:f>
            <x14:dxf>
              <border>
                <left/>
                <right/>
                <top/>
                <bottom/>
                <vertical/>
                <horizontal/>
              </border>
            </x14:dxf>
          </x14:cfRule>
          <xm:sqref>N3 N5 N7 N9 N11 N13 N15 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xm:sqref>
        </x14:conditionalFormatting>
        <x14:conditionalFormatting xmlns:xm="http://schemas.microsoft.com/office/excel/2006/main">
          <x14:cfRule type="expression" priority="269" id="{4DE097E2-79A1-4AF7-B069-6A8F8498570E}">
            <xm:f>OR('G:\Users\GEC\Documents\LUZ\[Copia de 20200615.xlsx]AUX'!#REF!=TRUE,'G:\Users\GEC\Documents\LUZ\[Copia de 20200615.xlsx]AUX'!#REF!=TRUE)</xm:f>
            <x14:dxf>
              <font>
                <color theme="0"/>
              </font>
              <fill>
                <patternFill>
                  <bgColor theme="0"/>
                </patternFill>
              </fill>
              <border>
                <left/>
                <right/>
                <top/>
                <bottom/>
                <vertical/>
                <horizontal/>
              </border>
            </x14:dxf>
          </x14:cfRule>
          <xm:sqref>M3:N3 M5:N5 M7:N7 M9:N9 M11:N11 M13:N13 M15:N15 M17:N17 M19:N19 M21:N21 M23:N23 M25:N25 M27:N27 M29:N29 M31:N31 M33:N33 M35:N35 M37:N37 M39:N39 M41:N41 M43:N43 M45:N45 M47:N47 M49:N49 M51:N51 M53:N53 M55:N55 M57:N57 M59:N59 M61:N61 M63:N63 M65:N65 M67:N67 M69:N69 M71:N71 M73:N73 M75:N75 M77:N77 M79:N79 M81:N81 M83:N83 M85:N85 M87:N87 M89:N89 M91:N91 M93:N93 M95:N95 M97:N97 M99:N99 M101:N101 M103:N103 M105:N105 M107:N107 M109:N109 M111:N111 M113:N113 M115:N115 M117:N117 M119:N119 M121:N121 M123:N123 M125:N125 M127:N127 M129:N129 M131:N131 M133:N133 M135:N135 M137:N137 M139:N139 M141:N141 M143:N143 M145:N145 M147:N147 M149:N149 M151:N151 M153:N153 M155:N155 M157:N157 M159:N159 M161:N161 M163:N163 M165:N165 M167:N167 M169:N169 M171:N171 M173:N173 M175:N175 M177:N177 M179:N179</xm:sqref>
        </x14:conditionalFormatting>
        <x14:conditionalFormatting xmlns:xm="http://schemas.microsoft.com/office/excel/2006/main">
          <x14:cfRule type="expression" priority="266" id="{6A437886-D546-4BC8-B818-76BE68B8AB2F}">
            <xm:f>OR('G:\Users\GEC\Documents\LUZ\[Copia de 20200615.xlsx]AUX'!#REF!=TRUE,'G:\Users\GEC\Documents\LUZ\[Copia de 20200615.xlsx]AUX'!#REF!=TRUE)</xm:f>
            <x14:dxf>
              <font>
                <color theme="0"/>
              </font>
              <fill>
                <patternFill>
                  <bgColor theme="0"/>
                </patternFill>
              </fill>
              <border>
                <left/>
                <right/>
                <top/>
                <bottom/>
                <vertical/>
                <horizontal/>
              </border>
            </x14:dxf>
          </x14:cfRule>
          <xm:sqref>O3 O5 O7 O9 O11 O13 O15 O17 O19 O21 O23 O25 O27 O29 O31 O33 O35 O37 O39 O41 O43 O45 O47 O49 O51 O53 O55 O57 O59 O61 O63 O65 O67 O69 O71 O73 O75 O77 O79 O81 O83 O85 O87 O89 O91 O93 O95 O97 O99 O101 O103 O105 O107 O109 O111 O113 O115 O117 O119 O121 O123 O125 O127 O129 O131 O133 O135 O137 O139 O141 O143 O145 O147 O149 O151 O153 O155 O157 O159 O161 O163 O165 O167 O169 O171 O173 O175 O177 O179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00B0F0"/>
  </sheetPr>
  <dimension ref="A1:CS81"/>
  <sheetViews>
    <sheetView showZeros="0" zoomScaleNormal="100" workbookViewId="0">
      <pane ySplit="1" topLeftCell="A2" activePane="bottomLeft" state="frozen"/>
      <selection pane="bottomLeft" activeCell="F42" sqref="F42"/>
    </sheetView>
  </sheetViews>
  <sheetFormatPr defaultColWidth="11.42578125" defaultRowHeight="14.45"/>
  <cols>
    <col min="1" max="1" width="9.42578125" style="248" bestFit="1" customWidth="1"/>
    <col min="2" max="2" width="11.42578125" style="19" bestFit="1" customWidth="1"/>
    <col min="3" max="3" width="6" style="270" bestFit="1" customWidth="1"/>
    <col min="4" max="4" width="10" style="249" bestFit="1" customWidth="1"/>
    <col min="5" max="5" width="10.7109375" style="248" bestFit="1" customWidth="1"/>
    <col min="6" max="9" width="10.7109375" style="19" bestFit="1" customWidth="1"/>
    <col min="10" max="10" width="10.7109375" style="270" bestFit="1" customWidth="1"/>
    <col min="11" max="11" width="15.42578125" style="248" customWidth="1"/>
    <col min="12" max="12" width="8.7109375" style="19" bestFit="1" customWidth="1"/>
    <col min="13" max="13" width="7.85546875" style="270" bestFit="1" customWidth="1"/>
    <col min="14" max="14" width="10" style="19" bestFit="1" customWidth="1"/>
    <col min="15" max="20" width="10.7109375" style="19" bestFit="1" customWidth="1"/>
    <col min="21" max="21" width="10" style="19" bestFit="1" customWidth="1"/>
    <col min="22" max="27" width="10.7109375" style="19" bestFit="1" customWidth="1"/>
    <col min="28" max="28" width="10" style="19" bestFit="1" customWidth="1"/>
    <col min="29" max="34" width="10.7109375" style="19" bestFit="1" customWidth="1"/>
    <col min="35" max="35" width="10" style="19" bestFit="1" customWidth="1"/>
    <col min="36" max="41" width="10.7109375" style="19" bestFit="1" customWidth="1"/>
    <col min="42" max="42" width="10" style="19" bestFit="1" customWidth="1"/>
    <col min="43" max="48" width="10.7109375" style="19" bestFit="1" customWidth="1"/>
    <col min="49" max="49" width="10" style="19" bestFit="1" customWidth="1"/>
    <col min="50" max="55" width="10.7109375" style="19" bestFit="1" customWidth="1"/>
    <col min="56" max="56" width="10" style="19" bestFit="1" customWidth="1"/>
    <col min="57" max="62" width="10.7109375" style="19" bestFit="1" customWidth="1"/>
    <col min="63" max="63" width="10" style="19" bestFit="1" customWidth="1"/>
    <col min="64" max="69" width="10.7109375" style="19" bestFit="1" customWidth="1"/>
    <col min="70" max="70" width="11.85546875" style="19" bestFit="1" customWidth="1"/>
    <col min="71" max="76" width="10.7109375" style="19" bestFit="1" customWidth="1"/>
    <col min="77" max="77" width="10" style="19" bestFit="1" customWidth="1"/>
    <col min="78" max="83" width="10.7109375" style="19" bestFit="1" customWidth="1"/>
    <col min="84" max="84" width="11.85546875" style="19" bestFit="1" customWidth="1"/>
    <col min="85" max="97" width="10.7109375" style="19" bestFit="1" customWidth="1"/>
    <col min="98" max="16384" width="11.42578125" style="19"/>
  </cols>
  <sheetData>
    <row r="1" spans="1:97" ht="15" thickBot="1">
      <c r="A1" s="340" t="s">
        <v>132</v>
      </c>
      <c r="B1" s="341" t="s">
        <v>10</v>
      </c>
      <c r="C1" s="342"/>
      <c r="D1" s="264"/>
      <c r="E1" s="340">
        <v>1</v>
      </c>
      <c r="F1" s="341">
        <v>2</v>
      </c>
      <c r="G1" s="341">
        <v>3</v>
      </c>
      <c r="H1" s="341">
        <v>4</v>
      </c>
      <c r="I1" s="341">
        <v>5</v>
      </c>
      <c r="J1" s="342">
        <v>6</v>
      </c>
      <c r="K1" s="340" t="s">
        <v>23</v>
      </c>
      <c r="L1" s="341" t="s">
        <v>11</v>
      </c>
      <c r="M1" s="342"/>
      <c r="N1" s="264" t="s">
        <v>163</v>
      </c>
      <c r="O1" s="340">
        <v>1</v>
      </c>
      <c r="P1" s="341">
        <v>2</v>
      </c>
      <c r="Q1" s="341">
        <v>3</v>
      </c>
      <c r="R1" s="341">
        <v>4</v>
      </c>
      <c r="S1" s="341">
        <v>5</v>
      </c>
      <c r="T1" s="342">
        <v>6</v>
      </c>
      <c r="U1" s="264" t="s">
        <v>164</v>
      </c>
      <c r="V1" s="340">
        <v>1</v>
      </c>
      <c r="W1" s="341">
        <v>2</v>
      </c>
      <c r="X1" s="341">
        <v>3</v>
      </c>
      <c r="Y1" s="341">
        <v>4</v>
      </c>
      <c r="Z1" s="341">
        <v>5</v>
      </c>
      <c r="AA1" s="342">
        <v>6</v>
      </c>
      <c r="AB1" s="264" t="s">
        <v>165</v>
      </c>
      <c r="AC1" s="340">
        <v>1</v>
      </c>
      <c r="AD1" s="341">
        <v>2</v>
      </c>
      <c r="AE1" s="341">
        <v>3</v>
      </c>
      <c r="AF1" s="341">
        <v>4</v>
      </c>
      <c r="AG1" s="341">
        <v>5</v>
      </c>
      <c r="AH1" s="342">
        <v>6</v>
      </c>
      <c r="AI1" s="264" t="s">
        <v>166</v>
      </c>
      <c r="AJ1" s="340">
        <v>1</v>
      </c>
      <c r="AK1" s="341">
        <v>2</v>
      </c>
      <c r="AL1" s="341">
        <v>3</v>
      </c>
      <c r="AM1" s="341">
        <v>4</v>
      </c>
      <c r="AN1" s="341">
        <v>5</v>
      </c>
      <c r="AO1" s="342">
        <v>6</v>
      </c>
      <c r="AP1" s="264" t="s">
        <v>167</v>
      </c>
      <c r="AQ1" s="340">
        <v>1</v>
      </c>
      <c r="AR1" s="341">
        <v>2</v>
      </c>
      <c r="AS1" s="341">
        <v>3</v>
      </c>
      <c r="AT1" s="341">
        <v>4</v>
      </c>
      <c r="AU1" s="341">
        <v>5</v>
      </c>
      <c r="AV1" s="342">
        <v>6</v>
      </c>
      <c r="AW1" s="264" t="s">
        <v>168</v>
      </c>
      <c r="AX1" s="340">
        <v>1</v>
      </c>
      <c r="AY1" s="341">
        <v>2</v>
      </c>
      <c r="AZ1" s="341">
        <v>3</v>
      </c>
      <c r="BA1" s="341">
        <v>4</v>
      </c>
      <c r="BB1" s="341">
        <v>5</v>
      </c>
      <c r="BC1" s="342">
        <v>6</v>
      </c>
      <c r="BD1" s="264" t="s">
        <v>169</v>
      </c>
      <c r="BE1" s="340">
        <v>1</v>
      </c>
      <c r="BF1" s="341">
        <v>2</v>
      </c>
      <c r="BG1" s="341">
        <v>3</v>
      </c>
      <c r="BH1" s="341">
        <v>4</v>
      </c>
      <c r="BI1" s="341">
        <v>5</v>
      </c>
      <c r="BJ1" s="342">
        <v>6</v>
      </c>
      <c r="BK1" s="264" t="s">
        <v>170</v>
      </c>
      <c r="BL1" s="340">
        <v>1</v>
      </c>
      <c r="BM1" s="341">
        <v>2</v>
      </c>
      <c r="BN1" s="341">
        <v>3</v>
      </c>
      <c r="BO1" s="341">
        <v>4</v>
      </c>
      <c r="BP1" s="341">
        <v>5</v>
      </c>
      <c r="BQ1" s="342">
        <v>6</v>
      </c>
      <c r="BR1" s="264" t="s">
        <v>171</v>
      </c>
      <c r="BS1" s="340">
        <v>1</v>
      </c>
      <c r="BT1" s="341">
        <v>2</v>
      </c>
      <c r="BU1" s="341">
        <v>3</v>
      </c>
      <c r="BV1" s="341">
        <v>4</v>
      </c>
      <c r="BW1" s="341">
        <v>5</v>
      </c>
      <c r="BX1" s="342">
        <v>6</v>
      </c>
      <c r="BY1" s="264" t="s">
        <v>172</v>
      </c>
      <c r="BZ1" s="340">
        <v>1</v>
      </c>
      <c r="CA1" s="341">
        <v>2</v>
      </c>
      <c r="CB1" s="341">
        <v>3</v>
      </c>
      <c r="CC1" s="341">
        <v>4</v>
      </c>
      <c r="CD1" s="341">
        <v>5</v>
      </c>
      <c r="CE1" s="342">
        <v>6</v>
      </c>
      <c r="CF1" s="264" t="s">
        <v>173</v>
      </c>
      <c r="CG1" s="340">
        <v>1</v>
      </c>
      <c r="CH1" s="341">
        <v>2</v>
      </c>
      <c r="CI1" s="341">
        <v>3</v>
      </c>
      <c r="CJ1" s="341">
        <v>4</v>
      </c>
      <c r="CK1" s="341">
        <v>5</v>
      </c>
      <c r="CL1" s="342">
        <v>6</v>
      </c>
      <c r="CM1" s="264" t="s">
        <v>174</v>
      </c>
      <c r="CN1" s="340">
        <v>1</v>
      </c>
      <c r="CO1" s="341">
        <v>2</v>
      </c>
      <c r="CP1" s="341">
        <v>3</v>
      </c>
      <c r="CQ1" s="341">
        <v>4</v>
      </c>
      <c r="CR1" s="341">
        <v>5</v>
      </c>
      <c r="CS1" s="342">
        <v>6</v>
      </c>
    </row>
    <row r="2" spans="1:97">
      <c r="A2" s="23" t="s">
        <v>17</v>
      </c>
      <c r="B2" s="21" t="s">
        <v>18</v>
      </c>
      <c r="C2" s="76" t="s">
        <v>34</v>
      </c>
      <c r="D2" s="277" t="s">
        <v>134</v>
      </c>
      <c r="E2" s="265" t="b">
        <f>IF('INTRODUCIR DATOS'!$D$20="ENERO",'RESULTADO INDEXADO'!O2,IF('INTRODUCIR DATOS'!$D$20="FEBRERO",'RESULTADO INDEXADO'!V2,IF('INTRODUCIR DATOS'!$D$20="MARZO",'RESULTADO INDEXADO'!AC2,IF('INTRODUCIR DATOS'!$D$20="ABRIL",'RESULTADO INDEXADO'!AJ2,IF('INTRODUCIR DATOS'!$D$20="MAYO",'RESULTADO INDEXADO'!AQ2,IF('INTRODUCIR DATOS'!$D$20="JUNIO",'RESULTADO INDEXADO'!AX2,IF('INTRODUCIR DATOS'!$D$20="JULIO",'RESULTADO INDEXADO'!BE2,IF('INTRODUCIR DATOS'!$D$20="AGOSTO",'RESULTADO INDEXADO'!BL2,IF('INTRODUCIR DATOS'!$D$20="SEPTIEMBRE",'RESULTADO INDEXADO'!BS2,IF('INTRODUCIR DATOS'!$D$20="OCTUBRE",'RESULTADO INDEXADO'!BZ2,IF('INTRODUCIR DATOS'!$D$20="NOVIEMBRE",'RESULTADO INDEXADO'!CG2,IF('INTRODUCIR DATOS'!$D$20="DICIEMBRE",'RESULTADO INDEXADO'!CN2))))))))))))</f>
        <v>0</v>
      </c>
      <c r="F2" s="250" t="b">
        <f>IF('INTRODUCIR DATOS'!$D$20="ENERO",'RESULTADO INDEXADO'!P2,IF('INTRODUCIR DATOS'!$D$20="FEBRERO",'RESULTADO INDEXADO'!W2,IF('INTRODUCIR DATOS'!$D$20="MARZO",'RESULTADO INDEXADO'!AD2,IF('INTRODUCIR DATOS'!$D$20="ABRIL",'RESULTADO INDEXADO'!AK2,IF('INTRODUCIR DATOS'!$D$20="MAYO",'RESULTADO INDEXADO'!AR2,IF('INTRODUCIR DATOS'!$D$20="JUNIO",'RESULTADO INDEXADO'!AY2,IF('INTRODUCIR DATOS'!$D$20="JULIO",'RESULTADO INDEXADO'!BF2,IF('INTRODUCIR DATOS'!$D$20="AGOSTO",'RESULTADO INDEXADO'!BM2,IF('INTRODUCIR DATOS'!$D$20="SEPTIEMBRE",'RESULTADO INDEXADO'!BT2,IF('INTRODUCIR DATOS'!$D$20="OCTUBRE",'RESULTADO INDEXADO'!CA2,IF('INTRODUCIR DATOS'!$D$20="NOVIEMBRE",'RESULTADO INDEXADO'!CH2,IF('INTRODUCIR DATOS'!$D$20="DICIEMBRE",'RESULTADO INDEXADO'!CO2))))))))))))</f>
        <v>0</v>
      </c>
      <c r="G2" s="251" t="b">
        <f>IF('INTRODUCIR DATOS'!$D$20="ENERO",'RESULTADO INDEXADO'!Q2,IF('INTRODUCIR DATOS'!$D$20="FEBRERO",'RESULTADO INDEXADO'!X2,IF('INTRODUCIR DATOS'!$D$20="MARZO",'RESULTADO INDEXADO'!AE2,IF('INTRODUCIR DATOS'!$D$20="ABRIL",'RESULTADO INDEXADO'!AL2,IF('INTRODUCIR DATOS'!$D$20="MAYO",'RESULTADO INDEXADO'!AS2,IF('INTRODUCIR DATOS'!$D$20="JUNIO",'RESULTADO INDEXADO'!AZ2,IF('INTRODUCIR DATOS'!$D$20="JULIO",'RESULTADO INDEXADO'!BG2,IF('INTRODUCIR DATOS'!$D$20="AGOSTO",'RESULTADO INDEXADO'!BN2,IF('INTRODUCIR DATOS'!$D$20="SEPTIEMBRE",'RESULTADO INDEXADO'!BU2,IF('INTRODUCIR DATOS'!$D$20="OCTUBRE",'RESULTADO INDEXADO'!CB2,IF('INTRODUCIR DATOS'!$D$20="NOVIEMBRE",'RESULTADO INDEXADO'!CI2,IF('INTRODUCIR DATOS'!$D$20="DICIEMBRE",'RESULTADO INDEXADO'!CP2))))))))))))</f>
        <v>0</v>
      </c>
      <c r="H2" s="251" t="b">
        <f>IF('INTRODUCIR DATOS'!$D$20="ENERO",'RESULTADO INDEXADO'!R2,IF('INTRODUCIR DATOS'!$D$20="FEBRERO",'RESULTADO INDEXADO'!Y2,IF('INTRODUCIR DATOS'!$D$20="MARZO",'RESULTADO INDEXADO'!AF2,IF('INTRODUCIR DATOS'!$D$20="ABRIL",'RESULTADO INDEXADO'!AM2,IF('INTRODUCIR DATOS'!$D$20="MAYO",'RESULTADO INDEXADO'!AT2,IF('INTRODUCIR DATOS'!$D$20="JUNIO",'RESULTADO INDEXADO'!BA2,IF('INTRODUCIR DATOS'!$D$20="JULIO",'RESULTADO INDEXADO'!BH2,IF('INTRODUCIR DATOS'!$D$20="AGOSTO",'RESULTADO INDEXADO'!BO2,IF('INTRODUCIR DATOS'!$D$20="SEPTIEMBRE",'RESULTADO INDEXADO'!BV2,IF('INTRODUCIR DATOS'!$D$20="OCTUBRE",'RESULTADO INDEXADO'!CC2,IF('INTRODUCIR DATOS'!$D$20="NOVIEMBRE",'RESULTADO INDEXADO'!CJ2,IF('INTRODUCIR DATOS'!$D$20="DICIEMBRE",'RESULTADO INDEXADO'!CQ2))))))))))))</f>
        <v>0</v>
      </c>
      <c r="I2" s="251" t="b">
        <f>IF('INTRODUCIR DATOS'!$D$20="ENERO",'RESULTADO INDEXADO'!S2,IF('INTRODUCIR DATOS'!$D$20="FEBRERO",'RESULTADO INDEXADO'!Z2,IF('INTRODUCIR DATOS'!$D$20="MARZO",'RESULTADO INDEXADO'!AG2,IF('INTRODUCIR DATOS'!$D$20="ABRIL",'RESULTADO INDEXADO'!AN2,IF('INTRODUCIR DATOS'!$D$20="MAYO",'RESULTADO INDEXADO'!AU2,IF('INTRODUCIR DATOS'!$D$20="JUNIO",'RESULTADO INDEXADO'!BB2,IF('INTRODUCIR DATOS'!$D$20="JULIO",'RESULTADO INDEXADO'!BI2,IF('INTRODUCIR DATOS'!$D$20="AGOSTO",'RESULTADO INDEXADO'!BP2,IF('INTRODUCIR DATOS'!$D$20="SEPTIEMBRE",'RESULTADO INDEXADO'!BW2,IF('INTRODUCIR DATOS'!$D$20="OCTUBRE",'RESULTADO INDEXADO'!CD2,IF('INTRODUCIR DATOS'!$D$20="NOVIEMBRE",'RESULTADO INDEXADO'!CK2,IF('INTRODUCIR DATOS'!$D$20="DICIEMBRE",'RESULTADO INDEXADO'!CR2))))))))))))</f>
        <v>0</v>
      </c>
      <c r="J2" s="294" t="b">
        <f>IF('INTRODUCIR DATOS'!$D$20="ENERO",'RESULTADO INDEXADO'!T2,IF('INTRODUCIR DATOS'!$D$20="FEBRERO",'RESULTADO INDEXADO'!AA2,IF('INTRODUCIR DATOS'!$D$20="MARZO",'RESULTADO INDEXADO'!AH2,IF('INTRODUCIR DATOS'!$D$20="ABRIL",'RESULTADO INDEXADO'!AO2,IF('INTRODUCIR DATOS'!$D$20="MAYO",'RESULTADO INDEXADO'!AV2,IF('INTRODUCIR DATOS'!$D$20="JUNIO",'RESULTADO INDEXADO'!BC2,IF('INTRODUCIR DATOS'!$D$20="JULIO",'RESULTADO INDEXADO'!BJ2,IF('INTRODUCIR DATOS'!$D$20="AGOSTO",'RESULTADO INDEXADO'!BQ2,IF('INTRODUCIR DATOS'!$D$20="SEPTIEMBRE",'RESULTADO INDEXADO'!BX2,IF('INTRODUCIR DATOS'!$D$20="OCTUBRE",'RESULTADO INDEXADO'!CE2,IF('INTRODUCIR DATOS'!$D$20="NOVIEMBRE",'RESULTADO INDEXADO'!CL2,IF('INTRODUCIR DATOS'!$D$20="DICIEMBRE",'RESULTADO INDEXADO'!CS2))))))))))))</f>
        <v>0</v>
      </c>
      <c r="K2" s="23"/>
      <c r="L2" s="21"/>
      <c r="M2" s="22"/>
      <c r="N2" s="309" t="s">
        <v>134</v>
      </c>
      <c r="O2" s="265">
        <v>0.11225386301369862</v>
      </c>
      <c r="P2" s="250">
        <v>3.2121531506849314E-2</v>
      </c>
      <c r="Q2" s="251"/>
      <c r="R2" s="251"/>
      <c r="S2" s="251"/>
      <c r="T2" s="252"/>
      <c r="U2" s="277" t="s">
        <v>134</v>
      </c>
      <c r="V2" s="265">
        <v>0.11225386301369862</v>
      </c>
      <c r="W2" s="250">
        <v>3.2121531506849314E-2</v>
      </c>
      <c r="X2" s="251"/>
      <c r="Y2" s="251"/>
      <c r="Z2" s="251"/>
      <c r="AA2" s="252"/>
      <c r="AB2" s="277" t="s">
        <v>134</v>
      </c>
      <c r="AC2" s="265">
        <v>0.11225386301369862</v>
      </c>
      <c r="AD2" s="250">
        <v>3.2121531506849314E-2</v>
      </c>
      <c r="AE2" s="251"/>
      <c r="AF2" s="251"/>
      <c r="AG2" s="251"/>
      <c r="AH2" s="252"/>
      <c r="AI2" s="277" t="s">
        <v>134</v>
      </c>
      <c r="AJ2" s="265">
        <v>0.11225386301369862</v>
      </c>
      <c r="AK2" s="250">
        <v>3.2121531506849314E-2</v>
      </c>
      <c r="AL2" s="251"/>
      <c r="AM2" s="251"/>
      <c r="AN2" s="251"/>
      <c r="AO2" s="252"/>
      <c r="AP2" s="277" t="s">
        <v>134</v>
      </c>
      <c r="AQ2" s="265">
        <v>0.11225386301369862</v>
      </c>
      <c r="AR2" s="250">
        <v>3.2121531506849314E-2</v>
      </c>
      <c r="AS2" s="251"/>
      <c r="AT2" s="251"/>
      <c r="AU2" s="251"/>
      <c r="AV2" s="252"/>
      <c r="AW2" s="277" t="s">
        <v>134</v>
      </c>
      <c r="AX2" s="265">
        <v>0.11225386301369862</v>
      </c>
      <c r="AY2" s="250">
        <v>3.2121531506849314E-2</v>
      </c>
      <c r="AZ2" s="251"/>
      <c r="BA2" s="251"/>
      <c r="BB2" s="251"/>
      <c r="BC2" s="252"/>
      <c r="BD2" s="277" t="s">
        <v>134</v>
      </c>
      <c r="BE2" s="265">
        <v>0.11225386301369862</v>
      </c>
      <c r="BF2" s="250">
        <v>3.2121531506849314E-2</v>
      </c>
      <c r="BG2" s="251"/>
      <c r="BH2" s="251"/>
      <c r="BI2" s="251"/>
      <c r="BJ2" s="252"/>
      <c r="BK2" s="277" t="s">
        <v>134</v>
      </c>
      <c r="BL2" s="265">
        <v>0.11225386301369862</v>
      </c>
      <c r="BM2" s="250">
        <v>3.2121531506849314E-2</v>
      </c>
      <c r="BN2" s="251"/>
      <c r="BO2" s="251"/>
      <c r="BP2" s="251"/>
      <c r="BQ2" s="252"/>
      <c r="BR2" s="277" t="s">
        <v>134</v>
      </c>
      <c r="BS2" s="265">
        <v>0.11225386301369862</v>
      </c>
      <c r="BT2" s="250">
        <v>3.2121531506849314E-2</v>
      </c>
      <c r="BU2" s="251"/>
      <c r="BV2" s="251"/>
      <c r="BW2" s="251"/>
      <c r="BX2" s="252"/>
      <c r="BY2" s="277" t="s">
        <v>134</v>
      </c>
      <c r="BZ2" s="265">
        <v>0.11225386301369862</v>
      </c>
      <c r="CA2" s="250">
        <v>3.2121531506849314E-2</v>
      </c>
      <c r="CB2" s="251"/>
      <c r="CC2" s="251"/>
      <c r="CD2" s="251"/>
      <c r="CE2" s="252"/>
      <c r="CF2" s="277" t="s">
        <v>134</v>
      </c>
      <c r="CG2" s="265">
        <v>0.11225386301369862</v>
      </c>
      <c r="CH2" s="250">
        <v>3.2121531506849314E-2</v>
      </c>
      <c r="CI2" s="251"/>
      <c r="CJ2" s="251"/>
      <c r="CK2" s="251"/>
      <c r="CL2" s="252"/>
      <c r="CM2" s="277" t="s">
        <v>134</v>
      </c>
      <c r="CN2" s="265">
        <v>0.11225386301369862</v>
      </c>
      <c r="CO2" s="250">
        <v>3.2121531506849314E-2</v>
      </c>
      <c r="CP2" s="251"/>
      <c r="CQ2" s="251"/>
      <c r="CR2" s="251"/>
      <c r="CS2" s="252"/>
    </row>
    <row r="3" spans="1:97">
      <c r="A3" s="41" t="s">
        <v>17</v>
      </c>
      <c r="B3" s="40" t="s">
        <v>18</v>
      </c>
      <c r="C3" s="335" t="s">
        <v>34</v>
      </c>
      <c r="D3" s="278" t="s">
        <v>136</v>
      </c>
      <c r="E3" s="266" t="b">
        <f>IF('INTRODUCIR DATOS'!$D$20="ENERO",'RESULTADO INDEXADO'!O3,IF('INTRODUCIR DATOS'!$D$20="FEBRERO",'RESULTADO INDEXADO'!V3,IF('INTRODUCIR DATOS'!$D$20="MARZO",'RESULTADO INDEXADO'!AC3,IF('INTRODUCIR DATOS'!$D$20="ABRIL",'RESULTADO INDEXADO'!AJ3,IF('INTRODUCIR DATOS'!$D$20="MAYO",'RESULTADO INDEXADO'!AQ3,IF('INTRODUCIR DATOS'!$D$20="JUNIO",'RESULTADO INDEXADO'!AX3,IF('INTRODUCIR DATOS'!$D$20="JULIO",'RESULTADO INDEXADO'!BE3,IF('INTRODUCIR DATOS'!$D$20="AGOSTO",'RESULTADO INDEXADO'!BL3,IF('INTRODUCIR DATOS'!$D$20="SEPTIEMBRE",'RESULTADO INDEXADO'!BS3,IF('INTRODUCIR DATOS'!$D$20="OCTUBRE",'RESULTADO INDEXADO'!BZ3,IF('INTRODUCIR DATOS'!$D$20="NOVIEMBRE",'RESULTADO INDEXADO'!CG3,IF('INTRODUCIR DATOS'!$D$20="DICIEMBRE",'RESULTADO INDEXADO'!CN3))))))))))))</f>
        <v>0</v>
      </c>
      <c r="F3" s="253" t="b">
        <f>IF('INTRODUCIR DATOS'!$D$20="ENERO",'RESULTADO INDEXADO'!P3,IF('INTRODUCIR DATOS'!$D$20="FEBRERO",'RESULTADO INDEXADO'!W3,IF('INTRODUCIR DATOS'!$D$20="MARZO",'RESULTADO INDEXADO'!AD3,IF('INTRODUCIR DATOS'!$D$20="ABRIL",'RESULTADO INDEXADO'!AK3,IF('INTRODUCIR DATOS'!$D$20="MAYO",'RESULTADO INDEXADO'!AR3,IF('INTRODUCIR DATOS'!$D$20="JUNIO",'RESULTADO INDEXADO'!AY3,IF('INTRODUCIR DATOS'!$D$20="JULIO",'RESULTADO INDEXADO'!BF3,IF('INTRODUCIR DATOS'!$D$20="AGOSTO",'RESULTADO INDEXADO'!BM3,IF('INTRODUCIR DATOS'!$D$20="SEPTIEMBRE",'RESULTADO INDEXADO'!BT3,IF('INTRODUCIR DATOS'!$D$20="OCTUBRE",'RESULTADO INDEXADO'!CA3,IF('INTRODUCIR DATOS'!$D$20="NOVIEMBRE",'RESULTADO INDEXADO'!CH3,IF('INTRODUCIR DATOS'!$D$20="DICIEMBRE",'RESULTADO INDEXADO'!CO3))))))))))))</f>
        <v>0</v>
      </c>
      <c r="G3" s="253" t="b">
        <f>IF('INTRODUCIR DATOS'!$D$20="ENERO",'RESULTADO INDEXADO'!Q3,IF('INTRODUCIR DATOS'!$D$20="FEBRERO",'RESULTADO INDEXADO'!X3,IF('INTRODUCIR DATOS'!$D$20="MARZO",'RESULTADO INDEXADO'!AE3,IF('INTRODUCIR DATOS'!$D$20="ABRIL",'RESULTADO INDEXADO'!AL3,IF('INTRODUCIR DATOS'!$D$20="MAYO",'RESULTADO INDEXADO'!AS3,IF('INTRODUCIR DATOS'!$D$20="JUNIO",'RESULTADO INDEXADO'!AZ3,IF('INTRODUCIR DATOS'!$D$20="JULIO",'RESULTADO INDEXADO'!BG3,IF('INTRODUCIR DATOS'!$D$20="AGOSTO",'RESULTADO INDEXADO'!BN3,IF('INTRODUCIR DATOS'!$D$20="SEPTIEMBRE",'RESULTADO INDEXADO'!BU3,IF('INTRODUCIR DATOS'!$D$20="OCTUBRE",'RESULTADO INDEXADO'!CB3,IF('INTRODUCIR DATOS'!$D$20="NOVIEMBRE",'RESULTADO INDEXADO'!CI3,IF('INTRODUCIR DATOS'!$D$20="DICIEMBRE",'RESULTADO INDEXADO'!CP3))))))))))))</f>
        <v>0</v>
      </c>
      <c r="H3" s="254" t="b">
        <f>IF('INTRODUCIR DATOS'!$D$20="ENERO",'RESULTADO INDEXADO'!R3,IF('INTRODUCIR DATOS'!$D$20="FEBRERO",'RESULTADO INDEXADO'!Y3,IF('INTRODUCIR DATOS'!$D$20="MARZO",'RESULTADO INDEXADO'!AF3,IF('INTRODUCIR DATOS'!$D$20="ABRIL",'RESULTADO INDEXADO'!AM3,IF('INTRODUCIR DATOS'!$D$20="MAYO",'RESULTADO INDEXADO'!AT3,IF('INTRODUCIR DATOS'!$D$20="JUNIO",'RESULTADO INDEXADO'!BA3,IF('INTRODUCIR DATOS'!$D$20="JULIO",'RESULTADO INDEXADO'!BH3,IF('INTRODUCIR DATOS'!$D$20="AGOSTO",'RESULTADO INDEXADO'!BO3,IF('INTRODUCIR DATOS'!$D$20="SEPTIEMBRE",'RESULTADO INDEXADO'!BV3,IF('INTRODUCIR DATOS'!$D$20="OCTUBRE",'RESULTADO INDEXADO'!CC3,IF('INTRODUCIR DATOS'!$D$20="NOVIEMBRE",'RESULTADO INDEXADO'!CJ3,IF('INTRODUCIR DATOS'!$D$20="DICIEMBRE",'RESULTADO INDEXADO'!CQ3))))))))))))</f>
        <v>0</v>
      </c>
      <c r="I3" s="254" t="b">
        <f>IF('INTRODUCIR DATOS'!$D$20="ENERO",'RESULTADO INDEXADO'!S3,IF('INTRODUCIR DATOS'!$D$20="FEBRERO",'RESULTADO INDEXADO'!Z3,IF('INTRODUCIR DATOS'!$D$20="MARZO",'RESULTADO INDEXADO'!AG3,IF('INTRODUCIR DATOS'!$D$20="ABRIL",'RESULTADO INDEXADO'!AN3,IF('INTRODUCIR DATOS'!$D$20="MAYO",'RESULTADO INDEXADO'!AU3,IF('INTRODUCIR DATOS'!$D$20="JUNIO",'RESULTADO INDEXADO'!BB3,IF('INTRODUCIR DATOS'!$D$20="JULIO",'RESULTADO INDEXADO'!BI3,IF('INTRODUCIR DATOS'!$D$20="AGOSTO",'RESULTADO INDEXADO'!BP3,IF('INTRODUCIR DATOS'!$D$20="SEPTIEMBRE",'RESULTADO INDEXADO'!BW3,IF('INTRODUCIR DATOS'!$D$20="OCTUBRE",'RESULTADO INDEXADO'!CD3,IF('INTRODUCIR DATOS'!$D$20="NOVIEMBRE",'RESULTADO INDEXADO'!CK3,IF('INTRODUCIR DATOS'!$D$20="DICIEMBRE",'RESULTADO INDEXADO'!CR3))))))))))))</f>
        <v>0</v>
      </c>
      <c r="J3" s="295" t="b">
        <f>IF('INTRODUCIR DATOS'!$D$20="ENERO",'RESULTADO INDEXADO'!T3,IF('INTRODUCIR DATOS'!$D$20="FEBRERO",'RESULTADO INDEXADO'!AA3,IF('INTRODUCIR DATOS'!$D$20="MARZO",'RESULTADO INDEXADO'!AH3,IF('INTRODUCIR DATOS'!$D$20="ABRIL",'RESULTADO INDEXADO'!AO3,IF('INTRODUCIR DATOS'!$D$20="MAYO",'RESULTADO INDEXADO'!AV3,IF('INTRODUCIR DATOS'!$D$20="JUNIO",'RESULTADO INDEXADO'!BC3,IF('INTRODUCIR DATOS'!$D$20="JULIO",'RESULTADO INDEXADO'!BJ3,IF('INTRODUCIR DATOS'!$D$20="AGOSTO",'RESULTADO INDEXADO'!BQ3,IF('INTRODUCIR DATOS'!$D$20="SEPTIEMBRE",'RESULTADO INDEXADO'!BX3,IF('INTRODUCIR DATOS'!$D$20="OCTUBRE",'RESULTADO INDEXADO'!CE3,IF('INTRODUCIR DATOS'!$D$20="NOVIEMBRE",'RESULTADO INDEXADO'!CL3,IF('INTRODUCIR DATOS'!$D$20="DICIEMBRE",'RESULTADO INDEXADO'!CS3))))))))))))</f>
        <v>0</v>
      </c>
      <c r="K3" s="290">
        <f>('INTRODUCIR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DATOS'!$D$17)+'INTRODUCIR DATOS'!$D$15+'INTRODUCIR DATOS'!$D$16+IF('INTRODUCIR DATOS'!$D$21=21%,(('INTRODUCIR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DATOS'!$D$17)+'INTRODUCIR DATOS'!$D$16)*21/100,IF('INTRODUCIR DATOS'!$D$21=10%,(('INTRODUCIR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DATOS'!$D$17)+'INTRODUCIR DATOS'!$D$16)*10/100))</f>
        <v>1.0285</v>
      </c>
      <c r="L3" s="299">
        <f>IF(K3=0,"",'INTRODUCIR DATOS'!$D$14-K3)</f>
        <v>113.12150000000001</v>
      </c>
      <c r="M3" s="284">
        <f>IF(K3=0,"",('INTRODUCIR DATOS'!$D$14-K3)/'INTRODUCIR DATOS'!$D$14)</f>
        <v>0.99098992553657472</v>
      </c>
      <c r="N3" s="310" t="s">
        <v>136</v>
      </c>
      <c r="O3" s="266">
        <v>0.26350699999999999</v>
      </c>
      <c r="P3" s="253">
        <v>0.162434</v>
      </c>
      <c r="Q3" s="253">
        <v>0.10348</v>
      </c>
      <c r="R3" s="254"/>
      <c r="S3" s="254"/>
      <c r="T3" s="255"/>
      <c r="U3" s="278" t="s">
        <v>136</v>
      </c>
      <c r="V3" s="266">
        <v>0.21893499999999999</v>
      </c>
      <c r="W3" s="253">
        <v>0.117132</v>
      </c>
      <c r="X3" s="253">
        <v>6.8374000000000004E-2</v>
      </c>
      <c r="Y3" s="254"/>
      <c r="Z3" s="254"/>
      <c r="AA3" s="255"/>
      <c r="AB3" s="278" t="s">
        <v>136</v>
      </c>
      <c r="AC3" s="266">
        <v>0.23153099999999999</v>
      </c>
      <c r="AD3" s="253">
        <v>0.13362399999999999</v>
      </c>
      <c r="AE3" s="253">
        <v>9.3018000000000003E-2</v>
      </c>
      <c r="AF3" s="254"/>
      <c r="AG3" s="254"/>
      <c r="AH3" s="255"/>
      <c r="AI3" s="278" t="s">
        <v>136</v>
      </c>
      <c r="AJ3" s="266">
        <v>0.25173400000000001</v>
      </c>
      <c r="AK3" s="253">
        <v>0.15465300000000001</v>
      </c>
      <c r="AL3" s="253">
        <v>0.117229</v>
      </c>
      <c r="AM3" s="254"/>
      <c r="AN3" s="254"/>
      <c r="AO3" s="255"/>
      <c r="AP3" s="278" t="s">
        <v>136</v>
      </c>
      <c r="AQ3" s="266">
        <v>0.25480000000000003</v>
      </c>
      <c r="AR3" s="253">
        <v>0.15856899999999999</v>
      </c>
      <c r="AS3" s="253">
        <v>0.11693199999999999</v>
      </c>
      <c r="AT3" s="254"/>
      <c r="AU3" s="254"/>
      <c r="AV3" s="255"/>
      <c r="AW3" s="278" t="s">
        <v>136</v>
      </c>
      <c r="AX3" s="266">
        <v>0.26908300000000002</v>
      </c>
      <c r="AY3" s="253">
        <v>0.17372499999999999</v>
      </c>
      <c r="AZ3" s="253">
        <v>0.13442699999999999</v>
      </c>
      <c r="BA3" s="254"/>
      <c r="BB3" s="254"/>
      <c r="BC3" s="255"/>
      <c r="BD3" s="278" t="s">
        <v>136</v>
      </c>
      <c r="BE3" s="266">
        <v>0.28242499999999998</v>
      </c>
      <c r="BF3" s="253">
        <v>0.186669</v>
      </c>
      <c r="BG3" s="253">
        <v>0.14737600000000001</v>
      </c>
      <c r="BH3" s="254"/>
      <c r="BI3" s="254"/>
      <c r="BJ3" s="255"/>
      <c r="BK3" s="278" t="s">
        <v>136</v>
      </c>
      <c r="BL3" s="266">
        <v>0.298896</v>
      </c>
      <c r="BM3" s="253">
        <v>0.203737</v>
      </c>
      <c r="BN3" s="253">
        <v>0.161748</v>
      </c>
      <c r="BO3" s="254"/>
      <c r="BP3" s="254"/>
      <c r="BQ3" s="255"/>
      <c r="BR3" s="278" t="s">
        <v>136</v>
      </c>
      <c r="BS3" s="266"/>
      <c r="BT3" s="253"/>
      <c r="BU3" s="253"/>
      <c r="BV3" s="254"/>
      <c r="BW3" s="254"/>
      <c r="BX3" s="255"/>
      <c r="BY3" s="278" t="s">
        <v>136</v>
      </c>
      <c r="BZ3" s="266"/>
      <c r="CA3" s="253"/>
      <c r="CB3" s="253"/>
      <c r="CC3" s="254"/>
      <c r="CD3" s="254"/>
      <c r="CE3" s="255"/>
      <c r="CF3" s="278" t="s">
        <v>136</v>
      </c>
      <c r="CG3" s="266"/>
      <c r="CH3" s="253"/>
      <c r="CI3" s="253"/>
      <c r="CJ3" s="254"/>
      <c r="CK3" s="254"/>
      <c r="CL3" s="255"/>
      <c r="CM3" s="278" t="s">
        <v>136</v>
      </c>
      <c r="CN3" s="266"/>
      <c r="CO3" s="253"/>
      <c r="CP3" s="253"/>
      <c r="CQ3" s="254"/>
      <c r="CR3" s="254"/>
      <c r="CS3" s="255"/>
    </row>
    <row r="4" spans="1:97">
      <c r="A4" s="41" t="s">
        <v>17</v>
      </c>
      <c r="B4" s="40" t="s">
        <v>18</v>
      </c>
      <c r="C4" s="335" t="s">
        <v>34</v>
      </c>
      <c r="D4" s="279" t="s">
        <v>134</v>
      </c>
      <c r="E4" s="267" t="b">
        <f>IF('INTRODUCIR DATOS'!$D$20="ENERO",'RESULTADO INDEXADO'!O4,IF('INTRODUCIR DATOS'!$D$20="FEBRERO",'RESULTADO INDEXADO'!V4,IF('INTRODUCIR DATOS'!$D$20="MARZO",'RESULTADO INDEXADO'!AC4,IF('INTRODUCIR DATOS'!$D$20="ABRIL",'RESULTADO INDEXADO'!AJ4,IF('INTRODUCIR DATOS'!$D$20="MAYO",'RESULTADO INDEXADO'!AQ4,IF('INTRODUCIR DATOS'!$D$20="JUNIO",'RESULTADO INDEXADO'!AX4,IF('INTRODUCIR DATOS'!$D$20="JULIO",'RESULTADO INDEXADO'!BE4,IF('INTRODUCIR DATOS'!$D$20="AGOSTO",'RESULTADO INDEXADO'!BL4,IF('INTRODUCIR DATOS'!$D$20="SEPTIEMBRE",'RESULTADO INDEXADO'!BS4,IF('INTRODUCIR DATOS'!$D$20="OCTUBRE",'RESULTADO INDEXADO'!BZ4,IF('INTRODUCIR DATOS'!$D$20="NOVIEMBRE",'RESULTADO INDEXADO'!CG4,IF('INTRODUCIR DATOS'!$D$20="DICIEMBRE",'RESULTADO INDEXADO'!CN4))))))))))))</f>
        <v>0</v>
      </c>
      <c r="F4" s="256" t="b">
        <f>IF('INTRODUCIR DATOS'!$D$20="ENERO",'RESULTADO INDEXADO'!P4,IF('INTRODUCIR DATOS'!$D$20="FEBRERO",'RESULTADO INDEXADO'!W4,IF('INTRODUCIR DATOS'!$D$20="MARZO",'RESULTADO INDEXADO'!AD4,IF('INTRODUCIR DATOS'!$D$20="ABRIL",'RESULTADO INDEXADO'!AK4,IF('INTRODUCIR DATOS'!$D$20="MAYO",'RESULTADO INDEXADO'!AR4,IF('INTRODUCIR DATOS'!$D$20="JUNIO",'RESULTADO INDEXADO'!AY4,IF('INTRODUCIR DATOS'!$D$20="JULIO",'RESULTADO INDEXADO'!BF4,IF('INTRODUCIR DATOS'!$D$20="AGOSTO",'RESULTADO INDEXADO'!BM4,IF('INTRODUCIR DATOS'!$D$20="SEPTIEMBRE",'RESULTADO INDEXADO'!BT4,IF('INTRODUCIR DATOS'!$D$20="OCTUBRE",'RESULTADO INDEXADO'!CA4,IF('INTRODUCIR DATOS'!$D$20="NOVIEMBRE",'RESULTADO INDEXADO'!CH4,IF('INTRODUCIR DATOS'!$D$20="DICIEMBRE",'RESULTADO INDEXADO'!CO4))))))))))))</f>
        <v>0</v>
      </c>
      <c r="G4" s="257" t="b">
        <f>IF('INTRODUCIR DATOS'!$D$20="ENERO",'RESULTADO INDEXADO'!Q4,IF('INTRODUCIR DATOS'!$D$20="FEBRERO",'RESULTADO INDEXADO'!X4,IF('INTRODUCIR DATOS'!$D$20="MARZO",'RESULTADO INDEXADO'!AE4,IF('INTRODUCIR DATOS'!$D$20="ABRIL",'RESULTADO INDEXADO'!AL4,IF('INTRODUCIR DATOS'!$D$20="MAYO",'RESULTADO INDEXADO'!AS4,IF('INTRODUCIR DATOS'!$D$20="JUNIO",'RESULTADO INDEXADO'!AZ4,IF('INTRODUCIR DATOS'!$D$20="JULIO",'RESULTADO INDEXADO'!BG4,IF('INTRODUCIR DATOS'!$D$20="AGOSTO",'RESULTADO INDEXADO'!BN4,IF('INTRODUCIR DATOS'!$D$20="SEPTIEMBRE",'RESULTADO INDEXADO'!BU4,IF('INTRODUCIR DATOS'!$D$20="OCTUBRE",'RESULTADO INDEXADO'!CB4,IF('INTRODUCIR DATOS'!$D$20="NOVIEMBRE",'RESULTADO INDEXADO'!CI4,IF('INTRODUCIR DATOS'!$D$20="DICIEMBRE",'RESULTADO INDEXADO'!CP4))))))))))))</f>
        <v>0</v>
      </c>
      <c r="H4" s="257" t="b">
        <f>IF('INTRODUCIR DATOS'!$D$20="ENERO",'RESULTADO INDEXADO'!R4,IF('INTRODUCIR DATOS'!$D$20="FEBRERO",'RESULTADO INDEXADO'!Y4,IF('INTRODUCIR DATOS'!$D$20="MARZO",'RESULTADO INDEXADO'!AF4,IF('INTRODUCIR DATOS'!$D$20="ABRIL",'RESULTADO INDEXADO'!AM4,IF('INTRODUCIR DATOS'!$D$20="MAYO",'RESULTADO INDEXADO'!AT4,IF('INTRODUCIR DATOS'!$D$20="JUNIO",'RESULTADO INDEXADO'!BA4,IF('INTRODUCIR DATOS'!$D$20="JULIO",'RESULTADO INDEXADO'!BH4,IF('INTRODUCIR DATOS'!$D$20="AGOSTO",'RESULTADO INDEXADO'!BO4,IF('INTRODUCIR DATOS'!$D$20="SEPTIEMBRE",'RESULTADO INDEXADO'!BV4,IF('INTRODUCIR DATOS'!$D$20="OCTUBRE",'RESULTADO INDEXADO'!CC4,IF('INTRODUCIR DATOS'!$D$20="NOVIEMBRE",'RESULTADO INDEXADO'!CJ4,IF('INTRODUCIR DATOS'!$D$20="DICIEMBRE",'RESULTADO INDEXADO'!CQ4))))))))))))</f>
        <v>0</v>
      </c>
      <c r="I4" s="257" t="b">
        <f>IF('INTRODUCIR DATOS'!$D$20="ENERO",'RESULTADO INDEXADO'!S4,IF('INTRODUCIR DATOS'!$D$20="FEBRERO",'RESULTADO INDEXADO'!Z4,IF('INTRODUCIR DATOS'!$D$20="MARZO",'RESULTADO INDEXADO'!AG4,IF('INTRODUCIR DATOS'!$D$20="ABRIL",'RESULTADO INDEXADO'!AN4,IF('INTRODUCIR DATOS'!$D$20="MAYO",'RESULTADO INDEXADO'!AU4,IF('INTRODUCIR DATOS'!$D$20="JUNIO",'RESULTADO INDEXADO'!BB4,IF('INTRODUCIR DATOS'!$D$20="JULIO",'RESULTADO INDEXADO'!BI4,IF('INTRODUCIR DATOS'!$D$20="AGOSTO",'RESULTADO INDEXADO'!BP4,IF('INTRODUCIR DATOS'!$D$20="SEPTIEMBRE",'RESULTADO INDEXADO'!BW4,IF('INTRODUCIR DATOS'!$D$20="OCTUBRE",'RESULTADO INDEXADO'!CD4,IF('INTRODUCIR DATOS'!$D$20="NOVIEMBRE",'RESULTADO INDEXADO'!CK4,IF('INTRODUCIR DATOS'!$D$20="DICIEMBRE",'RESULTADO INDEXADO'!CR4))))))))))))</f>
        <v>0</v>
      </c>
      <c r="J4" s="296" t="b">
        <f>IF('INTRODUCIR DATOS'!$D$20="ENERO",'RESULTADO INDEXADO'!T4,IF('INTRODUCIR DATOS'!$D$20="FEBRERO",'RESULTADO INDEXADO'!AA4,IF('INTRODUCIR DATOS'!$D$20="MARZO",'RESULTADO INDEXADO'!AH4,IF('INTRODUCIR DATOS'!$D$20="ABRIL",'RESULTADO INDEXADO'!AO4,IF('INTRODUCIR DATOS'!$D$20="MAYO",'RESULTADO INDEXADO'!AV4,IF('INTRODUCIR DATOS'!$D$20="JUNIO",'RESULTADO INDEXADO'!BC4,IF('INTRODUCIR DATOS'!$D$20="JULIO",'RESULTADO INDEXADO'!BJ4,IF('INTRODUCIR DATOS'!$D$20="AGOSTO",'RESULTADO INDEXADO'!BQ4,IF('INTRODUCIR DATOS'!$D$20="SEPTIEMBRE",'RESULTADO INDEXADO'!BX4,IF('INTRODUCIR DATOS'!$D$20="OCTUBRE",'RESULTADO INDEXADO'!CE4,IF('INTRODUCIR DATOS'!$D$20="NOVIEMBRE",'RESULTADO INDEXADO'!CL4,IF('INTRODUCIR DATOS'!$D$20="DICIEMBRE",'RESULTADO INDEXADO'!CS4))))))))))))</f>
        <v>0</v>
      </c>
      <c r="K4" s="41"/>
      <c r="L4" s="40"/>
      <c r="M4" s="145"/>
      <c r="N4" s="311" t="s">
        <v>134</v>
      </c>
      <c r="O4" s="267">
        <v>0.11156893150684931</v>
      </c>
      <c r="P4" s="256">
        <v>3.1436600000000002E-2</v>
      </c>
      <c r="Q4" s="257"/>
      <c r="R4" s="257"/>
      <c r="S4" s="257"/>
      <c r="T4" s="258"/>
      <c r="U4" s="279" t="s">
        <v>134</v>
      </c>
      <c r="V4" s="267">
        <v>0.11156893150684931</v>
      </c>
      <c r="W4" s="256">
        <v>3.1436600000000002E-2</v>
      </c>
      <c r="X4" s="257"/>
      <c r="Y4" s="257"/>
      <c r="Z4" s="257"/>
      <c r="AA4" s="258"/>
      <c r="AB4" s="279" t="s">
        <v>134</v>
      </c>
      <c r="AC4" s="267">
        <v>0.11156893150684931</v>
      </c>
      <c r="AD4" s="256">
        <v>3.1436600000000002E-2</v>
      </c>
      <c r="AE4" s="257"/>
      <c r="AF4" s="257"/>
      <c r="AG4" s="257"/>
      <c r="AH4" s="258"/>
      <c r="AI4" s="279" t="s">
        <v>134</v>
      </c>
      <c r="AJ4" s="267">
        <v>0.11156893150684931</v>
      </c>
      <c r="AK4" s="256">
        <v>3.1436600000000002E-2</v>
      </c>
      <c r="AL4" s="257"/>
      <c r="AM4" s="257"/>
      <c r="AN4" s="257"/>
      <c r="AO4" s="258"/>
      <c r="AP4" s="279" t="s">
        <v>134</v>
      </c>
      <c r="AQ4" s="267">
        <v>0.11156893150684931</v>
      </c>
      <c r="AR4" s="256">
        <v>3.1436600000000002E-2</v>
      </c>
      <c r="AS4" s="257"/>
      <c r="AT4" s="257"/>
      <c r="AU4" s="257"/>
      <c r="AV4" s="258"/>
      <c r="AW4" s="279" t="s">
        <v>134</v>
      </c>
      <c r="AX4" s="267">
        <v>0.11156893150684931</v>
      </c>
      <c r="AY4" s="256">
        <v>3.1436600000000002E-2</v>
      </c>
      <c r="AZ4" s="257"/>
      <c r="BA4" s="257"/>
      <c r="BB4" s="257"/>
      <c r="BC4" s="258"/>
      <c r="BD4" s="279" t="s">
        <v>134</v>
      </c>
      <c r="BE4" s="267">
        <v>0.11156893150684931</v>
      </c>
      <c r="BF4" s="256">
        <v>3.1436600000000002E-2</v>
      </c>
      <c r="BG4" s="257"/>
      <c r="BH4" s="257"/>
      <c r="BI4" s="257"/>
      <c r="BJ4" s="258"/>
      <c r="BK4" s="279" t="s">
        <v>134</v>
      </c>
      <c r="BL4" s="267">
        <v>0.11156893150684931</v>
      </c>
      <c r="BM4" s="256">
        <v>3.1436600000000002E-2</v>
      </c>
      <c r="BN4" s="257"/>
      <c r="BO4" s="257"/>
      <c r="BP4" s="257"/>
      <c r="BQ4" s="258"/>
      <c r="BR4" s="279" t="s">
        <v>134</v>
      </c>
      <c r="BS4" s="267">
        <v>0.11156893150684931</v>
      </c>
      <c r="BT4" s="256">
        <v>3.1436600000000002E-2</v>
      </c>
      <c r="BU4" s="257"/>
      <c r="BV4" s="257"/>
      <c r="BW4" s="257"/>
      <c r="BX4" s="258"/>
      <c r="BY4" s="279" t="s">
        <v>134</v>
      </c>
      <c r="BZ4" s="267">
        <v>0.11156893150684931</v>
      </c>
      <c r="CA4" s="256">
        <v>3.1436600000000002E-2</v>
      </c>
      <c r="CB4" s="257"/>
      <c r="CC4" s="257"/>
      <c r="CD4" s="257"/>
      <c r="CE4" s="258"/>
      <c r="CF4" s="279" t="s">
        <v>134</v>
      </c>
      <c r="CG4" s="267">
        <v>0.11156893150684931</v>
      </c>
      <c r="CH4" s="256">
        <v>3.1436600000000002E-2</v>
      </c>
      <c r="CI4" s="257"/>
      <c r="CJ4" s="257"/>
      <c r="CK4" s="257"/>
      <c r="CL4" s="258"/>
      <c r="CM4" s="279" t="s">
        <v>134</v>
      </c>
      <c r="CN4" s="267">
        <v>0.11156893150684931</v>
      </c>
      <c r="CO4" s="256">
        <v>3.1436600000000002E-2</v>
      </c>
      <c r="CP4" s="257"/>
      <c r="CQ4" s="257"/>
      <c r="CR4" s="257"/>
      <c r="CS4" s="258"/>
    </row>
    <row r="5" spans="1:97">
      <c r="A5" s="41" t="s">
        <v>17</v>
      </c>
      <c r="B5" s="40" t="s">
        <v>18</v>
      </c>
      <c r="C5" s="335" t="s">
        <v>34</v>
      </c>
      <c r="D5" s="278" t="s">
        <v>136</v>
      </c>
      <c r="E5" s="266" t="b">
        <f>IF('INTRODUCIR DATOS'!$D$20="ENERO",'RESULTADO INDEXADO'!O5,IF('INTRODUCIR DATOS'!$D$20="FEBRERO",'RESULTADO INDEXADO'!V5,IF('INTRODUCIR DATOS'!$D$20="MARZO",'RESULTADO INDEXADO'!AC5,IF('INTRODUCIR DATOS'!$D$20="ABRIL",'RESULTADO INDEXADO'!AJ5,IF('INTRODUCIR DATOS'!$D$20="MAYO",'RESULTADO INDEXADO'!AQ5,IF('INTRODUCIR DATOS'!$D$20="JUNIO",'RESULTADO INDEXADO'!AX5,IF('INTRODUCIR DATOS'!$D$20="JULIO",'RESULTADO INDEXADO'!BE5,IF('INTRODUCIR DATOS'!$D$20="AGOSTO",'RESULTADO INDEXADO'!BL5,IF('INTRODUCIR DATOS'!$D$20="SEPTIEMBRE",'RESULTADO INDEXADO'!BS5,IF('INTRODUCIR DATOS'!$D$20="OCTUBRE",'RESULTADO INDEXADO'!BZ5,IF('INTRODUCIR DATOS'!$D$20="NOVIEMBRE",'RESULTADO INDEXADO'!CG5,IF('INTRODUCIR DATOS'!$D$20="DICIEMBRE",'RESULTADO INDEXADO'!CN5))))))))))))</f>
        <v>0</v>
      </c>
      <c r="F5" s="253" t="b">
        <f>IF('INTRODUCIR DATOS'!$D$20="ENERO",'RESULTADO INDEXADO'!P5,IF('INTRODUCIR DATOS'!$D$20="FEBRERO",'RESULTADO INDEXADO'!W5,IF('INTRODUCIR DATOS'!$D$20="MARZO",'RESULTADO INDEXADO'!AD5,IF('INTRODUCIR DATOS'!$D$20="ABRIL",'RESULTADO INDEXADO'!AK5,IF('INTRODUCIR DATOS'!$D$20="MAYO",'RESULTADO INDEXADO'!AR5,IF('INTRODUCIR DATOS'!$D$20="JUNIO",'RESULTADO INDEXADO'!AY5,IF('INTRODUCIR DATOS'!$D$20="JULIO",'RESULTADO INDEXADO'!BF5,IF('INTRODUCIR DATOS'!$D$20="AGOSTO",'RESULTADO INDEXADO'!BM5,IF('INTRODUCIR DATOS'!$D$20="SEPTIEMBRE",'RESULTADO INDEXADO'!BT5,IF('INTRODUCIR DATOS'!$D$20="OCTUBRE",'RESULTADO INDEXADO'!CA5,IF('INTRODUCIR DATOS'!$D$20="NOVIEMBRE",'RESULTADO INDEXADO'!CH5,IF('INTRODUCIR DATOS'!$D$20="DICIEMBRE",'RESULTADO INDEXADO'!CO5))))))))))))</f>
        <v>0</v>
      </c>
      <c r="G5" s="253" t="b">
        <f>IF('INTRODUCIR DATOS'!$D$20="ENERO",'RESULTADO INDEXADO'!Q5,IF('INTRODUCIR DATOS'!$D$20="FEBRERO",'RESULTADO INDEXADO'!X5,IF('INTRODUCIR DATOS'!$D$20="MARZO",'RESULTADO INDEXADO'!AE5,IF('INTRODUCIR DATOS'!$D$20="ABRIL",'RESULTADO INDEXADO'!AL5,IF('INTRODUCIR DATOS'!$D$20="MAYO",'RESULTADO INDEXADO'!AS5,IF('INTRODUCIR DATOS'!$D$20="JUNIO",'RESULTADO INDEXADO'!AZ5,IF('INTRODUCIR DATOS'!$D$20="JULIO",'RESULTADO INDEXADO'!BG5,IF('INTRODUCIR DATOS'!$D$20="AGOSTO",'RESULTADO INDEXADO'!BN5,IF('INTRODUCIR DATOS'!$D$20="SEPTIEMBRE",'RESULTADO INDEXADO'!BU5,IF('INTRODUCIR DATOS'!$D$20="OCTUBRE",'RESULTADO INDEXADO'!CB5,IF('INTRODUCIR DATOS'!$D$20="NOVIEMBRE",'RESULTADO INDEXADO'!CI5,IF('INTRODUCIR DATOS'!$D$20="DICIEMBRE",'RESULTADO INDEXADO'!CP5))))))))))))</f>
        <v>0</v>
      </c>
      <c r="H5" s="254" t="b">
        <f>IF('INTRODUCIR DATOS'!$D$20="ENERO",'RESULTADO INDEXADO'!R5,IF('INTRODUCIR DATOS'!$D$20="FEBRERO",'RESULTADO INDEXADO'!Y5,IF('INTRODUCIR DATOS'!$D$20="MARZO",'RESULTADO INDEXADO'!AF5,IF('INTRODUCIR DATOS'!$D$20="ABRIL",'RESULTADO INDEXADO'!AM5,IF('INTRODUCIR DATOS'!$D$20="MAYO",'RESULTADO INDEXADO'!AT5,IF('INTRODUCIR DATOS'!$D$20="JUNIO",'RESULTADO INDEXADO'!BA5,IF('INTRODUCIR DATOS'!$D$20="JULIO",'RESULTADO INDEXADO'!BH5,IF('INTRODUCIR DATOS'!$D$20="AGOSTO",'RESULTADO INDEXADO'!BO5,IF('INTRODUCIR DATOS'!$D$20="SEPTIEMBRE",'RESULTADO INDEXADO'!BV5,IF('INTRODUCIR DATOS'!$D$20="OCTUBRE",'RESULTADO INDEXADO'!CC5,IF('INTRODUCIR DATOS'!$D$20="NOVIEMBRE",'RESULTADO INDEXADO'!CJ5,IF('INTRODUCIR DATOS'!$D$20="DICIEMBRE",'RESULTADO INDEXADO'!CQ5))))))))))))</f>
        <v>0</v>
      </c>
      <c r="I5" s="254" t="b">
        <f>IF('INTRODUCIR DATOS'!$D$20="ENERO",'RESULTADO INDEXADO'!S5,IF('INTRODUCIR DATOS'!$D$20="FEBRERO",'RESULTADO INDEXADO'!Z5,IF('INTRODUCIR DATOS'!$D$20="MARZO",'RESULTADO INDEXADO'!AG5,IF('INTRODUCIR DATOS'!$D$20="ABRIL",'RESULTADO INDEXADO'!AN5,IF('INTRODUCIR DATOS'!$D$20="MAYO",'RESULTADO INDEXADO'!AU5,IF('INTRODUCIR DATOS'!$D$20="JUNIO",'RESULTADO INDEXADO'!BB5,IF('INTRODUCIR DATOS'!$D$20="JULIO",'RESULTADO INDEXADO'!BI5,IF('INTRODUCIR DATOS'!$D$20="AGOSTO",'RESULTADO INDEXADO'!BP5,IF('INTRODUCIR DATOS'!$D$20="SEPTIEMBRE",'RESULTADO INDEXADO'!BW5,IF('INTRODUCIR DATOS'!$D$20="OCTUBRE",'RESULTADO INDEXADO'!CD5,IF('INTRODUCIR DATOS'!$D$20="NOVIEMBRE",'RESULTADO INDEXADO'!CK5,IF('INTRODUCIR DATOS'!$D$20="DICIEMBRE",'RESULTADO INDEXADO'!CR5))))))))))))</f>
        <v>0</v>
      </c>
      <c r="J5" s="295" t="b">
        <f>IF('INTRODUCIR DATOS'!$D$20="ENERO",'RESULTADO INDEXADO'!T5,IF('INTRODUCIR DATOS'!$D$20="FEBRERO",'RESULTADO INDEXADO'!AA5,IF('INTRODUCIR DATOS'!$D$20="MARZO",'RESULTADO INDEXADO'!AH5,IF('INTRODUCIR DATOS'!$D$20="ABRIL",'RESULTADO INDEXADO'!AO5,IF('INTRODUCIR DATOS'!$D$20="MAYO",'RESULTADO INDEXADO'!AV5,IF('INTRODUCIR DATOS'!$D$20="JUNIO",'RESULTADO INDEXADO'!BC5,IF('INTRODUCIR DATOS'!$D$20="JULIO",'RESULTADO INDEXADO'!BJ5,IF('INTRODUCIR DATOS'!$D$20="AGOSTO",'RESULTADO INDEXADO'!BQ5,IF('INTRODUCIR DATOS'!$D$20="SEPTIEMBRE",'RESULTADO INDEXADO'!BX5,IF('INTRODUCIR DATOS'!$D$20="OCTUBRE",'RESULTADO INDEXADO'!CE5,IF('INTRODUCIR DATOS'!$D$20="NOVIEMBRE",'RESULTADO INDEXADO'!CL5,IF('INTRODUCIR DATOS'!$D$20="DICIEMBRE",'RESULTADO INDEXADO'!CS5))))))))))))</f>
        <v>0</v>
      </c>
      <c r="K5" s="290">
        <f>('INTRODUCIR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DATOS'!$D$17)+'INTRODUCIR DATOS'!$D$15+'INTRODUCIR DATOS'!$D$16+IF('INTRODUCIR DATOS'!$D$21=21%,(('INTRODUCIR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DATOS'!$D$17)+'INTRODUCIR DATOS'!$D$16)*21/100,IF('INTRODUCIR DATOS'!$D$21=10%,(('INTRODUCIR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DATOS'!$D$17)+'INTRODUCIR DATOS'!$D$16)*10/100))</f>
        <v>1.0285</v>
      </c>
      <c r="L5" s="292">
        <f>IF(K5=0,"",'INTRODUCIR DATOS'!$D$14-K5)</f>
        <v>113.12150000000001</v>
      </c>
      <c r="M5" s="271">
        <f>IF(K5=0,"",('INTRODUCIR DATOS'!$D$14-K5)/'INTRODUCIR DATOS'!$D$14)</f>
        <v>0.99098992553657472</v>
      </c>
      <c r="N5" s="310" t="s">
        <v>136</v>
      </c>
      <c r="O5" s="266">
        <v>0.26350699999999999</v>
      </c>
      <c r="P5" s="253">
        <v>0.162434</v>
      </c>
      <c r="Q5" s="253">
        <v>0.10348</v>
      </c>
      <c r="R5" s="254"/>
      <c r="S5" s="254"/>
      <c r="T5" s="255"/>
      <c r="U5" s="278" t="s">
        <v>136</v>
      </c>
      <c r="V5" s="266">
        <v>0.21893499999999999</v>
      </c>
      <c r="W5" s="253">
        <v>0.117132</v>
      </c>
      <c r="X5" s="253">
        <v>6.8374000000000004E-2</v>
      </c>
      <c r="Y5" s="254"/>
      <c r="Z5" s="254"/>
      <c r="AA5" s="255"/>
      <c r="AB5" s="278" t="s">
        <v>136</v>
      </c>
      <c r="AC5" s="266">
        <v>0.23153099999999999</v>
      </c>
      <c r="AD5" s="253">
        <v>0.13362399999999999</v>
      </c>
      <c r="AE5" s="253">
        <v>9.3018000000000003E-2</v>
      </c>
      <c r="AF5" s="254"/>
      <c r="AG5" s="254"/>
      <c r="AH5" s="255"/>
      <c r="AI5" s="278" t="s">
        <v>136</v>
      </c>
      <c r="AJ5" s="266">
        <v>0.25173400000000001</v>
      </c>
      <c r="AK5" s="253">
        <v>0.15465300000000001</v>
      </c>
      <c r="AL5" s="253">
        <v>0.117229</v>
      </c>
      <c r="AM5" s="254"/>
      <c r="AN5" s="254"/>
      <c r="AO5" s="255"/>
      <c r="AP5" s="278" t="s">
        <v>136</v>
      </c>
      <c r="AQ5" s="266">
        <v>0.25480000000000003</v>
      </c>
      <c r="AR5" s="253">
        <v>0.15856899999999999</v>
      </c>
      <c r="AS5" s="253">
        <v>0.11693199999999999</v>
      </c>
      <c r="AT5" s="254"/>
      <c r="AU5" s="254"/>
      <c r="AV5" s="255"/>
      <c r="AW5" s="278" t="s">
        <v>136</v>
      </c>
      <c r="AX5" s="266">
        <v>0.26908300000000002</v>
      </c>
      <c r="AY5" s="253">
        <v>0.17372499999999999</v>
      </c>
      <c r="AZ5" s="253">
        <v>0.13442699999999999</v>
      </c>
      <c r="BA5" s="254"/>
      <c r="BB5" s="254"/>
      <c r="BC5" s="255"/>
      <c r="BD5" s="278" t="s">
        <v>136</v>
      </c>
      <c r="BE5" s="266">
        <v>0.28242499999999998</v>
      </c>
      <c r="BF5" s="253">
        <v>0.186669</v>
      </c>
      <c r="BG5" s="253">
        <v>0.14737600000000001</v>
      </c>
      <c r="BH5" s="254"/>
      <c r="BI5" s="254"/>
      <c r="BJ5" s="255"/>
      <c r="BK5" s="278" t="s">
        <v>136</v>
      </c>
      <c r="BL5" s="266">
        <v>0.298896</v>
      </c>
      <c r="BM5" s="253">
        <v>0.203737</v>
      </c>
      <c r="BN5" s="253">
        <v>0.161748</v>
      </c>
      <c r="BO5" s="254"/>
      <c r="BP5" s="254"/>
      <c r="BQ5" s="255"/>
      <c r="BR5" s="278" t="s">
        <v>136</v>
      </c>
      <c r="BS5" s="266"/>
      <c r="BT5" s="253"/>
      <c r="BU5" s="253"/>
      <c r="BV5" s="254"/>
      <c r="BW5" s="254"/>
      <c r="BX5" s="255"/>
      <c r="BY5" s="278" t="s">
        <v>136</v>
      </c>
      <c r="BZ5" s="266"/>
      <c r="CA5" s="253"/>
      <c r="CB5" s="253"/>
      <c r="CC5" s="254"/>
      <c r="CD5" s="254"/>
      <c r="CE5" s="255"/>
      <c r="CF5" s="278" t="s">
        <v>136</v>
      </c>
      <c r="CG5" s="266"/>
      <c r="CH5" s="253"/>
      <c r="CI5" s="253"/>
      <c r="CJ5" s="254"/>
      <c r="CK5" s="254"/>
      <c r="CL5" s="255"/>
      <c r="CM5" s="278" t="s">
        <v>136</v>
      </c>
      <c r="CN5" s="266"/>
      <c r="CO5" s="253"/>
      <c r="CP5" s="253"/>
      <c r="CQ5" s="254"/>
      <c r="CR5" s="254"/>
      <c r="CS5" s="255"/>
    </row>
    <row r="6" spans="1:97">
      <c r="A6" s="41" t="s">
        <v>17</v>
      </c>
      <c r="B6" s="40" t="s">
        <v>20</v>
      </c>
      <c r="C6" s="335" t="s">
        <v>34</v>
      </c>
      <c r="D6" s="279" t="s">
        <v>134</v>
      </c>
      <c r="E6" s="267" t="b">
        <f>IF('INTRODUCIR DATOS'!$D$20="ENERO",'RESULTADO INDEXADO'!O6,IF('INTRODUCIR DATOS'!$D$20="FEBRERO",'RESULTADO INDEXADO'!V6,IF('INTRODUCIR DATOS'!$D$20="MARZO",'RESULTADO INDEXADO'!AC6,IF('INTRODUCIR DATOS'!$D$20="ABRIL",'RESULTADO INDEXADO'!AJ6,IF('INTRODUCIR DATOS'!$D$20="MAYO",'RESULTADO INDEXADO'!AQ6,IF('INTRODUCIR DATOS'!$D$20="JUNIO",'RESULTADO INDEXADO'!AX6,IF('INTRODUCIR DATOS'!$D$20="JULIO",'RESULTADO INDEXADO'!BE6,IF('INTRODUCIR DATOS'!$D$20="AGOSTO",'RESULTADO INDEXADO'!BL6,IF('INTRODUCIR DATOS'!$D$20="SEPTIEMBRE",'RESULTADO INDEXADO'!BS6,IF('INTRODUCIR DATOS'!$D$20="OCTUBRE",'RESULTADO INDEXADO'!BZ6,IF('INTRODUCIR DATOS'!$D$20="NOVIEMBRE",'RESULTADO INDEXADO'!CG6,IF('INTRODUCIR DATOS'!$D$20="DICIEMBRE",'RESULTADO INDEXADO'!CN6))))))))))))</f>
        <v>0</v>
      </c>
      <c r="F6" s="256" t="b">
        <f>IF('INTRODUCIR DATOS'!$D$20="ENERO",'RESULTADO INDEXADO'!P6,IF('INTRODUCIR DATOS'!$D$20="FEBRERO",'RESULTADO INDEXADO'!W6,IF('INTRODUCIR DATOS'!$D$20="MARZO",'RESULTADO INDEXADO'!AD6,IF('INTRODUCIR DATOS'!$D$20="ABRIL",'RESULTADO INDEXADO'!AK6,IF('INTRODUCIR DATOS'!$D$20="MAYO",'RESULTADO INDEXADO'!AR6,IF('INTRODUCIR DATOS'!$D$20="JUNIO",'RESULTADO INDEXADO'!AY6,IF('INTRODUCIR DATOS'!$D$20="JULIO",'RESULTADO INDEXADO'!BF6,IF('INTRODUCIR DATOS'!$D$20="AGOSTO",'RESULTADO INDEXADO'!BM6,IF('INTRODUCIR DATOS'!$D$20="SEPTIEMBRE",'RESULTADO INDEXADO'!BT6,IF('INTRODUCIR DATOS'!$D$20="OCTUBRE",'RESULTADO INDEXADO'!CA6,IF('INTRODUCIR DATOS'!$D$20="NOVIEMBRE",'RESULTADO INDEXADO'!CH6,IF('INTRODUCIR DATOS'!$D$20="DICIEMBRE",'RESULTADO INDEXADO'!CO6))))))))))))</f>
        <v>0</v>
      </c>
      <c r="G6" s="257" t="b">
        <f>IF('INTRODUCIR DATOS'!$D$20="ENERO",'RESULTADO INDEXADO'!Q6,IF('INTRODUCIR DATOS'!$D$20="FEBRERO",'RESULTADO INDEXADO'!X6,IF('INTRODUCIR DATOS'!$D$20="MARZO",'RESULTADO INDEXADO'!AE6,IF('INTRODUCIR DATOS'!$D$20="ABRIL",'RESULTADO INDEXADO'!AL6,IF('INTRODUCIR DATOS'!$D$20="MAYO",'RESULTADO INDEXADO'!AS6,IF('INTRODUCIR DATOS'!$D$20="JUNIO",'RESULTADO INDEXADO'!AZ6,IF('INTRODUCIR DATOS'!$D$20="JULIO",'RESULTADO INDEXADO'!BG6,IF('INTRODUCIR DATOS'!$D$20="AGOSTO",'RESULTADO INDEXADO'!BN6,IF('INTRODUCIR DATOS'!$D$20="SEPTIEMBRE",'RESULTADO INDEXADO'!BU6,IF('INTRODUCIR DATOS'!$D$20="OCTUBRE",'RESULTADO INDEXADO'!CB6,IF('INTRODUCIR DATOS'!$D$20="NOVIEMBRE",'RESULTADO INDEXADO'!CI6,IF('INTRODUCIR DATOS'!$D$20="DICIEMBRE",'RESULTADO INDEXADO'!CP6))))))))))))</f>
        <v>0</v>
      </c>
      <c r="H6" s="257" t="b">
        <f>IF('INTRODUCIR DATOS'!$D$20="ENERO",'RESULTADO INDEXADO'!R6,IF('INTRODUCIR DATOS'!$D$20="FEBRERO",'RESULTADO INDEXADO'!Y6,IF('INTRODUCIR DATOS'!$D$20="MARZO",'RESULTADO INDEXADO'!AF6,IF('INTRODUCIR DATOS'!$D$20="ABRIL",'RESULTADO INDEXADO'!AM6,IF('INTRODUCIR DATOS'!$D$20="MAYO",'RESULTADO INDEXADO'!AT6,IF('INTRODUCIR DATOS'!$D$20="JUNIO",'RESULTADO INDEXADO'!BA6,IF('INTRODUCIR DATOS'!$D$20="JULIO",'RESULTADO INDEXADO'!BH6,IF('INTRODUCIR DATOS'!$D$20="AGOSTO",'RESULTADO INDEXADO'!BO6,IF('INTRODUCIR DATOS'!$D$20="SEPTIEMBRE",'RESULTADO INDEXADO'!BV6,IF('INTRODUCIR DATOS'!$D$20="OCTUBRE",'RESULTADO INDEXADO'!CC6,IF('INTRODUCIR DATOS'!$D$20="NOVIEMBRE",'RESULTADO INDEXADO'!CJ6,IF('INTRODUCIR DATOS'!$D$20="DICIEMBRE",'RESULTADO INDEXADO'!CQ6))))))))))))</f>
        <v>0</v>
      </c>
      <c r="I6" s="257" t="b">
        <f>IF('INTRODUCIR DATOS'!$D$20="ENERO",'RESULTADO INDEXADO'!S6,IF('INTRODUCIR DATOS'!$D$20="FEBRERO",'RESULTADO INDEXADO'!Z6,IF('INTRODUCIR DATOS'!$D$20="MARZO",'RESULTADO INDEXADO'!AG6,IF('INTRODUCIR DATOS'!$D$20="ABRIL",'RESULTADO INDEXADO'!AN6,IF('INTRODUCIR DATOS'!$D$20="MAYO",'RESULTADO INDEXADO'!AU6,IF('INTRODUCIR DATOS'!$D$20="JUNIO",'RESULTADO INDEXADO'!BB6,IF('INTRODUCIR DATOS'!$D$20="JULIO",'RESULTADO INDEXADO'!BI6,IF('INTRODUCIR DATOS'!$D$20="AGOSTO",'RESULTADO INDEXADO'!BP6,IF('INTRODUCIR DATOS'!$D$20="SEPTIEMBRE",'RESULTADO INDEXADO'!BW6,IF('INTRODUCIR DATOS'!$D$20="OCTUBRE",'RESULTADO INDEXADO'!CD6,IF('INTRODUCIR DATOS'!$D$20="NOVIEMBRE",'RESULTADO INDEXADO'!CK6,IF('INTRODUCIR DATOS'!$D$20="DICIEMBRE",'RESULTADO INDEXADO'!CR6))))))))))))</f>
        <v>0</v>
      </c>
      <c r="J6" s="296" t="b">
        <f>IF('INTRODUCIR DATOS'!$D$20="ENERO",'RESULTADO INDEXADO'!T6,IF('INTRODUCIR DATOS'!$D$20="FEBRERO",'RESULTADO INDEXADO'!AA6,IF('INTRODUCIR DATOS'!$D$20="MARZO",'RESULTADO INDEXADO'!AH6,IF('INTRODUCIR DATOS'!$D$20="ABRIL",'RESULTADO INDEXADO'!AO6,IF('INTRODUCIR DATOS'!$D$20="MAYO",'RESULTADO INDEXADO'!AV6,IF('INTRODUCIR DATOS'!$D$20="JUNIO",'RESULTADO INDEXADO'!BC6,IF('INTRODUCIR DATOS'!$D$20="JULIO",'RESULTADO INDEXADO'!BJ6,IF('INTRODUCIR DATOS'!$D$20="AGOSTO",'RESULTADO INDEXADO'!BQ6,IF('INTRODUCIR DATOS'!$D$20="SEPTIEMBRE",'RESULTADO INDEXADO'!BX6,IF('INTRODUCIR DATOS'!$D$20="OCTUBRE",'RESULTADO INDEXADO'!CE6,IF('INTRODUCIR DATOS'!$D$20="NOVIEMBRE",'RESULTADO INDEXADO'!CL6,IF('INTRODUCIR DATOS'!$D$20="DICIEMBRE",'RESULTADO INDEXADO'!CS6))))))))))))</f>
        <v>0</v>
      </c>
      <c r="K6" s="41"/>
      <c r="L6" s="40"/>
      <c r="M6" s="145"/>
      <c r="N6" s="311" t="s">
        <v>134</v>
      </c>
      <c r="O6" s="267">
        <v>0.10403468493150685</v>
      </c>
      <c r="P6" s="256">
        <v>2.3902300000000001E-2</v>
      </c>
      <c r="Q6" s="257"/>
      <c r="R6" s="257"/>
      <c r="S6" s="257"/>
      <c r="T6" s="258"/>
      <c r="U6" s="279" t="s">
        <v>134</v>
      </c>
      <c r="V6" s="267">
        <v>0.10403468493150685</v>
      </c>
      <c r="W6" s="256">
        <v>2.3902300000000001E-2</v>
      </c>
      <c r="X6" s="257"/>
      <c r="Y6" s="257"/>
      <c r="Z6" s="257"/>
      <c r="AA6" s="258"/>
      <c r="AB6" s="279" t="s">
        <v>134</v>
      </c>
      <c r="AC6" s="267">
        <v>0.10403468493150685</v>
      </c>
      <c r="AD6" s="256">
        <v>2.3902300000000001E-2</v>
      </c>
      <c r="AE6" s="257"/>
      <c r="AF6" s="257"/>
      <c r="AG6" s="257"/>
      <c r="AH6" s="258"/>
      <c r="AI6" s="279" t="s">
        <v>134</v>
      </c>
      <c r="AJ6" s="267">
        <v>0.10403468493150685</v>
      </c>
      <c r="AK6" s="256">
        <v>2.3902300000000001E-2</v>
      </c>
      <c r="AL6" s="257"/>
      <c r="AM6" s="257"/>
      <c r="AN6" s="257"/>
      <c r="AO6" s="258"/>
      <c r="AP6" s="279" t="s">
        <v>134</v>
      </c>
      <c r="AQ6" s="267">
        <v>0.10403468493150685</v>
      </c>
      <c r="AR6" s="256">
        <v>2.3902300000000001E-2</v>
      </c>
      <c r="AS6" s="257"/>
      <c r="AT6" s="257"/>
      <c r="AU6" s="257"/>
      <c r="AV6" s="258"/>
      <c r="AW6" s="279" t="s">
        <v>134</v>
      </c>
      <c r="AX6" s="267">
        <v>0.10403468493150685</v>
      </c>
      <c r="AY6" s="256">
        <v>2.3902300000000001E-2</v>
      </c>
      <c r="AZ6" s="257"/>
      <c r="BA6" s="257"/>
      <c r="BB6" s="257"/>
      <c r="BC6" s="258"/>
      <c r="BD6" s="279" t="s">
        <v>134</v>
      </c>
      <c r="BE6" s="267">
        <v>0.10403468493150685</v>
      </c>
      <c r="BF6" s="256">
        <v>2.3902300000000001E-2</v>
      </c>
      <c r="BG6" s="257"/>
      <c r="BH6" s="257"/>
      <c r="BI6" s="257"/>
      <c r="BJ6" s="258"/>
      <c r="BK6" s="279" t="s">
        <v>134</v>
      </c>
      <c r="BL6" s="267">
        <v>0.10403468493150685</v>
      </c>
      <c r="BM6" s="256">
        <v>2.3902300000000001E-2</v>
      </c>
      <c r="BN6" s="257"/>
      <c r="BO6" s="257"/>
      <c r="BP6" s="257"/>
      <c r="BQ6" s="258"/>
      <c r="BR6" s="279" t="s">
        <v>134</v>
      </c>
      <c r="BS6" s="267">
        <v>0.10403468493150685</v>
      </c>
      <c r="BT6" s="256">
        <v>2.3902300000000001E-2</v>
      </c>
      <c r="BU6" s="257"/>
      <c r="BV6" s="257"/>
      <c r="BW6" s="257"/>
      <c r="BX6" s="258"/>
      <c r="BY6" s="279" t="s">
        <v>134</v>
      </c>
      <c r="BZ6" s="267">
        <v>0.10403468493150685</v>
      </c>
      <c r="CA6" s="256">
        <v>2.3902300000000001E-2</v>
      </c>
      <c r="CB6" s="257"/>
      <c r="CC6" s="257"/>
      <c r="CD6" s="257"/>
      <c r="CE6" s="258"/>
      <c r="CF6" s="279" t="s">
        <v>134</v>
      </c>
      <c r="CG6" s="267">
        <v>0.10403468493150685</v>
      </c>
      <c r="CH6" s="256">
        <v>2.3902300000000001E-2</v>
      </c>
      <c r="CI6" s="257"/>
      <c r="CJ6" s="257"/>
      <c r="CK6" s="257"/>
      <c r="CL6" s="258"/>
      <c r="CM6" s="279" t="s">
        <v>134</v>
      </c>
      <c r="CN6" s="267">
        <v>0.10403468493150685</v>
      </c>
      <c r="CO6" s="256">
        <v>2.3902300000000001E-2</v>
      </c>
      <c r="CP6" s="257"/>
      <c r="CQ6" s="257"/>
      <c r="CR6" s="257"/>
      <c r="CS6" s="258"/>
    </row>
    <row r="7" spans="1:97">
      <c r="A7" s="41" t="s">
        <v>17</v>
      </c>
      <c r="B7" s="40" t="s">
        <v>20</v>
      </c>
      <c r="C7" s="335" t="s">
        <v>34</v>
      </c>
      <c r="D7" s="278" t="s">
        <v>136</v>
      </c>
      <c r="E7" s="266" t="b">
        <f>IF('INTRODUCIR DATOS'!$D$20="ENERO",'RESULTADO INDEXADO'!O7,IF('INTRODUCIR DATOS'!$D$20="FEBRERO",'RESULTADO INDEXADO'!V7,IF('INTRODUCIR DATOS'!$D$20="MARZO",'RESULTADO INDEXADO'!AC7,IF('INTRODUCIR DATOS'!$D$20="ABRIL",'RESULTADO INDEXADO'!AJ7,IF('INTRODUCIR DATOS'!$D$20="MAYO",'RESULTADO INDEXADO'!AQ7,IF('INTRODUCIR DATOS'!$D$20="JUNIO",'RESULTADO INDEXADO'!AX7,IF('INTRODUCIR DATOS'!$D$20="JULIO",'RESULTADO INDEXADO'!BE7,IF('INTRODUCIR DATOS'!$D$20="AGOSTO",'RESULTADO INDEXADO'!BL7,IF('INTRODUCIR DATOS'!$D$20="SEPTIEMBRE",'RESULTADO INDEXADO'!BS7,IF('INTRODUCIR DATOS'!$D$20="OCTUBRE",'RESULTADO INDEXADO'!BZ7,IF('INTRODUCIR DATOS'!$D$20="NOVIEMBRE",'RESULTADO INDEXADO'!CG7,IF('INTRODUCIR DATOS'!$D$20="DICIEMBRE",'RESULTADO INDEXADO'!CN7))))))))))))</f>
        <v>0</v>
      </c>
      <c r="F7" s="253" t="b">
        <f>IF('INTRODUCIR DATOS'!$D$20="ENERO",'RESULTADO INDEXADO'!P7,IF('INTRODUCIR DATOS'!$D$20="FEBRERO",'RESULTADO INDEXADO'!W7,IF('INTRODUCIR DATOS'!$D$20="MARZO",'RESULTADO INDEXADO'!AD7,IF('INTRODUCIR DATOS'!$D$20="ABRIL",'RESULTADO INDEXADO'!AK7,IF('INTRODUCIR DATOS'!$D$20="MAYO",'RESULTADO INDEXADO'!AR7,IF('INTRODUCIR DATOS'!$D$20="JUNIO",'RESULTADO INDEXADO'!AY7,IF('INTRODUCIR DATOS'!$D$20="JULIO",'RESULTADO INDEXADO'!BF7,IF('INTRODUCIR DATOS'!$D$20="AGOSTO",'RESULTADO INDEXADO'!BM7,IF('INTRODUCIR DATOS'!$D$20="SEPTIEMBRE",'RESULTADO INDEXADO'!BT7,IF('INTRODUCIR DATOS'!$D$20="OCTUBRE",'RESULTADO INDEXADO'!CA7,IF('INTRODUCIR DATOS'!$D$20="NOVIEMBRE",'RESULTADO INDEXADO'!CH7,IF('INTRODUCIR DATOS'!$D$20="DICIEMBRE",'RESULTADO INDEXADO'!CO7))))))))))))</f>
        <v>0</v>
      </c>
      <c r="G7" s="253" t="b">
        <f>IF('INTRODUCIR DATOS'!$D$20="ENERO",'RESULTADO INDEXADO'!Q7,IF('INTRODUCIR DATOS'!$D$20="FEBRERO",'RESULTADO INDEXADO'!X7,IF('INTRODUCIR DATOS'!$D$20="MARZO",'RESULTADO INDEXADO'!AE7,IF('INTRODUCIR DATOS'!$D$20="ABRIL",'RESULTADO INDEXADO'!AL7,IF('INTRODUCIR DATOS'!$D$20="MAYO",'RESULTADO INDEXADO'!AS7,IF('INTRODUCIR DATOS'!$D$20="JUNIO",'RESULTADO INDEXADO'!AZ7,IF('INTRODUCIR DATOS'!$D$20="JULIO",'RESULTADO INDEXADO'!BG7,IF('INTRODUCIR DATOS'!$D$20="AGOSTO",'RESULTADO INDEXADO'!BN7,IF('INTRODUCIR DATOS'!$D$20="SEPTIEMBRE",'RESULTADO INDEXADO'!BU7,IF('INTRODUCIR DATOS'!$D$20="OCTUBRE",'RESULTADO INDEXADO'!CB7,IF('INTRODUCIR DATOS'!$D$20="NOVIEMBRE",'RESULTADO INDEXADO'!CI7,IF('INTRODUCIR DATOS'!$D$20="DICIEMBRE",'RESULTADO INDEXADO'!CP7))))))))))))</f>
        <v>0</v>
      </c>
      <c r="H7" s="254" t="b">
        <f>IF('INTRODUCIR DATOS'!$D$20="ENERO",'RESULTADO INDEXADO'!R7,IF('INTRODUCIR DATOS'!$D$20="FEBRERO",'RESULTADO INDEXADO'!Y7,IF('INTRODUCIR DATOS'!$D$20="MARZO",'RESULTADO INDEXADO'!AF7,IF('INTRODUCIR DATOS'!$D$20="ABRIL",'RESULTADO INDEXADO'!AM7,IF('INTRODUCIR DATOS'!$D$20="MAYO",'RESULTADO INDEXADO'!AT7,IF('INTRODUCIR DATOS'!$D$20="JUNIO",'RESULTADO INDEXADO'!BA7,IF('INTRODUCIR DATOS'!$D$20="JULIO",'RESULTADO INDEXADO'!BH7,IF('INTRODUCIR DATOS'!$D$20="AGOSTO",'RESULTADO INDEXADO'!BO7,IF('INTRODUCIR DATOS'!$D$20="SEPTIEMBRE",'RESULTADO INDEXADO'!BV7,IF('INTRODUCIR DATOS'!$D$20="OCTUBRE",'RESULTADO INDEXADO'!CC7,IF('INTRODUCIR DATOS'!$D$20="NOVIEMBRE",'RESULTADO INDEXADO'!CJ7,IF('INTRODUCIR DATOS'!$D$20="DICIEMBRE",'RESULTADO INDEXADO'!CQ7))))))))))))</f>
        <v>0</v>
      </c>
      <c r="I7" s="254" t="b">
        <f>IF('INTRODUCIR DATOS'!$D$20="ENERO",'RESULTADO INDEXADO'!S7,IF('INTRODUCIR DATOS'!$D$20="FEBRERO",'RESULTADO INDEXADO'!Z7,IF('INTRODUCIR DATOS'!$D$20="MARZO",'RESULTADO INDEXADO'!AG7,IF('INTRODUCIR DATOS'!$D$20="ABRIL",'RESULTADO INDEXADO'!AN7,IF('INTRODUCIR DATOS'!$D$20="MAYO",'RESULTADO INDEXADO'!AU7,IF('INTRODUCIR DATOS'!$D$20="JUNIO",'RESULTADO INDEXADO'!BB7,IF('INTRODUCIR DATOS'!$D$20="JULIO",'RESULTADO INDEXADO'!BI7,IF('INTRODUCIR DATOS'!$D$20="AGOSTO",'RESULTADO INDEXADO'!BP7,IF('INTRODUCIR DATOS'!$D$20="SEPTIEMBRE",'RESULTADO INDEXADO'!BW7,IF('INTRODUCIR DATOS'!$D$20="OCTUBRE",'RESULTADO INDEXADO'!CD7,IF('INTRODUCIR DATOS'!$D$20="NOVIEMBRE",'RESULTADO INDEXADO'!CK7,IF('INTRODUCIR DATOS'!$D$20="DICIEMBRE",'RESULTADO INDEXADO'!CR7))))))))))))</f>
        <v>0</v>
      </c>
      <c r="J7" s="295" t="b">
        <f>IF('INTRODUCIR DATOS'!$D$20="ENERO",'RESULTADO INDEXADO'!T7,IF('INTRODUCIR DATOS'!$D$20="FEBRERO",'RESULTADO INDEXADO'!AA7,IF('INTRODUCIR DATOS'!$D$20="MARZO",'RESULTADO INDEXADO'!AH7,IF('INTRODUCIR DATOS'!$D$20="ABRIL",'RESULTADO INDEXADO'!AO7,IF('INTRODUCIR DATOS'!$D$20="MAYO",'RESULTADO INDEXADO'!AV7,IF('INTRODUCIR DATOS'!$D$20="JUNIO",'RESULTADO INDEXADO'!BC7,IF('INTRODUCIR DATOS'!$D$20="JULIO",'RESULTADO INDEXADO'!BJ7,IF('INTRODUCIR DATOS'!$D$20="AGOSTO",'RESULTADO INDEXADO'!BQ7,IF('INTRODUCIR DATOS'!$D$20="SEPTIEMBRE",'RESULTADO INDEXADO'!BX7,IF('INTRODUCIR DATOS'!$D$20="OCTUBRE",'RESULTADO INDEXADO'!CE7,IF('INTRODUCIR DATOS'!$D$20="NOVIEMBRE",'RESULTADO INDEXADO'!CL7,IF('INTRODUCIR DATOS'!$D$20="DICIEMBRE",'RESULTADO INDEXADO'!CS7))))))))))))</f>
        <v>0</v>
      </c>
      <c r="K7" s="290">
        <f>('INTRODUCIR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DATOS'!$D$17)+'INTRODUCIR DATOS'!$D$15+'INTRODUCIR DATOS'!$D$16+IF('INTRODUCIR DATOS'!$D$21=21%,(('INTRODUCIR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DATOS'!$D$17)+'INTRODUCIR DATOS'!$D$16)*21/100,IF('INTRODUCIR DATOS'!$D$21=10%,(('INTRODUCIR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DATOS'!$D$17)+'INTRODUCIR DATOS'!$D$16)*10/100))</f>
        <v>1.0285</v>
      </c>
      <c r="L7" s="292">
        <f>IF(K7=0,"",'INTRODUCIR DATOS'!$D$14-K7)</f>
        <v>113.12150000000001</v>
      </c>
      <c r="M7" s="271">
        <f>IF(K7=0,"",('INTRODUCIR DATOS'!$D$14-K7)/'INTRODUCIR DATOS'!$D$14)</f>
        <v>0.99098992553657472</v>
      </c>
      <c r="N7" s="310" t="s">
        <v>136</v>
      </c>
      <c r="O7" s="266">
        <v>0.25350699999999998</v>
      </c>
      <c r="P7" s="253">
        <v>0.15243399999999999</v>
      </c>
      <c r="Q7" s="253">
        <v>9.3479999999999994E-2</v>
      </c>
      <c r="R7" s="254"/>
      <c r="S7" s="254"/>
      <c r="T7" s="255"/>
      <c r="U7" s="278" t="s">
        <v>136</v>
      </c>
      <c r="V7" s="266">
        <v>0.20893500000000001</v>
      </c>
      <c r="W7" s="253">
        <v>0.10713200000000001</v>
      </c>
      <c r="X7" s="253">
        <v>5.8374000000000002E-2</v>
      </c>
      <c r="Y7" s="254"/>
      <c r="Z7" s="254"/>
      <c r="AA7" s="255"/>
      <c r="AB7" s="278" t="s">
        <v>136</v>
      </c>
      <c r="AC7" s="266">
        <v>0.22153100000000001</v>
      </c>
      <c r="AD7" s="253">
        <v>0.123624</v>
      </c>
      <c r="AE7" s="253">
        <v>8.3017999999999995E-2</v>
      </c>
      <c r="AF7" s="254"/>
      <c r="AG7" s="254"/>
      <c r="AH7" s="255"/>
      <c r="AI7" s="278" t="s">
        <v>136</v>
      </c>
      <c r="AJ7" s="266">
        <v>0.241734</v>
      </c>
      <c r="AK7" s="253">
        <v>0.144653</v>
      </c>
      <c r="AL7" s="253">
        <v>0.107229</v>
      </c>
      <c r="AM7" s="254"/>
      <c r="AN7" s="254"/>
      <c r="AO7" s="255"/>
      <c r="AP7" s="278" t="s">
        <v>136</v>
      </c>
      <c r="AQ7" s="266">
        <v>0.24479999999999999</v>
      </c>
      <c r="AR7" s="253">
        <v>0.14856900000000001</v>
      </c>
      <c r="AS7" s="253">
        <v>0.106932</v>
      </c>
      <c r="AT7" s="254"/>
      <c r="AU7" s="254"/>
      <c r="AV7" s="255"/>
      <c r="AW7" s="278" t="s">
        <v>136</v>
      </c>
      <c r="AX7" s="266">
        <v>0.25908300000000001</v>
      </c>
      <c r="AY7" s="253">
        <v>0.16372049999999999</v>
      </c>
      <c r="AZ7" s="253">
        <v>0.124427</v>
      </c>
      <c r="BA7" s="254"/>
      <c r="BB7" s="254"/>
      <c r="BC7" s="255"/>
      <c r="BD7" s="278" t="s">
        <v>136</v>
      </c>
      <c r="BE7" s="266">
        <v>0.27242499999999997</v>
      </c>
      <c r="BF7" s="253">
        <v>0.17666899999999999</v>
      </c>
      <c r="BG7" s="253">
        <v>0.137376</v>
      </c>
      <c r="BH7" s="254"/>
      <c r="BI7" s="254"/>
      <c r="BJ7" s="255"/>
      <c r="BK7" s="278" t="s">
        <v>136</v>
      </c>
      <c r="BL7" s="266">
        <v>0.28889599999999999</v>
      </c>
      <c r="BM7" s="253">
        <v>0.19372700000000001</v>
      </c>
      <c r="BN7" s="253">
        <v>0.15174799999999999</v>
      </c>
      <c r="BO7" s="254"/>
      <c r="BP7" s="254"/>
      <c r="BQ7" s="255"/>
      <c r="BR7" s="278" t="s">
        <v>136</v>
      </c>
      <c r="BS7" s="266"/>
      <c r="BT7" s="253"/>
      <c r="BU7" s="253"/>
      <c r="BV7" s="254"/>
      <c r="BW7" s="254"/>
      <c r="BX7" s="255"/>
      <c r="BY7" s="278" t="s">
        <v>136</v>
      </c>
      <c r="BZ7" s="266"/>
      <c r="CA7" s="253"/>
      <c r="CB7" s="253"/>
      <c r="CC7" s="254"/>
      <c r="CD7" s="254"/>
      <c r="CE7" s="255"/>
      <c r="CF7" s="278" t="s">
        <v>136</v>
      </c>
      <c r="CG7" s="266"/>
      <c r="CH7" s="253"/>
      <c r="CI7" s="253"/>
      <c r="CJ7" s="254"/>
      <c r="CK7" s="254"/>
      <c r="CL7" s="255"/>
      <c r="CM7" s="278" t="s">
        <v>136</v>
      </c>
      <c r="CN7" s="266"/>
      <c r="CO7" s="253"/>
      <c r="CP7" s="253"/>
      <c r="CQ7" s="254"/>
      <c r="CR7" s="254"/>
      <c r="CS7" s="255"/>
    </row>
    <row r="8" spans="1:97">
      <c r="A8" s="41" t="s">
        <v>17</v>
      </c>
      <c r="B8" s="40" t="s">
        <v>20</v>
      </c>
      <c r="C8" s="335" t="s">
        <v>34</v>
      </c>
      <c r="D8" s="279" t="s">
        <v>134</v>
      </c>
      <c r="E8" s="267" t="b">
        <f>IF('INTRODUCIR DATOS'!$D$20="ENERO",'RESULTADO INDEXADO'!O8,IF('INTRODUCIR DATOS'!$D$20="FEBRERO",'RESULTADO INDEXADO'!V8,IF('INTRODUCIR DATOS'!$D$20="MARZO",'RESULTADO INDEXADO'!AC8,IF('INTRODUCIR DATOS'!$D$20="ABRIL",'RESULTADO INDEXADO'!AJ8,IF('INTRODUCIR DATOS'!$D$20="MAYO",'RESULTADO INDEXADO'!AQ8,IF('INTRODUCIR DATOS'!$D$20="JUNIO",'RESULTADO INDEXADO'!AX8,IF('INTRODUCIR DATOS'!$D$20="JULIO",'RESULTADO INDEXADO'!BE8,IF('INTRODUCIR DATOS'!$D$20="AGOSTO",'RESULTADO INDEXADO'!BL8,IF('INTRODUCIR DATOS'!$D$20="SEPTIEMBRE",'RESULTADO INDEXADO'!BS8,IF('INTRODUCIR DATOS'!$D$20="OCTUBRE",'RESULTADO INDEXADO'!BZ8,IF('INTRODUCIR DATOS'!$D$20="NOVIEMBRE",'RESULTADO INDEXADO'!CG8,IF('INTRODUCIR DATOS'!$D$20="DICIEMBRE",'RESULTADO INDEXADO'!CN8))))))))))))</f>
        <v>0</v>
      </c>
      <c r="F8" s="256" t="b">
        <f>IF('INTRODUCIR DATOS'!$D$20="ENERO",'RESULTADO INDEXADO'!P8,IF('INTRODUCIR DATOS'!$D$20="FEBRERO",'RESULTADO INDEXADO'!W8,IF('INTRODUCIR DATOS'!$D$20="MARZO",'RESULTADO INDEXADO'!AD8,IF('INTRODUCIR DATOS'!$D$20="ABRIL",'RESULTADO INDEXADO'!AK8,IF('INTRODUCIR DATOS'!$D$20="MAYO",'RESULTADO INDEXADO'!AR8,IF('INTRODUCIR DATOS'!$D$20="JUNIO",'RESULTADO INDEXADO'!AY8,IF('INTRODUCIR DATOS'!$D$20="JULIO",'RESULTADO INDEXADO'!BF8,IF('INTRODUCIR DATOS'!$D$20="AGOSTO",'RESULTADO INDEXADO'!BM8,IF('INTRODUCIR DATOS'!$D$20="SEPTIEMBRE",'RESULTADO INDEXADO'!BT8,IF('INTRODUCIR DATOS'!$D$20="OCTUBRE",'RESULTADO INDEXADO'!CA8,IF('INTRODUCIR DATOS'!$D$20="NOVIEMBRE",'RESULTADO INDEXADO'!CH8,IF('INTRODUCIR DATOS'!$D$20="DICIEMBRE",'RESULTADO INDEXADO'!CO8))))))))))))</f>
        <v>0</v>
      </c>
      <c r="G8" s="257" t="b">
        <f>IF('INTRODUCIR DATOS'!$D$20="ENERO",'RESULTADO INDEXADO'!Q8,IF('INTRODUCIR DATOS'!$D$20="FEBRERO",'RESULTADO INDEXADO'!X8,IF('INTRODUCIR DATOS'!$D$20="MARZO",'RESULTADO INDEXADO'!AE8,IF('INTRODUCIR DATOS'!$D$20="ABRIL",'RESULTADO INDEXADO'!AL8,IF('INTRODUCIR DATOS'!$D$20="MAYO",'RESULTADO INDEXADO'!AS8,IF('INTRODUCIR DATOS'!$D$20="JUNIO",'RESULTADO INDEXADO'!AZ8,IF('INTRODUCIR DATOS'!$D$20="JULIO",'RESULTADO INDEXADO'!BG8,IF('INTRODUCIR DATOS'!$D$20="AGOSTO",'RESULTADO INDEXADO'!BN8,IF('INTRODUCIR DATOS'!$D$20="SEPTIEMBRE",'RESULTADO INDEXADO'!BU8,IF('INTRODUCIR DATOS'!$D$20="OCTUBRE",'RESULTADO INDEXADO'!CB8,IF('INTRODUCIR DATOS'!$D$20="NOVIEMBRE",'RESULTADO INDEXADO'!CI8,IF('INTRODUCIR DATOS'!$D$20="DICIEMBRE",'RESULTADO INDEXADO'!CP8))))))))))))</f>
        <v>0</v>
      </c>
      <c r="H8" s="257" t="b">
        <f>IF('INTRODUCIR DATOS'!$D$20="ENERO",'RESULTADO INDEXADO'!R8,IF('INTRODUCIR DATOS'!$D$20="FEBRERO",'RESULTADO INDEXADO'!Y8,IF('INTRODUCIR DATOS'!$D$20="MARZO",'RESULTADO INDEXADO'!AF8,IF('INTRODUCIR DATOS'!$D$20="ABRIL",'RESULTADO INDEXADO'!AM8,IF('INTRODUCIR DATOS'!$D$20="MAYO",'RESULTADO INDEXADO'!AT8,IF('INTRODUCIR DATOS'!$D$20="JUNIO",'RESULTADO INDEXADO'!BA8,IF('INTRODUCIR DATOS'!$D$20="JULIO",'RESULTADO INDEXADO'!BH8,IF('INTRODUCIR DATOS'!$D$20="AGOSTO",'RESULTADO INDEXADO'!BO8,IF('INTRODUCIR DATOS'!$D$20="SEPTIEMBRE",'RESULTADO INDEXADO'!BV8,IF('INTRODUCIR DATOS'!$D$20="OCTUBRE",'RESULTADO INDEXADO'!CC8,IF('INTRODUCIR DATOS'!$D$20="NOVIEMBRE",'RESULTADO INDEXADO'!CJ8,IF('INTRODUCIR DATOS'!$D$20="DICIEMBRE",'RESULTADO INDEXADO'!CQ8))))))))))))</f>
        <v>0</v>
      </c>
      <c r="I8" s="257" t="b">
        <f>IF('INTRODUCIR DATOS'!$D$20="ENERO",'RESULTADO INDEXADO'!S8,IF('INTRODUCIR DATOS'!$D$20="FEBRERO",'RESULTADO INDEXADO'!Z8,IF('INTRODUCIR DATOS'!$D$20="MARZO",'RESULTADO INDEXADO'!AG8,IF('INTRODUCIR DATOS'!$D$20="ABRIL",'RESULTADO INDEXADO'!AN8,IF('INTRODUCIR DATOS'!$D$20="MAYO",'RESULTADO INDEXADO'!AU8,IF('INTRODUCIR DATOS'!$D$20="JUNIO",'RESULTADO INDEXADO'!BB8,IF('INTRODUCIR DATOS'!$D$20="JULIO",'RESULTADO INDEXADO'!BI8,IF('INTRODUCIR DATOS'!$D$20="AGOSTO",'RESULTADO INDEXADO'!BP8,IF('INTRODUCIR DATOS'!$D$20="SEPTIEMBRE",'RESULTADO INDEXADO'!BW8,IF('INTRODUCIR DATOS'!$D$20="OCTUBRE",'RESULTADO INDEXADO'!CD8,IF('INTRODUCIR DATOS'!$D$20="NOVIEMBRE",'RESULTADO INDEXADO'!CK8,IF('INTRODUCIR DATOS'!$D$20="DICIEMBRE",'RESULTADO INDEXADO'!CR8))))))))))))</f>
        <v>0</v>
      </c>
      <c r="J8" s="296" t="b">
        <f>IF('INTRODUCIR DATOS'!$D$20="ENERO",'RESULTADO INDEXADO'!T8,IF('INTRODUCIR DATOS'!$D$20="FEBRERO",'RESULTADO INDEXADO'!AA8,IF('INTRODUCIR DATOS'!$D$20="MARZO",'RESULTADO INDEXADO'!AH8,IF('INTRODUCIR DATOS'!$D$20="ABRIL",'RESULTADO INDEXADO'!AO8,IF('INTRODUCIR DATOS'!$D$20="MAYO",'RESULTADO INDEXADO'!AV8,IF('INTRODUCIR DATOS'!$D$20="JUNIO",'RESULTADO INDEXADO'!BC8,IF('INTRODUCIR DATOS'!$D$20="JULIO",'RESULTADO INDEXADO'!BJ8,IF('INTRODUCIR DATOS'!$D$20="AGOSTO",'RESULTADO INDEXADO'!BQ8,IF('INTRODUCIR DATOS'!$D$20="SEPTIEMBRE",'RESULTADO INDEXADO'!BX8,IF('INTRODUCIR DATOS'!$D$20="OCTUBRE",'RESULTADO INDEXADO'!CE8,IF('INTRODUCIR DATOS'!$D$20="NOVIEMBRE",'RESULTADO INDEXADO'!CL8,IF('INTRODUCIR DATOS'!$D$20="DICIEMBRE",'RESULTADO INDEXADO'!CS8))))))))))))</f>
        <v>0</v>
      </c>
      <c r="K8" s="41"/>
      <c r="L8" s="40"/>
      <c r="M8" s="145"/>
      <c r="N8" s="311" t="s">
        <v>134</v>
      </c>
      <c r="O8" s="267">
        <v>0.10471961643835616</v>
      </c>
      <c r="P8" s="256">
        <v>2.4587284931506848E-2</v>
      </c>
      <c r="Q8" s="257"/>
      <c r="R8" s="257"/>
      <c r="S8" s="257"/>
      <c r="T8" s="258"/>
      <c r="U8" s="279" t="s">
        <v>134</v>
      </c>
      <c r="V8" s="267">
        <v>0.10471961643835616</v>
      </c>
      <c r="W8" s="256">
        <v>2.4587284931506848E-2</v>
      </c>
      <c r="X8" s="257"/>
      <c r="Y8" s="257"/>
      <c r="Z8" s="257"/>
      <c r="AA8" s="258"/>
      <c r="AB8" s="279" t="s">
        <v>134</v>
      </c>
      <c r="AC8" s="267">
        <v>0.10471961643835616</v>
      </c>
      <c r="AD8" s="256">
        <v>2.4587284931506848E-2</v>
      </c>
      <c r="AE8" s="257"/>
      <c r="AF8" s="257"/>
      <c r="AG8" s="257"/>
      <c r="AH8" s="258"/>
      <c r="AI8" s="279" t="s">
        <v>134</v>
      </c>
      <c r="AJ8" s="267">
        <v>0.10471961643835616</v>
      </c>
      <c r="AK8" s="256">
        <v>2.4587284931506848E-2</v>
      </c>
      <c r="AL8" s="257"/>
      <c r="AM8" s="257"/>
      <c r="AN8" s="257"/>
      <c r="AO8" s="258"/>
      <c r="AP8" s="279" t="s">
        <v>134</v>
      </c>
      <c r="AQ8" s="267">
        <v>0.10471961643835616</v>
      </c>
      <c r="AR8" s="256">
        <v>2.4587284931506848E-2</v>
      </c>
      <c r="AS8" s="257"/>
      <c r="AT8" s="257"/>
      <c r="AU8" s="257"/>
      <c r="AV8" s="258"/>
      <c r="AW8" s="279" t="s">
        <v>134</v>
      </c>
      <c r="AX8" s="267">
        <v>0.10471961643835616</v>
      </c>
      <c r="AY8" s="256">
        <v>2.4587284931506848E-2</v>
      </c>
      <c r="AZ8" s="257"/>
      <c r="BA8" s="257"/>
      <c r="BB8" s="257"/>
      <c r="BC8" s="258"/>
      <c r="BD8" s="279" t="s">
        <v>134</v>
      </c>
      <c r="BE8" s="267">
        <v>0.10471961643835616</v>
      </c>
      <c r="BF8" s="256">
        <v>2.4587284931506848E-2</v>
      </c>
      <c r="BG8" s="257"/>
      <c r="BH8" s="257"/>
      <c r="BI8" s="257"/>
      <c r="BJ8" s="258"/>
      <c r="BK8" s="279" t="s">
        <v>134</v>
      </c>
      <c r="BL8" s="267">
        <v>0.10471961643835616</v>
      </c>
      <c r="BM8" s="256">
        <v>2.4587284931506848E-2</v>
      </c>
      <c r="BN8" s="257"/>
      <c r="BO8" s="257"/>
      <c r="BP8" s="257"/>
      <c r="BQ8" s="258"/>
      <c r="BR8" s="279" t="s">
        <v>134</v>
      </c>
      <c r="BS8" s="267">
        <v>0.10471961643835616</v>
      </c>
      <c r="BT8" s="256">
        <v>2.4587284931506848E-2</v>
      </c>
      <c r="BU8" s="257"/>
      <c r="BV8" s="257"/>
      <c r="BW8" s="257"/>
      <c r="BX8" s="258"/>
      <c r="BY8" s="279" t="s">
        <v>134</v>
      </c>
      <c r="BZ8" s="267">
        <v>0.10471961643835616</v>
      </c>
      <c r="CA8" s="256">
        <v>2.4587284931506848E-2</v>
      </c>
      <c r="CB8" s="257"/>
      <c r="CC8" s="257"/>
      <c r="CD8" s="257"/>
      <c r="CE8" s="258"/>
      <c r="CF8" s="279" t="s">
        <v>134</v>
      </c>
      <c r="CG8" s="267">
        <v>0.10471961643835616</v>
      </c>
      <c r="CH8" s="256">
        <v>2.4587284931506848E-2</v>
      </c>
      <c r="CI8" s="257"/>
      <c r="CJ8" s="257"/>
      <c r="CK8" s="257"/>
      <c r="CL8" s="258"/>
      <c r="CM8" s="279" t="s">
        <v>134</v>
      </c>
      <c r="CN8" s="267">
        <v>0.10471961643835616</v>
      </c>
      <c r="CO8" s="256">
        <v>2.4587284931506848E-2</v>
      </c>
      <c r="CP8" s="257"/>
      <c r="CQ8" s="257"/>
      <c r="CR8" s="257"/>
      <c r="CS8" s="258"/>
    </row>
    <row r="9" spans="1:97">
      <c r="A9" s="41" t="s">
        <v>17</v>
      </c>
      <c r="B9" s="40" t="s">
        <v>20</v>
      </c>
      <c r="C9" s="335" t="s">
        <v>34</v>
      </c>
      <c r="D9" s="278" t="s">
        <v>136</v>
      </c>
      <c r="E9" s="266" t="b">
        <f>IF('INTRODUCIR DATOS'!$D$20="ENERO",'RESULTADO INDEXADO'!O9,IF('INTRODUCIR DATOS'!$D$20="FEBRERO",'RESULTADO INDEXADO'!V9,IF('INTRODUCIR DATOS'!$D$20="MARZO",'RESULTADO INDEXADO'!AC9,IF('INTRODUCIR DATOS'!$D$20="ABRIL",'RESULTADO INDEXADO'!AJ9,IF('INTRODUCIR DATOS'!$D$20="MAYO",'RESULTADO INDEXADO'!AQ9,IF('INTRODUCIR DATOS'!$D$20="JUNIO",'RESULTADO INDEXADO'!AX9,IF('INTRODUCIR DATOS'!$D$20="JULIO",'RESULTADO INDEXADO'!BE9,IF('INTRODUCIR DATOS'!$D$20="AGOSTO",'RESULTADO INDEXADO'!BL9,IF('INTRODUCIR DATOS'!$D$20="SEPTIEMBRE",'RESULTADO INDEXADO'!BS9,IF('INTRODUCIR DATOS'!$D$20="OCTUBRE",'RESULTADO INDEXADO'!BZ9,IF('INTRODUCIR DATOS'!$D$20="NOVIEMBRE",'RESULTADO INDEXADO'!CG9,IF('INTRODUCIR DATOS'!$D$20="DICIEMBRE",'RESULTADO INDEXADO'!CN9))))))))))))</f>
        <v>0</v>
      </c>
      <c r="F9" s="253" t="b">
        <f>IF('INTRODUCIR DATOS'!$D$20="ENERO",'RESULTADO INDEXADO'!P9,IF('INTRODUCIR DATOS'!$D$20="FEBRERO",'RESULTADO INDEXADO'!W9,IF('INTRODUCIR DATOS'!$D$20="MARZO",'RESULTADO INDEXADO'!AD9,IF('INTRODUCIR DATOS'!$D$20="ABRIL",'RESULTADO INDEXADO'!AK9,IF('INTRODUCIR DATOS'!$D$20="MAYO",'RESULTADO INDEXADO'!AR9,IF('INTRODUCIR DATOS'!$D$20="JUNIO",'RESULTADO INDEXADO'!AY9,IF('INTRODUCIR DATOS'!$D$20="JULIO",'RESULTADO INDEXADO'!BF9,IF('INTRODUCIR DATOS'!$D$20="AGOSTO",'RESULTADO INDEXADO'!BM9,IF('INTRODUCIR DATOS'!$D$20="SEPTIEMBRE",'RESULTADO INDEXADO'!BT9,IF('INTRODUCIR DATOS'!$D$20="OCTUBRE",'RESULTADO INDEXADO'!CA9,IF('INTRODUCIR DATOS'!$D$20="NOVIEMBRE",'RESULTADO INDEXADO'!CH9,IF('INTRODUCIR DATOS'!$D$20="DICIEMBRE",'RESULTADO INDEXADO'!CO9))))))))))))</f>
        <v>0</v>
      </c>
      <c r="G9" s="253" t="b">
        <f>IF('INTRODUCIR DATOS'!$D$20="ENERO",'RESULTADO INDEXADO'!Q9,IF('INTRODUCIR DATOS'!$D$20="FEBRERO",'RESULTADO INDEXADO'!X9,IF('INTRODUCIR DATOS'!$D$20="MARZO",'RESULTADO INDEXADO'!AE9,IF('INTRODUCIR DATOS'!$D$20="ABRIL",'RESULTADO INDEXADO'!AL9,IF('INTRODUCIR DATOS'!$D$20="MAYO",'RESULTADO INDEXADO'!AS9,IF('INTRODUCIR DATOS'!$D$20="JUNIO",'RESULTADO INDEXADO'!AZ9,IF('INTRODUCIR DATOS'!$D$20="JULIO",'RESULTADO INDEXADO'!BG9,IF('INTRODUCIR DATOS'!$D$20="AGOSTO",'RESULTADO INDEXADO'!BN9,IF('INTRODUCIR DATOS'!$D$20="SEPTIEMBRE",'RESULTADO INDEXADO'!BU9,IF('INTRODUCIR DATOS'!$D$20="OCTUBRE",'RESULTADO INDEXADO'!CB9,IF('INTRODUCIR DATOS'!$D$20="NOVIEMBRE",'RESULTADO INDEXADO'!CI9,IF('INTRODUCIR DATOS'!$D$20="DICIEMBRE",'RESULTADO INDEXADO'!CP9))))))))))))</f>
        <v>0</v>
      </c>
      <c r="H9" s="254" t="b">
        <f>IF('INTRODUCIR DATOS'!$D$20="ENERO",'RESULTADO INDEXADO'!R9,IF('INTRODUCIR DATOS'!$D$20="FEBRERO",'RESULTADO INDEXADO'!Y9,IF('INTRODUCIR DATOS'!$D$20="MARZO",'RESULTADO INDEXADO'!AF9,IF('INTRODUCIR DATOS'!$D$20="ABRIL",'RESULTADO INDEXADO'!AM9,IF('INTRODUCIR DATOS'!$D$20="MAYO",'RESULTADO INDEXADO'!AT9,IF('INTRODUCIR DATOS'!$D$20="JUNIO",'RESULTADO INDEXADO'!BA9,IF('INTRODUCIR DATOS'!$D$20="JULIO",'RESULTADO INDEXADO'!BH9,IF('INTRODUCIR DATOS'!$D$20="AGOSTO",'RESULTADO INDEXADO'!BO9,IF('INTRODUCIR DATOS'!$D$20="SEPTIEMBRE",'RESULTADO INDEXADO'!BV9,IF('INTRODUCIR DATOS'!$D$20="OCTUBRE",'RESULTADO INDEXADO'!CC9,IF('INTRODUCIR DATOS'!$D$20="NOVIEMBRE",'RESULTADO INDEXADO'!CJ9,IF('INTRODUCIR DATOS'!$D$20="DICIEMBRE",'RESULTADO INDEXADO'!CQ9))))))))))))</f>
        <v>0</v>
      </c>
      <c r="I9" s="254" t="b">
        <f>IF('INTRODUCIR DATOS'!$D$20="ENERO",'RESULTADO INDEXADO'!S9,IF('INTRODUCIR DATOS'!$D$20="FEBRERO",'RESULTADO INDEXADO'!Z9,IF('INTRODUCIR DATOS'!$D$20="MARZO",'RESULTADO INDEXADO'!AG9,IF('INTRODUCIR DATOS'!$D$20="ABRIL",'RESULTADO INDEXADO'!AN9,IF('INTRODUCIR DATOS'!$D$20="MAYO",'RESULTADO INDEXADO'!AU9,IF('INTRODUCIR DATOS'!$D$20="JUNIO",'RESULTADO INDEXADO'!BB9,IF('INTRODUCIR DATOS'!$D$20="JULIO",'RESULTADO INDEXADO'!BI9,IF('INTRODUCIR DATOS'!$D$20="AGOSTO",'RESULTADO INDEXADO'!BP9,IF('INTRODUCIR DATOS'!$D$20="SEPTIEMBRE",'RESULTADO INDEXADO'!BW9,IF('INTRODUCIR DATOS'!$D$20="OCTUBRE",'RESULTADO INDEXADO'!CD9,IF('INTRODUCIR DATOS'!$D$20="NOVIEMBRE",'RESULTADO INDEXADO'!CK9,IF('INTRODUCIR DATOS'!$D$20="DICIEMBRE",'RESULTADO INDEXADO'!CR9))))))))))))</f>
        <v>0</v>
      </c>
      <c r="J9" s="295" t="b">
        <f>IF('INTRODUCIR DATOS'!$D$20="ENERO",'RESULTADO INDEXADO'!T9,IF('INTRODUCIR DATOS'!$D$20="FEBRERO",'RESULTADO INDEXADO'!AA9,IF('INTRODUCIR DATOS'!$D$20="MARZO",'RESULTADO INDEXADO'!AH9,IF('INTRODUCIR DATOS'!$D$20="ABRIL",'RESULTADO INDEXADO'!AO9,IF('INTRODUCIR DATOS'!$D$20="MAYO",'RESULTADO INDEXADO'!AV9,IF('INTRODUCIR DATOS'!$D$20="JUNIO",'RESULTADO INDEXADO'!BC9,IF('INTRODUCIR DATOS'!$D$20="JULIO",'RESULTADO INDEXADO'!BJ9,IF('INTRODUCIR DATOS'!$D$20="AGOSTO",'RESULTADO INDEXADO'!BQ9,IF('INTRODUCIR DATOS'!$D$20="SEPTIEMBRE",'RESULTADO INDEXADO'!BX9,IF('INTRODUCIR DATOS'!$D$20="OCTUBRE",'RESULTADO INDEXADO'!CE9,IF('INTRODUCIR DATOS'!$D$20="NOVIEMBRE",'RESULTADO INDEXADO'!CL9,IF('INTRODUCIR DATOS'!$D$20="DICIEMBRE",'RESULTADO INDEXADO'!CS9))))))))))))</f>
        <v>0</v>
      </c>
      <c r="K9" s="290">
        <f>('INTRODUCIR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DATOS'!$D$17)+'INTRODUCIR DATOS'!$D$15+'INTRODUCIR DATOS'!$D$16+IF('INTRODUCIR DATOS'!$D$21=21%,(('INTRODUCIR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DATOS'!$D$17)+'INTRODUCIR DATOS'!$D$16)*21/100,IF('INTRODUCIR DATOS'!$D$21=10%,(('INTRODUCIR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DATOS'!$D$17)+'INTRODUCIR DATOS'!$D$16)*10/100))</f>
        <v>1.0285</v>
      </c>
      <c r="L9" s="292">
        <f>IF(K9=0,"",'INTRODUCIR DATOS'!$D$14-K9)</f>
        <v>113.12150000000001</v>
      </c>
      <c r="M9" s="271">
        <f>IF(K9=0,"",('INTRODUCIR DATOS'!$D$14-K9)/'INTRODUCIR DATOS'!$D$14)</f>
        <v>0.99098992553657472</v>
      </c>
      <c r="N9" s="310" t="s">
        <v>136</v>
      </c>
      <c r="O9" s="266">
        <v>0.25350699999999998</v>
      </c>
      <c r="P9" s="253">
        <v>0.15243399999999999</v>
      </c>
      <c r="Q9" s="253">
        <v>9.3479999999999994E-2</v>
      </c>
      <c r="R9" s="254"/>
      <c r="S9" s="254"/>
      <c r="T9" s="255"/>
      <c r="U9" s="278" t="s">
        <v>136</v>
      </c>
      <c r="V9" s="266">
        <v>0.20893500000000001</v>
      </c>
      <c r="W9" s="253">
        <v>0.10713200000000001</v>
      </c>
      <c r="X9" s="253">
        <v>5.8374000000000002E-2</v>
      </c>
      <c r="Y9" s="254"/>
      <c r="Z9" s="254"/>
      <c r="AA9" s="255"/>
      <c r="AB9" s="278" t="s">
        <v>136</v>
      </c>
      <c r="AC9" s="266">
        <v>0.22153100000000001</v>
      </c>
      <c r="AD9" s="253">
        <v>0.123624</v>
      </c>
      <c r="AE9" s="253">
        <v>8.3017999999999995E-2</v>
      </c>
      <c r="AF9" s="254"/>
      <c r="AG9" s="254"/>
      <c r="AH9" s="255"/>
      <c r="AI9" s="278" t="s">
        <v>136</v>
      </c>
      <c r="AJ9" s="266">
        <v>0.241734</v>
      </c>
      <c r="AK9" s="253">
        <v>0.144653</v>
      </c>
      <c r="AL9" s="253">
        <v>0.107229</v>
      </c>
      <c r="AM9" s="254"/>
      <c r="AN9" s="254"/>
      <c r="AO9" s="255"/>
      <c r="AP9" s="278" t="s">
        <v>136</v>
      </c>
      <c r="AQ9" s="266">
        <v>0.24479999999999999</v>
      </c>
      <c r="AR9" s="253">
        <v>0.14856900000000001</v>
      </c>
      <c r="AS9" s="253">
        <v>0.106932</v>
      </c>
      <c r="AT9" s="254"/>
      <c r="AU9" s="254"/>
      <c r="AV9" s="255"/>
      <c r="AW9" s="278" t="s">
        <v>136</v>
      </c>
      <c r="AX9" s="266">
        <v>0.25908300000000001</v>
      </c>
      <c r="AY9" s="253">
        <v>0.16372049999999999</v>
      </c>
      <c r="AZ9" s="253">
        <v>0.124427</v>
      </c>
      <c r="BA9" s="254"/>
      <c r="BB9" s="254"/>
      <c r="BC9" s="255"/>
      <c r="BD9" s="278" t="s">
        <v>136</v>
      </c>
      <c r="BE9" s="266">
        <v>0.27242499999999997</v>
      </c>
      <c r="BF9" s="253">
        <v>0.17666899999999999</v>
      </c>
      <c r="BG9" s="253">
        <v>0.137376</v>
      </c>
      <c r="BH9" s="254"/>
      <c r="BI9" s="254"/>
      <c r="BJ9" s="255"/>
      <c r="BK9" s="278" t="s">
        <v>136</v>
      </c>
      <c r="BL9" s="266">
        <v>0.28889599999999999</v>
      </c>
      <c r="BM9" s="253">
        <v>0.19372700000000001</v>
      </c>
      <c r="BN9" s="253">
        <v>0.15174799999999999</v>
      </c>
      <c r="BO9" s="254"/>
      <c r="BP9" s="254"/>
      <c r="BQ9" s="255"/>
      <c r="BR9" s="278" t="s">
        <v>136</v>
      </c>
      <c r="BS9" s="266"/>
      <c r="BT9" s="253"/>
      <c r="BU9" s="253"/>
      <c r="BV9" s="254"/>
      <c r="BW9" s="254"/>
      <c r="BX9" s="255"/>
      <c r="BY9" s="278" t="s">
        <v>136</v>
      </c>
      <c r="BZ9" s="266"/>
      <c r="CA9" s="253"/>
      <c r="CB9" s="253"/>
      <c r="CC9" s="254"/>
      <c r="CD9" s="254"/>
      <c r="CE9" s="255"/>
      <c r="CF9" s="278" t="s">
        <v>136</v>
      </c>
      <c r="CG9" s="266"/>
      <c r="CH9" s="253"/>
      <c r="CI9" s="253"/>
      <c r="CJ9" s="254"/>
      <c r="CK9" s="254"/>
      <c r="CL9" s="255"/>
      <c r="CM9" s="278" t="s">
        <v>136</v>
      </c>
      <c r="CN9" s="266"/>
      <c r="CO9" s="253"/>
      <c r="CP9" s="253"/>
      <c r="CQ9" s="254"/>
      <c r="CR9" s="254"/>
      <c r="CS9" s="255"/>
    </row>
    <row r="10" spans="1:97">
      <c r="A10" s="41" t="s">
        <v>17</v>
      </c>
      <c r="B10" s="40" t="s">
        <v>24</v>
      </c>
      <c r="C10" s="335" t="s">
        <v>34</v>
      </c>
      <c r="D10" s="279" t="s">
        <v>134</v>
      </c>
      <c r="E10" s="267" t="b">
        <f>IF('INTRODUCIR DATOS'!$D$20="ENERO",'RESULTADO INDEXADO'!O10,IF('INTRODUCIR DATOS'!$D$20="FEBRERO",'RESULTADO INDEXADO'!V10,IF('INTRODUCIR DATOS'!$D$20="MARZO",'RESULTADO INDEXADO'!AC10,IF('INTRODUCIR DATOS'!$D$20="ABRIL",'RESULTADO INDEXADO'!AJ10,IF('INTRODUCIR DATOS'!$D$20="MAYO",'RESULTADO INDEXADO'!AQ10,IF('INTRODUCIR DATOS'!$D$20="JUNIO",'RESULTADO INDEXADO'!AX10,IF('INTRODUCIR DATOS'!$D$20="JULIO",'RESULTADO INDEXADO'!BE10,IF('INTRODUCIR DATOS'!$D$20="AGOSTO",'RESULTADO INDEXADO'!BL10,IF('INTRODUCIR DATOS'!$D$20="SEPTIEMBRE",'RESULTADO INDEXADO'!BS10,IF('INTRODUCIR DATOS'!$D$20="OCTUBRE",'RESULTADO INDEXADO'!BZ10,IF('INTRODUCIR DATOS'!$D$20="NOVIEMBRE",'RESULTADO INDEXADO'!CG10,IF('INTRODUCIR DATOS'!$D$20="DICIEMBRE",'RESULTADO INDEXADO'!CN10))))))))))))</f>
        <v>0</v>
      </c>
      <c r="F10" s="256" t="b">
        <f>IF('INTRODUCIR DATOS'!$D$20="ENERO",'RESULTADO INDEXADO'!P10,IF('INTRODUCIR DATOS'!$D$20="FEBRERO",'RESULTADO INDEXADO'!W10,IF('INTRODUCIR DATOS'!$D$20="MARZO",'RESULTADO INDEXADO'!AD10,IF('INTRODUCIR DATOS'!$D$20="ABRIL",'RESULTADO INDEXADO'!AK10,IF('INTRODUCIR DATOS'!$D$20="MAYO",'RESULTADO INDEXADO'!AR10,IF('INTRODUCIR DATOS'!$D$20="JUNIO",'RESULTADO INDEXADO'!AY10,IF('INTRODUCIR DATOS'!$D$20="JULIO",'RESULTADO INDEXADO'!BF10,IF('INTRODUCIR DATOS'!$D$20="AGOSTO",'RESULTADO INDEXADO'!BM10,IF('INTRODUCIR DATOS'!$D$20="SEPTIEMBRE",'RESULTADO INDEXADO'!BT10,IF('INTRODUCIR DATOS'!$D$20="OCTUBRE",'RESULTADO INDEXADO'!CA10,IF('INTRODUCIR DATOS'!$D$20="NOVIEMBRE",'RESULTADO INDEXADO'!CH10,IF('INTRODUCIR DATOS'!$D$20="DICIEMBRE",'RESULTADO INDEXADO'!CO10))))))))))))</f>
        <v>0</v>
      </c>
      <c r="G10" s="257" t="b">
        <f>IF('INTRODUCIR DATOS'!$D$20="ENERO",'RESULTADO INDEXADO'!Q10,IF('INTRODUCIR DATOS'!$D$20="FEBRERO",'RESULTADO INDEXADO'!X10,IF('INTRODUCIR DATOS'!$D$20="MARZO",'RESULTADO INDEXADO'!AE10,IF('INTRODUCIR DATOS'!$D$20="ABRIL",'RESULTADO INDEXADO'!AL10,IF('INTRODUCIR DATOS'!$D$20="MAYO",'RESULTADO INDEXADO'!AS10,IF('INTRODUCIR DATOS'!$D$20="JUNIO",'RESULTADO INDEXADO'!AZ10,IF('INTRODUCIR DATOS'!$D$20="JULIO",'RESULTADO INDEXADO'!BG10,IF('INTRODUCIR DATOS'!$D$20="AGOSTO",'RESULTADO INDEXADO'!BN10,IF('INTRODUCIR DATOS'!$D$20="SEPTIEMBRE",'RESULTADO INDEXADO'!BU10,IF('INTRODUCIR DATOS'!$D$20="OCTUBRE",'RESULTADO INDEXADO'!CB10,IF('INTRODUCIR DATOS'!$D$20="NOVIEMBRE",'RESULTADO INDEXADO'!CI10,IF('INTRODUCIR DATOS'!$D$20="DICIEMBRE",'RESULTADO INDEXADO'!CP10))))))))))))</f>
        <v>0</v>
      </c>
      <c r="H10" s="257" t="b">
        <f>IF('INTRODUCIR DATOS'!$D$20="ENERO",'RESULTADO INDEXADO'!R10,IF('INTRODUCIR DATOS'!$D$20="FEBRERO",'RESULTADO INDEXADO'!Y10,IF('INTRODUCIR DATOS'!$D$20="MARZO",'RESULTADO INDEXADO'!AF10,IF('INTRODUCIR DATOS'!$D$20="ABRIL",'RESULTADO INDEXADO'!AM10,IF('INTRODUCIR DATOS'!$D$20="MAYO",'RESULTADO INDEXADO'!AT10,IF('INTRODUCIR DATOS'!$D$20="JUNIO",'RESULTADO INDEXADO'!BA10,IF('INTRODUCIR DATOS'!$D$20="JULIO",'RESULTADO INDEXADO'!BH10,IF('INTRODUCIR DATOS'!$D$20="AGOSTO",'RESULTADO INDEXADO'!BO10,IF('INTRODUCIR DATOS'!$D$20="SEPTIEMBRE",'RESULTADO INDEXADO'!BV10,IF('INTRODUCIR DATOS'!$D$20="OCTUBRE",'RESULTADO INDEXADO'!CC10,IF('INTRODUCIR DATOS'!$D$20="NOVIEMBRE",'RESULTADO INDEXADO'!CJ10,IF('INTRODUCIR DATOS'!$D$20="DICIEMBRE",'RESULTADO INDEXADO'!CQ10))))))))))))</f>
        <v>0</v>
      </c>
      <c r="I10" s="257" t="b">
        <f>IF('INTRODUCIR DATOS'!$D$20="ENERO",'RESULTADO INDEXADO'!S10,IF('INTRODUCIR DATOS'!$D$20="FEBRERO",'RESULTADO INDEXADO'!Z10,IF('INTRODUCIR DATOS'!$D$20="MARZO",'RESULTADO INDEXADO'!AG10,IF('INTRODUCIR DATOS'!$D$20="ABRIL",'RESULTADO INDEXADO'!AN10,IF('INTRODUCIR DATOS'!$D$20="MAYO",'RESULTADO INDEXADO'!AU10,IF('INTRODUCIR DATOS'!$D$20="JUNIO",'RESULTADO INDEXADO'!BB10,IF('INTRODUCIR DATOS'!$D$20="JULIO",'RESULTADO INDEXADO'!BI10,IF('INTRODUCIR DATOS'!$D$20="AGOSTO",'RESULTADO INDEXADO'!BP10,IF('INTRODUCIR DATOS'!$D$20="SEPTIEMBRE",'RESULTADO INDEXADO'!BW10,IF('INTRODUCIR DATOS'!$D$20="OCTUBRE",'RESULTADO INDEXADO'!CD10,IF('INTRODUCIR DATOS'!$D$20="NOVIEMBRE",'RESULTADO INDEXADO'!CK10,IF('INTRODUCIR DATOS'!$D$20="DICIEMBRE",'RESULTADO INDEXADO'!CR10))))))))))))</f>
        <v>0</v>
      </c>
      <c r="J10" s="296" t="b">
        <f>IF('INTRODUCIR DATOS'!$D$20="ENERO",'RESULTADO INDEXADO'!T10,IF('INTRODUCIR DATOS'!$D$20="FEBRERO",'RESULTADO INDEXADO'!AA10,IF('INTRODUCIR DATOS'!$D$20="MARZO",'RESULTADO INDEXADO'!AH10,IF('INTRODUCIR DATOS'!$D$20="ABRIL",'RESULTADO INDEXADO'!AO10,IF('INTRODUCIR DATOS'!$D$20="MAYO",'RESULTADO INDEXADO'!AV10,IF('INTRODUCIR DATOS'!$D$20="JUNIO",'RESULTADO INDEXADO'!BC10,IF('INTRODUCIR DATOS'!$D$20="JULIO",'RESULTADO INDEXADO'!BJ10,IF('INTRODUCIR DATOS'!$D$20="AGOSTO",'RESULTADO INDEXADO'!BQ10,IF('INTRODUCIR DATOS'!$D$20="SEPTIEMBRE",'RESULTADO INDEXADO'!BX10,IF('INTRODUCIR DATOS'!$D$20="OCTUBRE",'RESULTADO INDEXADO'!CE10,IF('INTRODUCIR DATOS'!$D$20="NOVIEMBRE",'RESULTADO INDEXADO'!CL10,IF('INTRODUCIR DATOS'!$D$20="DICIEMBRE",'RESULTADO INDEXADO'!CS10))))))))))))</f>
        <v>0</v>
      </c>
      <c r="K10" s="41"/>
      <c r="L10" s="40"/>
      <c r="M10" s="145"/>
      <c r="N10" s="311" t="s">
        <v>134</v>
      </c>
      <c r="O10" s="267">
        <v>0.10403468493150685</v>
      </c>
      <c r="P10" s="256">
        <v>2.3902353424657533E-2</v>
      </c>
      <c r="Q10" s="257"/>
      <c r="R10" s="257"/>
      <c r="S10" s="257"/>
      <c r="T10" s="258"/>
      <c r="U10" s="279" t="s">
        <v>134</v>
      </c>
      <c r="V10" s="267">
        <v>0.10403468493150685</v>
      </c>
      <c r="W10" s="256">
        <v>2.3902353424657533E-2</v>
      </c>
      <c r="X10" s="257"/>
      <c r="Y10" s="257"/>
      <c r="Z10" s="257"/>
      <c r="AA10" s="258"/>
      <c r="AB10" s="279" t="s">
        <v>134</v>
      </c>
      <c r="AC10" s="267">
        <v>0.10403468493150685</v>
      </c>
      <c r="AD10" s="256">
        <v>2.3902353424657533E-2</v>
      </c>
      <c r="AE10" s="257"/>
      <c r="AF10" s="257"/>
      <c r="AG10" s="257"/>
      <c r="AH10" s="258"/>
      <c r="AI10" s="279" t="s">
        <v>134</v>
      </c>
      <c r="AJ10" s="267">
        <v>0.10403468493150685</v>
      </c>
      <c r="AK10" s="256">
        <v>2.3902353424657533E-2</v>
      </c>
      <c r="AL10" s="257"/>
      <c r="AM10" s="257"/>
      <c r="AN10" s="257"/>
      <c r="AO10" s="258"/>
      <c r="AP10" s="279" t="s">
        <v>134</v>
      </c>
      <c r="AQ10" s="267">
        <v>0.10403468493150685</v>
      </c>
      <c r="AR10" s="256">
        <v>2.3902353424657533E-2</v>
      </c>
      <c r="AS10" s="257"/>
      <c r="AT10" s="257"/>
      <c r="AU10" s="257"/>
      <c r="AV10" s="258"/>
      <c r="AW10" s="279" t="s">
        <v>134</v>
      </c>
      <c r="AX10" s="267">
        <v>0.10403468493150685</v>
      </c>
      <c r="AY10" s="256">
        <v>2.3902353424657533E-2</v>
      </c>
      <c r="AZ10" s="257"/>
      <c r="BA10" s="257"/>
      <c r="BB10" s="257"/>
      <c r="BC10" s="258"/>
      <c r="BD10" s="279" t="s">
        <v>134</v>
      </c>
      <c r="BE10" s="267">
        <v>0.10403468493150685</v>
      </c>
      <c r="BF10" s="256">
        <v>2.3902353424657533E-2</v>
      </c>
      <c r="BG10" s="257"/>
      <c r="BH10" s="257"/>
      <c r="BI10" s="257"/>
      <c r="BJ10" s="258"/>
      <c r="BK10" s="279" t="s">
        <v>134</v>
      </c>
      <c r="BL10" s="267">
        <v>0.10403468493150685</v>
      </c>
      <c r="BM10" s="256">
        <v>2.3902353424657533E-2</v>
      </c>
      <c r="BN10" s="257"/>
      <c r="BO10" s="257"/>
      <c r="BP10" s="257"/>
      <c r="BQ10" s="258"/>
      <c r="BR10" s="279" t="s">
        <v>134</v>
      </c>
      <c r="BS10" s="267">
        <v>0.10403468493150685</v>
      </c>
      <c r="BT10" s="256">
        <v>2.3902353424657533E-2</v>
      </c>
      <c r="BU10" s="257"/>
      <c r="BV10" s="257"/>
      <c r="BW10" s="257"/>
      <c r="BX10" s="258"/>
      <c r="BY10" s="279" t="s">
        <v>134</v>
      </c>
      <c r="BZ10" s="267">
        <v>0.10403468493150685</v>
      </c>
      <c r="CA10" s="256">
        <v>2.3902353424657533E-2</v>
      </c>
      <c r="CB10" s="257"/>
      <c r="CC10" s="257"/>
      <c r="CD10" s="257"/>
      <c r="CE10" s="258"/>
      <c r="CF10" s="279" t="s">
        <v>134</v>
      </c>
      <c r="CG10" s="267">
        <v>0.10403468493150685</v>
      </c>
      <c r="CH10" s="256">
        <v>2.3902353424657533E-2</v>
      </c>
      <c r="CI10" s="257"/>
      <c r="CJ10" s="257"/>
      <c r="CK10" s="257"/>
      <c r="CL10" s="258"/>
      <c r="CM10" s="279" t="s">
        <v>134</v>
      </c>
      <c r="CN10" s="267">
        <v>0.10403468493150685</v>
      </c>
      <c r="CO10" s="256">
        <v>2.3902353424657533E-2</v>
      </c>
      <c r="CP10" s="257"/>
      <c r="CQ10" s="257"/>
      <c r="CR10" s="257"/>
      <c r="CS10" s="258"/>
    </row>
    <row r="11" spans="1:97">
      <c r="A11" s="41" t="s">
        <v>17</v>
      </c>
      <c r="B11" s="40" t="s">
        <v>24</v>
      </c>
      <c r="C11" s="335" t="s">
        <v>34</v>
      </c>
      <c r="D11" s="278" t="s">
        <v>136</v>
      </c>
      <c r="E11" s="266" t="b">
        <f>IF('INTRODUCIR DATOS'!$D$20="ENERO",'RESULTADO INDEXADO'!O11,IF('INTRODUCIR DATOS'!$D$20="FEBRERO",'RESULTADO INDEXADO'!V11,IF('INTRODUCIR DATOS'!$D$20="MARZO",'RESULTADO INDEXADO'!AC11,IF('INTRODUCIR DATOS'!$D$20="ABRIL",'RESULTADO INDEXADO'!AJ11,IF('INTRODUCIR DATOS'!$D$20="MAYO",'RESULTADO INDEXADO'!AQ11,IF('INTRODUCIR DATOS'!$D$20="JUNIO",'RESULTADO INDEXADO'!AX11,IF('INTRODUCIR DATOS'!$D$20="JULIO",'RESULTADO INDEXADO'!BE11,IF('INTRODUCIR DATOS'!$D$20="AGOSTO",'RESULTADO INDEXADO'!BL11,IF('INTRODUCIR DATOS'!$D$20="SEPTIEMBRE",'RESULTADO INDEXADO'!BS11,IF('INTRODUCIR DATOS'!$D$20="OCTUBRE",'RESULTADO INDEXADO'!BZ11,IF('INTRODUCIR DATOS'!$D$20="NOVIEMBRE",'RESULTADO INDEXADO'!CG11,IF('INTRODUCIR DATOS'!$D$20="DICIEMBRE",'RESULTADO INDEXADO'!CN11))))))))))))</f>
        <v>0</v>
      </c>
      <c r="F11" s="253" t="b">
        <f>IF('INTRODUCIR DATOS'!$D$20="ENERO",'RESULTADO INDEXADO'!P11,IF('INTRODUCIR DATOS'!$D$20="FEBRERO",'RESULTADO INDEXADO'!W11,IF('INTRODUCIR DATOS'!$D$20="MARZO",'RESULTADO INDEXADO'!AD11,IF('INTRODUCIR DATOS'!$D$20="ABRIL",'RESULTADO INDEXADO'!AK11,IF('INTRODUCIR DATOS'!$D$20="MAYO",'RESULTADO INDEXADO'!AR11,IF('INTRODUCIR DATOS'!$D$20="JUNIO",'RESULTADO INDEXADO'!AY11,IF('INTRODUCIR DATOS'!$D$20="JULIO",'RESULTADO INDEXADO'!BF11,IF('INTRODUCIR DATOS'!$D$20="AGOSTO",'RESULTADO INDEXADO'!BM11,IF('INTRODUCIR DATOS'!$D$20="SEPTIEMBRE",'RESULTADO INDEXADO'!BT11,IF('INTRODUCIR DATOS'!$D$20="OCTUBRE",'RESULTADO INDEXADO'!CA11,IF('INTRODUCIR DATOS'!$D$20="NOVIEMBRE",'RESULTADO INDEXADO'!CH11,IF('INTRODUCIR DATOS'!$D$20="DICIEMBRE",'RESULTADO INDEXADO'!CO11))))))))))))</f>
        <v>0</v>
      </c>
      <c r="G11" s="253" t="b">
        <f>IF('INTRODUCIR DATOS'!$D$20="ENERO",'RESULTADO INDEXADO'!Q11,IF('INTRODUCIR DATOS'!$D$20="FEBRERO",'RESULTADO INDEXADO'!X11,IF('INTRODUCIR DATOS'!$D$20="MARZO",'RESULTADO INDEXADO'!AE11,IF('INTRODUCIR DATOS'!$D$20="ABRIL",'RESULTADO INDEXADO'!AL11,IF('INTRODUCIR DATOS'!$D$20="MAYO",'RESULTADO INDEXADO'!AS11,IF('INTRODUCIR DATOS'!$D$20="JUNIO",'RESULTADO INDEXADO'!AZ11,IF('INTRODUCIR DATOS'!$D$20="JULIO",'RESULTADO INDEXADO'!BG11,IF('INTRODUCIR DATOS'!$D$20="AGOSTO",'RESULTADO INDEXADO'!BN11,IF('INTRODUCIR DATOS'!$D$20="SEPTIEMBRE",'RESULTADO INDEXADO'!BU11,IF('INTRODUCIR DATOS'!$D$20="OCTUBRE",'RESULTADO INDEXADO'!CB11,IF('INTRODUCIR DATOS'!$D$20="NOVIEMBRE",'RESULTADO INDEXADO'!CI11,IF('INTRODUCIR DATOS'!$D$20="DICIEMBRE",'RESULTADO INDEXADO'!CP11))))))))))))</f>
        <v>0</v>
      </c>
      <c r="H11" s="254" t="b">
        <f>IF('INTRODUCIR DATOS'!$D$20="ENERO",'RESULTADO INDEXADO'!R11,IF('INTRODUCIR DATOS'!$D$20="FEBRERO",'RESULTADO INDEXADO'!Y11,IF('INTRODUCIR DATOS'!$D$20="MARZO",'RESULTADO INDEXADO'!AF11,IF('INTRODUCIR DATOS'!$D$20="ABRIL",'RESULTADO INDEXADO'!AM11,IF('INTRODUCIR DATOS'!$D$20="MAYO",'RESULTADO INDEXADO'!AT11,IF('INTRODUCIR DATOS'!$D$20="JUNIO",'RESULTADO INDEXADO'!BA11,IF('INTRODUCIR DATOS'!$D$20="JULIO",'RESULTADO INDEXADO'!BH11,IF('INTRODUCIR DATOS'!$D$20="AGOSTO",'RESULTADO INDEXADO'!BO11,IF('INTRODUCIR DATOS'!$D$20="SEPTIEMBRE",'RESULTADO INDEXADO'!BV11,IF('INTRODUCIR DATOS'!$D$20="OCTUBRE",'RESULTADO INDEXADO'!CC11,IF('INTRODUCIR DATOS'!$D$20="NOVIEMBRE",'RESULTADO INDEXADO'!CJ11,IF('INTRODUCIR DATOS'!$D$20="DICIEMBRE",'RESULTADO INDEXADO'!CQ11))))))))))))</f>
        <v>0</v>
      </c>
      <c r="I11" s="254" t="b">
        <f>IF('INTRODUCIR DATOS'!$D$20="ENERO",'RESULTADO INDEXADO'!S11,IF('INTRODUCIR DATOS'!$D$20="FEBRERO",'RESULTADO INDEXADO'!Z11,IF('INTRODUCIR DATOS'!$D$20="MARZO",'RESULTADO INDEXADO'!AG11,IF('INTRODUCIR DATOS'!$D$20="ABRIL",'RESULTADO INDEXADO'!AN11,IF('INTRODUCIR DATOS'!$D$20="MAYO",'RESULTADO INDEXADO'!AU11,IF('INTRODUCIR DATOS'!$D$20="JUNIO",'RESULTADO INDEXADO'!BB11,IF('INTRODUCIR DATOS'!$D$20="JULIO",'RESULTADO INDEXADO'!BI11,IF('INTRODUCIR DATOS'!$D$20="AGOSTO",'RESULTADO INDEXADO'!BP11,IF('INTRODUCIR DATOS'!$D$20="SEPTIEMBRE",'RESULTADO INDEXADO'!BW11,IF('INTRODUCIR DATOS'!$D$20="OCTUBRE",'RESULTADO INDEXADO'!CD11,IF('INTRODUCIR DATOS'!$D$20="NOVIEMBRE",'RESULTADO INDEXADO'!CK11,IF('INTRODUCIR DATOS'!$D$20="DICIEMBRE",'RESULTADO INDEXADO'!CR11))))))))))))</f>
        <v>0</v>
      </c>
      <c r="J11" s="295" t="b">
        <f>IF('INTRODUCIR DATOS'!$D$20="ENERO",'RESULTADO INDEXADO'!T11,IF('INTRODUCIR DATOS'!$D$20="FEBRERO",'RESULTADO INDEXADO'!AA11,IF('INTRODUCIR DATOS'!$D$20="MARZO",'RESULTADO INDEXADO'!AH11,IF('INTRODUCIR DATOS'!$D$20="ABRIL",'RESULTADO INDEXADO'!AO11,IF('INTRODUCIR DATOS'!$D$20="MAYO",'RESULTADO INDEXADO'!AV11,IF('INTRODUCIR DATOS'!$D$20="JUNIO",'RESULTADO INDEXADO'!BC11,IF('INTRODUCIR DATOS'!$D$20="JULIO",'RESULTADO INDEXADO'!BJ11,IF('INTRODUCIR DATOS'!$D$20="AGOSTO",'RESULTADO INDEXADO'!BQ11,IF('INTRODUCIR DATOS'!$D$20="SEPTIEMBRE",'RESULTADO INDEXADO'!BX11,IF('INTRODUCIR DATOS'!$D$20="OCTUBRE",'RESULTADO INDEXADO'!CE11,IF('INTRODUCIR DATOS'!$D$20="NOVIEMBRE",'RESULTADO INDEXADO'!CL11,IF('INTRODUCIR DATOS'!$D$20="DICIEMBRE",'RESULTADO INDEXADO'!CS11))))))))))))</f>
        <v>0</v>
      </c>
      <c r="K11" s="290">
        <f>('INTRODUCIR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DATOS'!$D$17)+'INTRODUCIR DATOS'!$D$15+'INTRODUCIR DATOS'!$D$16+IF('INTRODUCIR DATOS'!$D$21=21%,(('INTRODUCIR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DATOS'!$D$17)+'INTRODUCIR DATOS'!$D$16)*21/100,IF('INTRODUCIR DATOS'!$D$21=10%,(('INTRODUCIR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DATOS'!$D$17)+'INTRODUCIR DATOS'!$D$16)*10/100))</f>
        <v>1.0285</v>
      </c>
      <c r="L11" s="292">
        <f>IF(K11=0,"",'INTRODUCIR DATOS'!$D$14-K11)</f>
        <v>113.12150000000001</v>
      </c>
      <c r="M11" s="271">
        <f>IF(K11=0,"",('INTRODUCIR DATOS'!$D$14-K11)/'INTRODUCIR DATOS'!$D$14)</f>
        <v>0.99098992553657472</v>
      </c>
      <c r="N11" s="310" t="s">
        <v>136</v>
      </c>
      <c r="O11" s="266">
        <v>0.25050699999999998</v>
      </c>
      <c r="P11" s="253">
        <v>0.14943400000000001</v>
      </c>
      <c r="Q11" s="253">
        <v>9.0480000000000005E-2</v>
      </c>
      <c r="R11" s="254"/>
      <c r="S11" s="254"/>
      <c r="T11" s="255"/>
      <c r="U11" s="278" t="s">
        <v>136</v>
      </c>
      <c r="V11" s="266">
        <v>0.20593500000000001</v>
      </c>
      <c r="W11" s="253">
        <v>0.104132</v>
      </c>
      <c r="X11" s="253">
        <v>5.5374E-2</v>
      </c>
      <c r="Y11" s="254"/>
      <c r="Z11" s="254"/>
      <c r="AA11" s="255"/>
      <c r="AB11" s="278" t="s">
        <v>136</v>
      </c>
      <c r="AC11" s="266">
        <v>0.218531</v>
      </c>
      <c r="AD11" s="253">
        <v>0.12623999999999999</v>
      </c>
      <c r="AE11" s="253">
        <v>8.0018000000000006E-2</v>
      </c>
      <c r="AF11" s="254"/>
      <c r="AG11" s="254"/>
      <c r="AH11" s="255"/>
      <c r="AI11" s="278" t="s">
        <v>136</v>
      </c>
      <c r="AJ11" s="266">
        <v>0.238734</v>
      </c>
      <c r="AK11" s="253">
        <v>0.141653</v>
      </c>
      <c r="AL11" s="253">
        <v>0.104229</v>
      </c>
      <c r="AM11" s="254"/>
      <c r="AN11" s="254"/>
      <c r="AO11" s="255"/>
      <c r="AP11" s="278" t="s">
        <v>136</v>
      </c>
      <c r="AQ11" s="266">
        <v>0.24179999999999999</v>
      </c>
      <c r="AR11" s="253">
        <v>0.145569</v>
      </c>
      <c r="AS11" s="253">
        <v>0.103932</v>
      </c>
      <c r="AT11" s="254"/>
      <c r="AU11" s="254"/>
      <c r="AV11" s="255"/>
      <c r="AW11" s="278" t="s">
        <v>136</v>
      </c>
      <c r="AX11" s="266">
        <v>0.25608300000000001</v>
      </c>
      <c r="AY11" s="253">
        <v>0.16072500000000001</v>
      </c>
      <c r="AZ11" s="253">
        <v>0.12142699999999999</v>
      </c>
      <c r="BA11" s="254"/>
      <c r="BB11" s="254"/>
      <c r="BC11" s="255"/>
      <c r="BD11" s="278" t="s">
        <v>136</v>
      </c>
      <c r="BE11" s="266">
        <v>0.26942500000000003</v>
      </c>
      <c r="BF11" s="253">
        <v>0.17366899999999999</v>
      </c>
      <c r="BG11" s="253">
        <v>0.134376</v>
      </c>
      <c r="BH11" s="254"/>
      <c r="BI11" s="254"/>
      <c r="BJ11" s="255"/>
      <c r="BK11" s="278" t="s">
        <v>136</v>
      </c>
      <c r="BL11" s="266">
        <v>0.28589599999999998</v>
      </c>
      <c r="BM11" s="253">
        <v>0.19072700000000001</v>
      </c>
      <c r="BN11" s="253">
        <v>0.14874799999999999</v>
      </c>
      <c r="BO11" s="254"/>
      <c r="BP11" s="254"/>
      <c r="BQ11" s="255"/>
      <c r="BR11" s="278" t="s">
        <v>136</v>
      </c>
      <c r="BS11" s="266"/>
      <c r="BT11" s="253"/>
      <c r="BU11" s="253"/>
      <c r="BV11" s="254"/>
      <c r="BW11" s="254"/>
      <c r="BX11" s="255"/>
      <c r="BY11" s="278" t="s">
        <v>136</v>
      </c>
      <c r="BZ11" s="266"/>
      <c r="CA11" s="253"/>
      <c r="CB11" s="253"/>
      <c r="CC11" s="254"/>
      <c r="CD11" s="254"/>
      <c r="CE11" s="255"/>
      <c r="CF11" s="278" t="s">
        <v>136</v>
      </c>
      <c r="CG11" s="266"/>
      <c r="CH11" s="253"/>
      <c r="CI11" s="253"/>
      <c r="CJ11" s="254"/>
      <c r="CK11" s="254"/>
      <c r="CL11" s="255"/>
      <c r="CM11" s="278" t="s">
        <v>136</v>
      </c>
      <c r="CN11" s="266"/>
      <c r="CO11" s="253"/>
      <c r="CP11" s="253"/>
      <c r="CQ11" s="254"/>
      <c r="CR11" s="254"/>
      <c r="CS11" s="255"/>
    </row>
    <row r="12" spans="1:97">
      <c r="A12" s="41" t="s">
        <v>17</v>
      </c>
      <c r="B12" s="40" t="s">
        <v>24</v>
      </c>
      <c r="C12" s="335" t="s">
        <v>34</v>
      </c>
      <c r="D12" s="279" t="s">
        <v>134</v>
      </c>
      <c r="E12" s="267" t="b">
        <f>IF('INTRODUCIR DATOS'!$D$20="ENERO",'RESULTADO INDEXADO'!O12,IF('INTRODUCIR DATOS'!$D$20="FEBRERO",'RESULTADO INDEXADO'!V12,IF('INTRODUCIR DATOS'!$D$20="MARZO",'RESULTADO INDEXADO'!AC12,IF('INTRODUCIR DATOS'!$D$20="ABRIL",'RESULTADO INDEXADO'!AJ12,IF('INTRODUCIR DATOS'!$D$20="MAYO",'RESULTADO INDEXADO'!AQ12,IF('INTRODUCIR DATOS'!$D$20="JUNIO",'RESULTADO INDEXADO'!AX12,IF('INTRODUCIR DATOS'!$D$20="JULIO",'RESULTADO INDEXADO'!BE12,IF('INTRODUCIR DATOS'!$D$20="AGOSTO",'RESULTADO INDEXADO'!BL12,IF('INTRODUCIR DATOS'!$D$20="SEPTIEMBRE",'RESULTADO INDEXADO'!BS12,IF('INTRODUCIR DATOS'!$D$20="OCTUBRE",'RESULTADO INDEXADO'!BZ12,IF('INTRODUCIR DATOS'!$D$20="NOVIEMBRE",'RESULTADO INDEXADO'!CG12,IF('INTRODUCIR DATOS'!$D$20="DICIEMBRE",'RESULTADO INDEXADO'!CN12))))))))))))</f>
        <v>0</v>
      </c>
      <c r="F12" s="256" t="b">
        <f>IF('INTRODUCIR DATOS'!$D$20="ENERO",'RESULTADO INDEXADO'!P12,IF('INTRODUCIR DATOS'!$D$20="FEBRERO",'RESULTADO INDEXADO'!W12,IF('INTRODUCIR DATOS'!$D$20="MARZO",'RESULTADO INDEXADO'!AD12,IF('INTRODUCIR DATOS'!$D$20="ABRIL",'RESULTADO INDEXADO'!AK12,IF('INTRODUCIR DATOS'!$D$20="MAYO",'RESULTADO INDEXADO'!AR12,IF('INTRODUCIR DATOS'!$D$20="JUNIO",'RESULTADO INDEXADO'!AY12,IF('INTRODUCIR DATOS'!$D$20="JULIO",'RESULTADO INDEXADO'!BF12,IF('INTRODUCIR DATOS'!$D$20="AGOSTO",'RESULTADO INDEXADO'!BM12,IF('INTRODUCIR DATOS'!$D$20="SEPTIEMBRE",'RESULTADO INDEXADO'!BT12,IF('INTRODUCIR DATOS'!$D$20="OCTUBRE",'RESULTADO INDEXADO'!CA12,IF('INTRODUCIR DATOS'!$D$20="NOVIEMBRE",'RESULTADO INDEXADO'!CH12,IF('INTRODUCIR DATOS'!$D$20="DICIEMBRE",'RESULTADO INDEXADO'!CO12))))))))))))</f>
        <v>0</v>
      </c>
      <c r="G12" s="257" t="b">
        <f>IF('INTRODUCIR DATOS'!$D$20="ENERO",'RESULTADO INDEXADO'!Q12,IF('INTRODUCIR DATOS'!$D$20="FEBRERO",'RESULTADO INDEXADO'!X12,IF('INTRODUCIR DATOS'!$D$20="MARZO",'RESULTADO INDEXADO'!AE12,IF('INTRODUCIR DATOS'!$D$20="ABRIL",'RESULTADO INDEXADO'!AL12,IF('INTRODUCIR DATOS'!$D$20="MAYO",'RESULTADO INDEXADO'!AS12,IF('INTRODUCIR DATOS'!$D$20="JUNIO",'RESULTADO INDEXADO'!AZ12,IF('INTRODUCIR DATOS'!$D$20="JULIO",'RESULTADO INDEXADO'!BG12,IF('INTRODUCIR DATOS'!$D$20="AGOSTO",'RESULTADO INDEXADO'!BN12,IF('INTRODUCIR DATOS'!$D$20="SEPTIEMBRE",'RESULTADO INDEXADO'!BU12,IF('INTRODUCIR DATOS'!$D$20="OCTUBRE",'RESULTADO INDEXADO'!CB12,IF('INTRODUCIR DATOS'!$D$20="NOVIEMBRE",'RESULTADO INDEXADO'!CI12,IF('INTRODUCIR DATOS'!$D$20="DICIEMBRE",'RESULTADO INDEXADO'!CP12))))))))))))</f>
        <v>0</v>
      </c>
      <c r="H12" s="257" t="b">
        <f>IF('INTRODUCIR DATOS'!$D$20="ENERO",'RESULTADO INDEXADO'!R12,IF('INTRODUCIR DATOS'!$D$20="FEBRERO",'RESULTADO INDEXADO'!Y12,IF('INTRODUCIR DATOS'!$D$20="MARZO",'RESULTADO INDEXADO'!AF12,IF('INTRODUCIR DATOS'!$D$20="ABRIL",'RESULTADO INDEXADO'!AM12,IF('INTRODUCIR DATOS'!$D$20="MAYO",'RESULTADO INDEXADO'!AT12,IF('INTRODUCIR DATOS'!$D$20="JUNIO",'RESULTADO INDEXADO'!BA12,IF('INTRODUCIR DATOS'!$D$20="JULIO",'RESULTADO INDEXADO'!BH12,IF('INTRODUCIR DATOS'!$D$20="AGOSTO",'RESULTADO INDEXADO'!BO12,IF('INTRODUCIR DATOS'!$D$20="SEPTIEMBRE",'RESULTADO INDEXADO'!BV12,IF('INTRODUCIR DATOS'!$D$20="OCTUBRE",'RESULTADO INDEXADO'!CC12,IF('INTRODUCIR DATOS'!$D$20="NOVIEMBRE",'RESULTADO INDEXADO'!CJ12,IF('INTRODUCIR DATOS'!$D$20="DICIEMBRE",'RESULTADO INDEXADO'!CQ12))))))))))))</f>
        <v>0</v>
      </c>
      <c r="I12" s="257" t="b">
        <f>IF('INTRODUCIR DATOS'!$D$20="ENERO",'RESULTADO INDEXADO'!S12,IF('INTRODUCIR DATOS'!$D$20="FEBRERO",'RESULTADO INDEXADO'!Z12,IF('INTRODUCIR DATOS'!$D$20="MARZO",'RESULTADO INDEXADO'!AG12,IF('INTRODUCIR DATOS'!$D$20="ABRIL",'RESULTADO INDEXADO'!AN12,IF('INTRODUCIR DATOS'!$D$20="MAYO",'RESULTADO INDEXADO'!AU12,IF('INTRODUCIR DATOS'!$D$20="JUNIO",'RESULTADO INDEXADO'!BB12,IF('INTRODUCIR DATOS'!$D$20="JULIO",'RESULTADO INDEXADO'!BI12,IF('INTRODUCIR DATOS'!$D$20="AGOSTO",'RESULTADO INDEXADO'!BP12,IF('INTRODUCIR DATOS'!$D$20="SEPTIEMBRE",'RESULTADO INDEXADO'!BW12,IF('INTRODUCIR DATOS'!$D$20="OCTUBRE",'RESULTADO INDEXADO'!CD12,IF('INTRODUCIR DATOS'!$D$20="NOVIEMBRE",'RESULTADO INDEXADO'!CK12,IF('INTRODUCIR DATOS'!$D$20="DICIEMBRE",'RESULTADO INDEXADO'!CR12))))))))))))</f>
        <v>0</v>
      </c>
      <c r="J12" s="296" t="b">
        <f>IF('INTRODUCIR DATOS'!$D$20="ENERO",'RESULTADO INDEXADO'!T12,IF('INTRODUCIR DATOS'!$D$20="FEBRERO",'RESULTADO INDEXADO'!AA12,IF('INTRODUCIR DATOS'!$D$20="MARZO",'RESULTADO INDEXADO'!AH12,IF('INTRODUCIR DATOS'!$D$20="ABRIL",'RESULTADO INDEXADO'!AO12,IF('INTRODUCIR DATOS'!$D$20="MAYO",'RESULTADO INDEXADO'!AV12,IF('INTRODUCIR DATOS'!$D$20="JUNIO",'RESULTADO INDEXADO'!BC12,IF('INTRODUCIR DATOS'!$D$20="JULIO",'RESULTADO INDEXADO'!BJ12,IF('INTRODUCIR DATOS'!$D$20="AGOSTO",'RESULTADO INDEXADO'!BQ12,IF('INTRODUCIR DATOS'!$D$20="SEPTIEMBRE",'RESULTADO INDEXADO'!BX12,IF('INTRODUCIR DATOS'!$D$20="OCTUBRE",'RESULTADO INDEXADO'!CE12,IF('INTRODUCIR DATOS'!$D$20="NOVIEMBRE",'RESULTADO INDEXADO'!CL12,IF('INTRODUCIR DATOS'!$D$20="DICIEMBRE",'RESULTADO INDEXADO'!CS12))))))))))))</f>
        <v>0</v>
      </c>
      <c r="K12" s="41"/>
      <c r="L12" s="40"/>
      <c r="M12" s="145"/>
      <c r="N12" s="311" t="s">
        <v>134</v>
      </c>
      <c r="O12" s="267">
        <v>0.1019798904109589</v>
      </c>
      <c r="P12" s="256">
        <v>2.1847558904109589E-2</v>
      </c>
      <c r="Q12" s="257"/>
      <c r="R12" s="257"/>
      <c r="S12" s="257"/>
      <c r="T12" s="258"/>
      <c r="U12" s="279" t="s">
        <v>134</v>
      </c>
      <c r="V12" s="267">
        <v>0.1019798904109589</v>
      </c>
      <c r="W12" s="256">
        <v>2.1847558904109589E-2</v>
      </c>
      <c r="X12" s="257"/>
      <c r="Y12" s="257"/>
      <c r="Z12" s="257"/>
      <c r="AA12" s="258"/>
      <c r="AB12" s="279" t="s">
        <v>134</v>
      </c>
      <c r="AC12" s="267">
        <v>0.1019798904109589</v>
      </c>
      <c r="AD12" s="256">
        <v>2.1847558904109589E-2</v>
      </c>
      <c r="AE12" s="257"/>
      <c r="AF12" s="257"/>
      <c r="AG12" s="257"/>
      <c r="AH12" s="258"/>
      <c r="AI12" s="279" t="s">
        <v>134</v>
      </c>
      <c r="AJ12" s="267">
        <v>0.1019798904109589</v>
      </c>
      <c r="AK12" s="256">
        <v>2.1847558904109589E-2</v>
      </c>
      <c r="AL12" s="257"/>
      <c r="AM12" s="257"/>
      <c r="AN12" s="257"/>
      <c r="AO12" s="258"/>
      <c r="AP12" s="279" t="s">
        <v>134</v>
      </c>
      <c r="AQ12" s="267">
        <v>0.1019798904109589</v>
      </c>
      <c r="AR12" s="256">
        <v>2.1847558904109589E-2</v>
      </c>
      <c r="AS12" s="257"/>
      <c r="AT12" s="257"/>
      <c r="AU12" s="257"/>
      <c r="AV12" s="258"/>
      <c r="AW12" s="279" t="s">
        <v>134</v>
      </c>
      <c r="AX12" s="267">
        <v>0.1019798904109589</v>
      </c>
      <c r="AY12" s="256">
        <v>2.1847558904109589E-2</v>
      </c>
      <c r="AZ12" s="257"/>
      <c r="BA12" s="257"/>
      <c r="BB12" s="257"/>
      <c r="BC12" s="258"/>
      <c r="BD12" s="279" t="s">
        <v>134</v>
      </c>
      <c r="BE12" s="267">
        <v>0.1019798904109589</v>
      </c>
      <c r="BF12" s="256">
        <v>2.1847558904109589E-2</v>
      </c>
      <c r="BG12" s="257"/>
      <c r="BH12" s="257"/>
      <c r="BI12" s="257"/>
      <c r="BJ12" s="258"/>
      <c r="BK12" s="279" t="s">
        <v>134</v>
      </c>
      <c r="BL12" s="267">
        <v>0.1019798904109589</v>
      </c>
      <c r="BM12" s="256">
        <v>2.1847558904109589E-2</v>
      </c>
      <c r="BN12" s="257"/>
      <c r="BO12" s="257"/>
      <c r="BP12" s="257"/>
      <c r="BQ12" s="258"/>
      <c r="BR12" s="279" t="s">
        <v>134</v>
      </c>
      <c r="BS12" s="267">
        <v>0.1019798904109589</v>
      </c>
      <c r="BT12" s="256">
        <v>2.1847558904109589E-2</v>
      </c>
      <c r="BU12" s="257"/>
      <c r="BV12" s="257"/>
      <c r="BW12" s="257"/>
      <c r="BX12" s="258"/>
      <c r="BY12" s="279" t="s">
        <v>134</v>
      </c>
      <c r="BZ12" s="267">
        <v>0.1019798904109589</v>
      </c>
      <c r="CA12" s="256">
        <v>2.1847558904109589E-2</v>
      </c>
      <c r="CB12" s="257"/>
      <c r="CC12" s="257"/>
      <c r="CD12" s="257"/>
      <c r="CE12" s="258"/>
      <c r="CF12" s="279" t="s">
        <v>134</v>
      </c>
      <c r="CG12" s="267">
        <v>0.1019798904109589</v>
      </c>
      <c r="CH12" s="256">
        <v>2.1847558904109589E-2</v>
      </c>
      <c r="CI12" s="257"/>
      <c r="CJ12" s="257"/>
      <c r="CK12" s="257"/>
      <c r="CL12" s="258"/>
      <c r="CM12" s="279" t="s">
        <v>134</v>
      </c>
      <c r="CN12" s="267">
        <v>0.1019798904109589</v>
      </c>
      <c r="CO12" s="256">
        <v>2.1847558904109589E-2</v>
      </c>
      <c r="CP12" s="257"/>
      <c r="CQ12" s="257"/>
      <c r="CR12" s="257"/>
      <c r="CS12" s="258"/>
    </row>
    <row r="13" spans="1:97">
      <c r="A13" s="41" t="s">
        <v>17</v>
      </c>
      <c r="B13" s="40" t="s">
        <v>24</v>
      </c>
      <c r="C13" s="335" t="s">
        <v>34</v>
      </c>
      <c r="D13" s="278" t="s">
        <v>136</v>
      </c>
      <c r="E13" s="266" t="b">
        <f>IF('INTRODUCIR DATOS'!$D$20="ENERO",'RESULTADO INDEXADO'!O13,IF('INTRODUCIR DATOS'!$D$20="FEBRERO",'RESULTADO INDEXADO'!V13,IF('INTRODUCIR DATOS'!$D$20="MARZO",'RESULTADO INDEXADO'!AC13,IF('INTRODUCIR DATOS'!$D$20="ABRIL",'RESULTADO INDEXADO'!AJ13,IF('INTRODUCIR DATOS'!$D$20="MAYO",'RESULTADO INDEXADO'!AQ13,IF('INTRODUCIR DATOS'!$D$20="JUNIO",'RESULTADO INDEXADO'!AX13,IF('INTRODUCIR DATOS'!$D$20="JULIO",'RESULTADO INDEXADO'!BE13,IF('INTRODUCIR DATOS'!$D$20="AGOSTO",'RESULTADO INDEXADO'!BL13,IF('INTRODUCIR DATOS'!$D$20="SEPTIEMBRE",'RESULTADO INDEXADO'!BS13,IF('INTRODUCIR DATOS'!$D$20="OCTUBRE",'RESULTADO INDEXADO'!BZ13,IF('INTRODUCIR DATOS'!$D$20="NOVIEMBRE",'RESULTADO INDEXADO'!CG13,IF('INTRODUCIR DATOS'!$D$20="DICIEMBRE",'RESULTADO INDEXADO'!CN13))))))))))))</f>
        <v>0</v>
      </c>
      <c r="F13" s="253" t="b">
        <f>IF('INTRODUCIR DATOS'!$D$20="ENERO",'RESULTADO INDEXADO'!P13,IF('INTRODUCIR DATOS'!$D$20="FEBRERO",'RESULTADO INDEXADO'!W13,IF('INTRODUCIR DATOS'!$D$20="MARZO",'RESULTADO INDEXADO'!AD13,IF('INTRODUCIR DATOS'!$D$20="ABRIL",'RESULTADO INDEXADO'!AK13,IF('INTRODUCIR DATOS'!$D$20="MAYO",'RESULTADO INDEXADO'!AR13,IF('INTRODUCIR DATOS'!$D$20="JUNIO",'RESULTADO INDEXADO'!AY13,IF('INTRODUCIR DATOS'!$D$20="JULIO",'RESULTADO INDEXADO'!BF13,IF('INTRODUCIR DATOS'!$D$20="AGOSTO",'RESULTADO INDEXADO'!BM13,IF('INTRODUCIR DATOS'!$D$20="SEPTIEMBRE",'RESULTADO INDEXADO'!BT13,IF('INTRODUCIR DATOS'!$D$20="OCTUBRE",'RESULTADO INDEXADO'!CA13,IF('INTRODUCIR DATOS'!$D$20="NOVIEMBRE",'RESULTADO INDEXADO'!CH13,IF('INTRODUCIR DATOS'!$D$20="DICIEMBRE",'RESULTADO INDEXADO'!CO13))))))))))))</f>
        <v>0</v>
      </c>
      <c r="G13" s="253" t="b">
        <f>IF('INTRODUCIR DATOS'!$D$20="ENERO",'RESULTADO INDEXADO'!Q13,IF('INTRODUCIR DATOS'!$D$20="FEBRERO",'RESULTADO INDEXADO'!X13,IF('INTRODUCIR DATOS'!$D$20="MARZO",'RESULTADO INDEXADO'!AE13,IF('INTRODUCIR DATOS'!$D$20="ABRIL",'RESULTADO INDEXADO'!AL13,IF('INTRODUCIR DATOS'!$D$20="MAYO",'RESULTADO INDEXADO'!AS13,IF('INTRODUCIR DATOS'!$D$20="JUNIO",'RESULTADO INDEXADO'!AZ13,IF('INTRODUCIR DATOS'!$D$20="JULIO",'RESULTADO INDEXADO'!BG13,IF('INTRODUCIR DATOS'!$D$20="AGOSTO",'RESULTADO INDEXADO'!BN13,IF('INTRODUCIR DATOS'!$D$20="SEPTIEMBRE",'RESULTADO INDEXADO'!BU13,IF('INTRODUCIR DATOS'!$D$20="OCTUBRE",'RESULTADO INDEXADO'!CB13,IF('INTRODUCIR DATOS'!$D$20="NOVIEMBRE",'RESULTADO INDEXADO'!CI13,IF('INTRODUCIR DATOS'!$D$20="DICIEMBRE",'RESULTADO INDEXADO'!CP13))))))))))))</f>
        <v>0</v>
      </c>
      <c r="H13" s="254" t="b">
        <f>IF('INTRODUCIR DATOS'!$D$20="ENERO",'RESULTADO INDEXADO'!R13,IF('INTRODUCIR DATOS'!$D$20="FEBRERO",'RESULTADO INDEXADO'!Y13,IF('INTRODUCIR DATOS'!$D$20="MARZO",'RESULTADO INDEXADO'!AF13,IF('INTRODUCIR DATOS'!$D$20="ABRIL",'RESULTADO INDEXADO'!AM13,IF('INTRODUCIR DATOS'!$D$20="MAYO",'RESULTADO INDEXADO'!AT13,IF('INTRODUCIR DATOS'!$D$20="JUNIO",'RESULTADO INDEXADO'!BA13,IF('INTRODUCIR DATOS'!$D$20="JULIO",'RESULTADO INDEXADO'!BH13,IF('INTRODUCIR DATOS'!$D$20="AGOSTO",'RESULTADO INDEXADO'!BO13,IF('INTRODUCIR DATOS'!$D$20="SEPTIEMBRE",'RESULTADO INDEXADO'!BV13,IF('INTRODUCIR DATOS'!$D$20="OCTUBRE",'RESULTADO INDEXADO'!CC13,IF('INTRODUCIR DATOS'!$D$20="NOVIEMBRE",'RESULTADO INDEXADO'!CJ13,IF('INTRODUCIR DATOS'!$D$20="DICIEMBRE",'RESULTADO INDEXADO'!CQ13))))))))))))</f>
        <v>0</v>
      </c>
      <c r="I13" s="254" t="b">
        <f>IF('INTRODUCIR DATOS'!$D$20="ENERO",'RESULTADO INDEXADO'!S13,IF('INTRODUCIR DATOS'!$D$20="FEBRERO",'RESULTADO INDEXADO'!Z13,IF('INTRODUCIR DATOS'!$D$20="MARZO",'RESULTADO INDEXADO'!AG13,IF('INTRODUCIR DATOS'!$D$20="ABRIL",'RESULTADO INDEXADO'!AN13,IF('INTRODUCIR DATOS'!$D$20="MAYO",'RESULTADO INDEXADO'!AU13,IF('INTRODUCIR DATOS'!$D$20="JUNIO",'RESULTADO INDEXADO'!BB13,IF('INTRODUCIR DATOS'!$D$20="JULIO",'RESULTADO INDEXADO'!BI13,IF('INTRODUCIR DATOS'!$D$20="AGOSTO",'RESULTADO INDEXADO'!BP13,IF('INTRODUCIR DATOS'!$D$20="SEPTIEMBRE",'RESULTADO INDEXADO'!BW13,IF('INTRODUCIR DATOS'!$D$20="OCTUBRE",'RESULTADO INDEXADO'!CD13,IF('INTRODUCIR DATOS'!$D$20="NOVIEMBRE",'RESULTADO INDEXADO'!CK13,IF('INTRODUCIR DATOS'!$D$20="DICIEMBRE",'RESULTADO INDEXADO'!CR13))))))))))))</f>
        <v>0</v>
      </c>
      <c r="J13" s="295" t="b">
        <f>IF('INTRODUCIR DATOS'!$D$20="ENERO",'RESULTADO INDEXADO'!T13,IF('INTRODUCIR DATOS'!$D$20="FEBRERO",'RESULTADO INDEXADO'!AA13,IF('INTRODUCIR DATOS'!$D$20="MARZO",'RESULTADO INDEXADO'!AH13,IF('INTRODUCIR DATOS'!$D$20="ABRIL",'RESULTADO INDEXADO'!AO13,IF('INTRODUCIR DATOS'!$D$20="MAYO",'RESULTADO INDEXADO'!AV13,IF('INTRODUCIR DATOS'!$D$20="JUNIO",'RESULTADO INDEXADO'!BC13,IF('INTRODUCIR DATOS'!$D$20="JULIO",'RESULTADO INDEXADO'!BJ13,IF('INTRODUCIR DATOS'!$D$20="AGOSTO",'RESULTADO INDEXADO'!BQ13,IF('INTRODUCIR DATOS'!$D$20="SEPTIEMBRE",'RESULTADO INDEXADO'!BX13,IF('INTRODUCIR DATOS'!$D$20="OCTUBRE",'RESULTADO INDEXADO'!CE13,IF('INTRODUCIR DATOS'!$D$20="NOVIEMBRE",'RESULTADO INDEXADO'!CL13,IF('INTRODUCIR DATOS'!$D$20="DICIEMBRE",'RESULTADO INDEXADO'!CS13))))))))))))</f>
        <v>0</v>
      </c>
      <c r="K13" s="290">
        <f>('INTRODUCIR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DATOS'!$D$17)+'INTRODUCIR DATOS'!$D$15+'INTRODUCIR DATOS'!$D$16+IF('INTRODUCIR DATOS'!$D$21=21%,(('INTRODUCIR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DATOS'!$D$17)+'INTRODUCIR DATOS'!$D$16)*21/100,IF('INTRODUCIR DATOS'!$D$21=10%,(('INTRODUCIR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DATOS'!$D$17)+'INTRODUCIR DATOS'!$D$16)*10/100))</f>
        <v>1.0285</v>
      </c>
      <c r="L13" s="292">
        <f>IF(K13=0,"",'INTRODUCIR DATOS'!$D$14-K13)</f>
        <v>113.12150000000001</v>
      </c>
      <c r="M13" s="271">
        <f>IF(K13=0,"",('INTRODUCIR DATOS'!$D$14-K13)/'INTRODUCIR DATOS'!$D$14)</f>
        <v>0.99098992553657472</v>
      </c>
      <c r="N13" s="310" t="s">
        <v>136</v>
      </c>
      <c r="O13" s="266">
        <v>0.25050699999999998</v>
      </c>
      <c r="P13" s="253">
        <v>0.14943400000000001</v>
      </c>
      <c r="Q13" s="253">
        <v>9.0480000000000005E-2</v>
      </c>
      <c r="R13" s="254"/>
      <c r="S13" s="254"/>
      <c r="T13" s="255"/>
      <c r="U13" s="278" t="s">
        <v>136</v>
      </c>
      <c r="V13" s="266">
        <v>0.20593500000000001</v>
      </c>
      <c r="W13" s="253">
        <v>0.104132</v>
      </c>
      <c r="X13" s="253">
        <v>5.5374E-2</v>
      </c>
      <c r="Y13" s="254"/>
      <c r="Z13" s="254"/>
      <c r="AA13" s="255"/>
      <c r="AB13" s="278" t="s">
        <v>136</v>
      </c>
      <c r="AC13" s="266">
        <v>0.218531</v>
      </c>
      <c r="AD13" s="253">
        <v>0.12623999999999999</v>
      </c>
      <c r="AE13" s="253">
        <v>8.0018000000000006E-2</v>
      </c>
      <c r="AF13" s="254"/>
      <c r="AG13" s="254"/>
      <c r="AH13" s="255"/>
      <c r="AI13" s="278" t="s">
        <v>136</v>
      </c>
      <c r="AJ13" s="266">
        <v>0.238734</v>
      </c>
      <c r="AK13" s="253">
        <v>0.141653</v>
      </c>
      <c r="AL13" s="253">
        <v>0.104229</v>
      </c>
      <c r="AM13" s="254"/>
      <c r="AN13" s="254"/>
      <c r="AO13" s="255"/>
      <c r="AP13" s="278" t="s">
        <v>136</v>
      </c>
      <c r="AQ13" s="266">
        <v>0.24179999999999999</v>
      </c>
      <c r="AR13" s="253">
        <v>0.145569</v>
      </c>
      <c r="AS13" s="253">
        <v>0.103932</v>
      </c>
      <c r="AT13" s="254"/>
      <c r="AU13" s="254"/>
      <c r="AV13" s="255"/>
      <c r="AW13" s="278" t="s">
        <v>136</v>
      </c>
      <c r="AX13" s="266">
        <v>0.25608300000000001</v>
      </c>
      <c r="AY13" s="253">
        <v>0.16072500000000001</v>
      </c>
      <c r="AZ13" s="253">
        <v>0.12142699999999999</v>
      </c>
      <c r="BA13" s="254"/>
      <c r="BB13" s="254"/>
      <c r="BC13" s="255"/>
      <c r="BD13" s="278" t="s">
        <v>136</v>
      </c>
      <c r="BE13" s="266">
        <v>0.26942500000000003</v>
      </c>
      <c r="BF13" s="253">
        <v>0.17366899999999999</v>
      </c>
      <c r="BG13" s="253">
        <v>0.134376</v>
      </c>
      <c r="BH13" s="254"/>
      <c r="BI13" s="254"/>
      <c r="BJ13" s="255"/>
      <c r="BK13" s="278" t="s">
        <v>136</v>
      </c>
      <c r="BL13" s="266">
        <v>0.28589599999999998</v>
      </c>
      <c r="BM13" s="253">
        <v>0.19072700000000001</v>
      </c>
      <c r="BN13" s="253">
        <v>0.14874799999999999</v>
      </c>
      <c r="BO13" s="254"/>
      <c r="BP13" s="254"/>
      <c r="BQ13" s="255"/>
      <c r="BR13" s="278" t="s">
        <v>136</v>
      </c>
      <c r="BS13" s="266"/>
      <c r="BT13" s="253"/>
      <c r="BU13" s="253"/>
      <c r="BV13" s="254"/>
      <c r="BW13" s="254"/>
      <c r="BX13" s="255"/>
      <c r="BY13" s="278" t="s">
        <v>136</v>
      </c>
      <c r="BZ13" s="266"/>
      <c r="CA13" s="253"/>
      <c r="CB13" s="253"/>
      <c r="CC13" s="254"/>
      <c r="CD13" s="254"/>
      <c r="CE13" s="255"/>
      <c r="CF13" s="278" t="s">
        <v>136</v>
      </c>
      <c r="CG13" s="266"/>
      <c r="CH13" s="253"/>
      <c r="CI13" s="253"/>
      <c r="CJ13" s="254"/>
      <c r="CK13" s="254"/>
      <c r="CL13" s="255"/>
      <c r="CM13" s="278" t="s">
        <v>136</v>
      </c>
      <c r="CN13" s="266"/>
      <c r="CO13" s="253"/>
      <c r="CP13" s="253"/>
      <c r="CQ13" s="254"/>
      <c r="CR13" s="254"/>
      <c r="CS13" s="255"/>
    </row>
    <row r="14" spans="1:97">
      <c r="A14" s="41" t="s">
        <v>17</v>
      </c>
      <c r="B14" s="40" t="s">
        <v>27</v>
      </c>
      <c r="C14" s="335" t="s">
        <v>34</v>
      </c>
      <c r="D14" s="279" t="s">
        <v>134</v>
      </c>
      <c r="E14" s="267" t="b">
        <f>IF('INTRODUCIR DATOS'!$D$20="ENERO",'RESULTADO INDEXADO'!O14,IF('INTRODUCIR DATOS'!$D$20="FEBRERO",'RESULTADO INDEXADO'!V14,IF('INTRODUCIR DATOS'!$D$20="MARZO",'RESULTADO INDEXADO'!AC14,IF('INTRODUCIR DATOS'!$D$20="ABRIL",'RESULTADO INDEXADO'!AJ14,IF('INTRODUCIR DATOS'!$D$20="MAYO",'RESULTADO INDEXADO'!AQ14,IF('INTRODUCIR DATOS'!$D$20="JUNIO",'RESULTADO INDEXADO'!AX14,IF('INTRODUCIR DATOS'!$D$20="JULIO",'RESULTADO INDEXADO'!BE14,IF('INTRODUCIR DATOS'!$D$20="AGOSTO",'RESULTADO INDEXADO'!BL14,IF('INTRODUCIR DATOS'!$D$20="SEPTIEMBRE",'RESULTADO INDEXADO'!BS14,IF('INTRODUCIR DATOS'!$D$20="OCTUBRE",'RESULTADO INDEXADO'!BZ14,IF('INTRODUCIR DATOS'!$D$20="NOVIEMBRE",'RESULTADO INDEXADO'!CG14,IF('INTRODUCIR DATOS'!$D$20="DICIEMBRE",'RESULTADO INDEXADO'!CN14))))))))))))</f>
        <v>0</v>
      </c>
      <c r="F14" s="256" t="b">
        <f>IF('INTRODUCIR DATOS'!$D$20="ENERO",'RESULTADO INDEXADO'!P14,IF('INTRODUCIR DATOS'!$D$20="FEBRERO",'RESULTADO INDEXADO'!W14,IF('INTRODUCIR DATOS'!$D$20="MARZO",'RESULTADO INDEXADO'!AD14,IF('INTRODUCIR DATOS'!$D$20="ABRIL",'RESULTADO INDEXADO'!AK14,IF('INTRODUCIR DATOS'!$D$20="MAYO",'RESULTADO INDEXADO'!AR14,IF('INTRODUCIR DATOS'!$D$20="JUNIO",'RESULTADO INDEXADO'!AY14,IF('INTRODUCIR DATOS'!$D$20="JULIO",'RESULTADO INDEXADO'!BF14,IF('INTRODUCIR DATOS'!$D$20="AGOSTO",'RESULTADO INDEXADO'!BM14,IF('INTRODUCIR DATOS'!$D$20="SEPTIEMBRE",'RESULTADO INDEXADO'!BT14,IF('INTRODUCIR DATOS'!$D$20="OCTUBRE",'RESULTADO INDEXADO'!CA14,IF('INTRODUCIR DATOS'!$D$20="NOVIEMBRE",'RESULTADO INDEXADO'!CH14,IF('INTRODUCIR DATOS'!$D$20="DICIEMBRE",'RESULTADO INDEXADO'!CO14))))))))))))</f>
        <v>0</v>
      </c>
      <c r="G14" s="257" t="b">
        <f>IF('INTRODUCIR DATOS'!$D$20="ENERO",'RESULTADO INDEXADO'!Q14,IF('INTRODUCIR DATOS'!$D$20="FEBRERO",'RESULTADO INDEXADO'!X14,IF('INTRODUCIR DATOS'!$D$20="MARZO",'RESULTADO INDEXADO'!AE14,IF('INTRODUCIR DATOS'!$D$20="ABRIL",'RESULTADO INDEXADO'!AL14,IF('INTRODUCIR DATOS'!$D$20="MAYO",'RESULTADO INDEXADO'!AS14,IF('INTRODUCIR DATOS'!$D$20="JUNIO",'RESULTADO INDEXADO'!AZ14,IF('INTRODUCIR DATOS'!$D$20="JULIO",'RESULTADO INDEXADO'!BG14,IF('INTRODUCIR DATOS'!$D$20="AGOSTO",'RESULTADO INDEXADO'!BN14,IF('INTRODUCIR DATOS'!$D$20="SEPTIEMBRE",'RESULTADO INDEXADO'!BU14,IF('INTRODUCIR DATOS'!$D$20="OCTUBRE",'RESULTADO INDEXADO'!CB14,IF('INTRODUCIR DATOS'!$D$20="NOVIEMBRE",'RESULTADO INDEXADO'!CI14,IF('INTRODUCIR DATOS'!$D$20="DICIEMBRE",'RESULTADO INDEXADO'!CP14))))))))))))</f>
        <v>0</v>
      </c>
      <c r="H14" s="257" t="b">
        <f>IF('INTRODUCIR DATOS'!$D$20="ENERO",'RESULTADO INDEXADO'!R14,IF('INTRODUCIR DATOS'!$D$20="FEBRERO",'RESULTADO INDEXADO'!Y14,IF('INTRODUCIR DATOS'!$D$20="MARZO",'RESULTADO INDEXADO'!AF14,IF('INTRODUCIR DATOS'!$D$20="ABRIL",'RESULTADO INDEXADO'!AM14,IF('INTRODUCIR DATOS'!$D$20="MAYO",'RESULTADO INDEXADO'!AT14,IF('INTRODUCIR DATOS'!$D$20="JUNIO",'RESULTADO INDEXADO'!BA14,IF('INTRODUCIR DATOS'!$D$20="JULIO",'RESULTADO INDEXADO'!BH14,IF('INTRODUCIR DATOS'!$D$20="AGOSTO",'RESULTADO INDEXADO'!BO14,IF('INTRODUCIR DATOS'!$D$20="SEPTIEMBRE",'RESULTADO INDEXADO'!BV14,IF('INTRODUCIR DATOS'!$D$20="OCTUBRE",'RESULTADO INDEXADO'!CC14,IF('INTRODUCIR DATOS'!$D$20="NOVIEMBRE",'RESULTADO INDEXADO'!CJ14,IF('INTRODUCIR DATOS'!$D$20="DICIEMBRE",'RESULTADO INDEXADO'!CQ14))))))))))))</f>
        <v>0</v>
      </c>
      <c r="I14" s="257" t="b">
        <f>IF('INTRODUCIR DATOS'!$D$20="ENERO",'RESULTADO INDEXADO'!S14,IF('INTRODUCIR DATOS'!$D$20="FEBRERO",'RESULTADO INDEXADO'!Z14,IF('INTRODUCIR DATOS'!$D$20="MARZO",'RESULTADO INDEXADO'!AG14,IF('INTRODUCIR DATOS'!$D$20="ABRIL",'RESULTADO INDEXADO'!AN14,IF('INTRODUCIR DATOS'!$D$20="MAYO",'RESULTADO INDEXADO'!AU14,IF('INTRODUCIR DATOS'!$D$20="JUNIO",'RESULTADO INDEXADO'!BB14,IF('INTRODUCIR DATOS'!$D$20="JULIO",'RESULTADO INDEXADO'!BI14,IF('INTRODUCIR DATOS'!$D$20="AGOSTO",'RESULTADO INDEXADO'!BP14,IF('INTRODUCIR DATOS'!$D$20="SEPTIEMBRE",'RESULTADO INDEXADO'!BW14,IF('INTRODUCIR DATOS'!$D$20="OCTUBRE",'RESULTADO INDEXADO'!CD14,IF('INTRODUCIR DATOS'!$D$20="NOVIEMBRE",'RESULTADO INDEXADO'!CK14,IF('INTRODUCIR DATOS'!$D$20="DICIEMBRE",'RESULTADO INDEXADO'!CR14))))))))))))</f>
        <v>0</v>
      </c>
      <c r="J14" s="296" t="b">
        <f>IF('INTRODUCIR DATOS'!$D$20="ENERO",'RESULTADO INDEXADO'!T14,IF('INTRODUCIR DATOS'!$D$20="FEBRERO",'RESULTADO INDEXADO'!AA14,IF('INTRODUCIR DATOS'!$D$20="MARZO",'RESULTADO INDEXADO'!AH14,IF('INTRODUCIR DATOS'!$D$20="ABRIL",'RESULTADO INDEXADO'!AO14,IF('INTRODUCIR DATOS'!$D$20="MAYO",'RESULTADO INDEXADO'!AV14,IF('INTRODUCIR DATOS'!$D$20="JUNIO",'RESULTADO INDEXADO'!BC14,IF('INTRODUCIR DATOS'!$D$20="JULIO",'RESULTADO INDEXADO'!BJ14,IF('INTRODUCIR DATOS'!$D$20="AGOSTO",'RESULTADO INDEXADO'!BQ14,IF('INTRODUCIR DATOS'!$D$20="SEPTIEMBRE",'RESULTADO INDEXADO'!BX14,IF('INTRODUCIR DATOS'!$D$20="OCTUBRE",'RESULTADO INDEXADO'!CE14,IF('INTRODUCIR DATOS'!$D$20="NOVIEMBRE",'RESULTADO INDEXADO'!CL14,IF('INTRODUCIR DATOS'!$D$20="DICIEMBRE",'RESULTADO INDEXADO'!CS14))))))))))))</f>
        <v>0</v>
      </c>
      <c r="K14" s="41"/>
      <c r="L14" s="40"/>
      <c r="M14" s="145"/>
      <c r="N14" s="311" t="s">
        <v>134</v>
      </c>
      <c r="O14" s="267">
        <v>0.10403468493150685</v>
      </c>
      <c r="P14" s="256">
        <v>2.3902353424657533E-2</v>
      </c>
      <c r="Q14" s="257"/>
      <c r="R14" s="257"/>
      <c r="S14" s="257"/>
      <c r="T14" s="258"/>
      <c r="U14" s="279" t="s">
        <v>134</v>
      </c>
      <c r="V14" s="267">
        <v>0.10403468493150685</v>
      </c>
      <c r="W14" s="256">
        <v>2.3902353424657533E-2</v>
      </c>
      <c r="X14" s="257"/>
      <c r="Y14" s="257"/>
      <c r="Z14" s="257"/>
      <c r="AA14" s="258"/>
      <c r="AB14" s="279" t="s">
        <v>134</v>
      </c>
      <c r="AC14" s="267">
        <v>0.10403468493150685</v>
      </c>
      <c r="AD14" s="256">
        <v>2.3902353424657533E-2</v>
      </c>
      <c r="AE14" s="257"/>
      <c r="AF14" s="257"/>
      <c r="AG14" s="257"/>
      <c r="AH14" s="258"/>
      <c r="AI14" s="279" t="s">
        <v>134</v>
      </c>
      <c r="AJ14" s="267">
        <v>0.10403468493150685</v>
      </c>
      <c r="AK14" s="256">
        <v>2.3902353424657533E-2</v>
      </c>
      <c r="AL14" s="257"/>
      <c r="AM14" s="257"/>
      <c r="AN14" s="257"/>
      <c r="AO14" s="258"/>
      <c r="AP14" s="279" t="s">
        <v>134</v>
      </c>
      <c r="AQ14" s="267">
        <v>0.10403468493150685</v>
      </c>
      <c r="AR14" s="256">
        <v>2.3902353424657533E-2</v>
      </c>
      <c r="AS14" s="257"/>
      <c r="AT14" s="257"/>
      <c r="AU14" s="257"/>
      <c r="AV14" s="258"/>
      <c r="AW14" s="279" t="s">
        <v>134</v>
      </c>
      <c r="AX14" s="267">
        <v>0.10403468493150685</v>
      </c>
      <c r="AY14" s="256">
        <v>2.3902353424657533E-2</v>
      </c>
      <c r="AZ14" s="257"/>
      <c r="BA14" s="257"/>
      <c r="BB14" s="257"/>
      <c r="BC14" s="258"/>
      <c r="BD14" s="279" t="s">
        <v>134</v>
      </c>
      <c r="BE14" s="267">
        <v>0.10403468493150685</v>
      </c>
      <c r="BF14" s="256">
        <v>2.3902353424657533E-2</v>
      </c>
      <c r="BG14" s="257"/>
      <c r="BH14" s="257"/>
      <c r="BI14" s="257"/>
      <c r="BJ14" s="258"/>
      <c r="BK14" s="279" t="s">
        <v>134</v>
      </c>
      <c r="BL14" s="267">
        <v>0.10403468493150685</v>
      </c>
      <c r="BM14" s="256">
        <v>2.3902353424657533E-2</v>
      </c>
      <c r="BN14" s="257"/>
      <c r="BO14" s="257"/>
      <c r="BP14" s="257"/>
      <c r="BQ14" s="258"/>
      <c r="BR14" s="279" t="s">
        <v>134</v>
      </c>
      <c r="BS14" s="267">
        <v>0.10403468493150685</v>
      </c>
      <c r="BT14" s="256">
        <v>2.3902353424657533E-2</v>
      </c>
      <c r="BU14" s="257"/>
      <c r="BV14" s="257"/>
      <c r="BW14" s="257"/>
      <c r="BX14" s="258"/>
      <c r="BY14" s="279" t="s">
        <v>134</v>
      </c>
      <c r="BZ14" s="267">
        <v>0.10403468493150685</v>
      </c>
      <c r="CA14" s="256">
        <v>2.3902353424657533E-2</v>
      </c>
      <c r="CB14" s="257"/>
      <c r="CC14" s="257"/>
      <c r="CD14" s="257"/>
      <c r="CE14" s="258"/>
      <c r="CF14" s="279" t="s">
        <v>134</v>
      </c>
      <c r="CG14" s="267">
        <v>0.10403468493150685</v>
      </c>
      <c r="CH14" s="256">
        <v>2.3902353424657533E-2</v>
      </c>
      <c r="CI14" s="257"/>
      <c r="CJ14" s="257"/>
      <c r="CK14" s="257"/>
      <c r="CL14" s="258"/>
      <c r="CM14" s="279" t="s">
        <v>134</v>
      </c>
      <c r="CN14" s="267">
        <v>0.10403468493150685</v>
      </c>
      <c r="CO14" s="256">
        <v>2.3902353424657533E-2</v>
      </c>
      <c r="CP14" s="257"/>
      <c r="CQ14" s="257"/>
      <c r="CR14" s="257"/>
      <c r="CS14" s="258"/>
    </row>
    <row r="15" spans="1:97">
      <c r="A15" s="41" t="s">
        <v>17</v>
      </c>
      <c r="B15" s="40" t="s">
        <v>27</v>
      </c>
      <c r="C15" s="335" t="s">
        <v>34</v>
      </c>
      <c r="D15" s="278" t="s">
        <v>136</v>
      </c>
      <c r="E15" s="266" t="b">
        <f>IF('INTRODUCIR DATOS'!$D$20="ENERO",'RESULTADO INDEXADO'!O15,IF('INTRODUCIR DATOS'!$D$20="FEBRERO",'RESULTADO INDEXADO'!V15,IF('INTRODUCIR DATOS'!$D$20="MARZO",'RESULTADO INDEXADO'!AC15,IF('INTRODUCIR DATOS'!$D$20="ABRIL",'RESULTADO INDEXADO'!AJ15,IF('INTRODUCIR DATOS'!$D$20="MAYO",'RESULTADO INDEXADO'!AQ15,IF('INTRODUCIR DATOS'!$D$20="JUNIO",'RESULTADO INDEXADO'!AX15,IF('INTRODUCIR DATOS'!$D$20="JULIO",'RESULTADO INDEXADO'!BE15,IF('INTRODUCIR DATOS'!$D$20="AGOSTO",'RESULTADO INDEXADO'!BL15,IF('INTRODUCIR DATOS'!$D$20="SEPTIEMBRE",'RESULTADO INDEXADO'!BS15,IF('INTRODUCIR DATOS'!$D$20="OCTUBRE",'RESULTADO INDEXADO'!BZ15,IF('INTRODUCIR DATOS'!$D$20="NOVIEMBRE",'RESULTADO INDEXADO'!CG15,IF('INTRODUCIR DATOS'!$D$20="DICIEMBRE",'RESULTADO INDEXADO'!CN15))))))))))))</f>
        <v>0</v>
      </c>
      <c r="F15" s="253" t="b">
        <f>IF('INTRODUCIR DATOS'!$D$20="ENERO",'RESULTADO INDEXADO'!P15,IF('INTRODUCIR DATOS'!$D$20="FEBRERO",'RESULTADO INDEXADO'!W15,IF('INTRODUCIR DATOS'!$D$20="MARZO",'RESULTADO INDEXADO'!AD15,IF('INTRODUCIR DATOS'!$D$20="ABRIL",'RESULTADO INDEXADO'!AK15,IF('INTRODUCIR DATOS'!$D$20="MAYO",'RESULTADO INDEXADO'!AR15,IF('INTRODUCIR DATOS'!$D$20="JUNIO",'RESULTADO INDEXADO'!AY15,IF('INTRODUCIR DATOS'!$D$20="JULIO",'RESULTADO INDEXADO'!BF15,IF('INTRODUCIR DATOS'!$D$20="AGOSTO",'RESULTADO INDEXADO'!BM15,IF('INTRODUCIR DATOS'!$D$20="SEPTIEMBRE",'RESULTADO INDEXADO'!BT15,IF('INTRODUCIR DATOS'!$D$20="OCTUBRE",'RESULTADO INDEXADO'!CA15,IF('INTRODUCIR DATOS'!$D$20="NOVIEMBRE",'RESULTADO INDEXADO'!CH15,IF('INTRODUCIR DATOS'!$D$20="DICIEMBRE",'RESULTADO INDEXADO'!CO15))))))))))))</f>
        <v>0</v>
      </c>
      <c r="G15" s="253" t="b">
        <f>IF('INTRODUCIR DATOS'!$D$20="ENERO",'RESULTADO INDEXADO'!Q15,IF('INTRODUCIR DATOS'!$D$20="FEBRERO",'RESULTADO INDEXADO'!X15,IF('INTRODUCIR DATOS'!$D$20="MARZO",'RESULTADO INDEXADO'!AE15,IF('INTRODUCIR DATOS'!$D$20="ABRIL",'RESULTADO INDEXADO'!AL15,IF('INTRODUCIR DATOS'!$D$20="MAYO",'RESULTADO INDEXADO'!AS15,IF('INTRODUCIR DATOS'!$D$20="JUNIO",'RESULTADO INDEXADO'!AZ15,IF('INTRODUCIR DATOS'!$D$20="JULIO",'RESULTADO INDEXADO'!BG15,IF('INTRODUCIR DATOS'!$D$20="AGOSTO",'RESULTADO INDEXADO'!BN15,IF('INTRODUCIR DATOS'!$D$20="SEPTIEMBRE",'RESULTADO INDEXADO'!BU15,IF('INTRODUCIR DATOS'!$D$20="OCTUBRE",'RESULTADO INDEXADO'!CB15,IF('INTRODUCIR DATOS'!$D$20="NOVIEMBRE",'RESULTADO INDEXADO'!CI15,IF('INTRODUCIR DATOS'!$D$20="DICIEMBRE",'RESULTADO INDEXADO'!CP15))))))))))))</f>
        <v>0</v>
      </c>
      <c r="H15" s="254" t="b">
        <f>IF('INTRODUCIR DATOS'!$D$20="ENERO",'RESULTADO INDEXADO'!R15,IF('INTRODUCIR DATOS'!$D$20="FEBRERO",'RESULTADO INDEXADO'!Y15,IF('INTRODUCIR DATOS'!$D$20="MARZO",'RESULTADO INDEXADO'!AF15,IF('INTRODUCIR DATOS'!$D$20="ABRIL",'RESULTADO INDEXADO'!AM15,IF('INTRODUCIR DATOS'!$D$20="MAYO",'RESULTADO INDEXADO'!AT15,IF('INTRODUCIR DATOS'!$D$20="JUNIO",'RESULTADO INDEXADO'!BA15,IF('INTRODUCIR DATOS'!$D$20="JULIO",'RESULTADO INDEXADO'!BH15,IF('INTRODUCIR DATOS'!$D$20="AGOSTO",'RESULTADO INDEXADO'!BO15,IF('INTRODUCIR DATOS'!$D$20="SEPTIEMBRE",'RESULTADO INDEXADO'!BV15,IF('INTRODUCIR DATOS'!$D$20="OCTUBRE",'RESULTADO INDEXADO'!CC15,IF('INTRODUCIR DATOS'!$D$20="NOVIEMBRE",'RESULTADO INDEXADO'!CJ15,IF('INTRODUCIR DATOS'!$D$20="DICIEMBRE",'RESULTADO INDEXADO'!CQ15))))))))))))</f>
        <v>0</v>
      </c>
      <c r="I15" s="254" t="b">
        <f>IF('INTRODUCIR DATOS'!$D$20="ENERO",'RESULTADO INDEXADO'!S15,IF('INTRODUCIR DATOS'!$D$20="FEBRERO",'RESULTADO INDEXADO'!Z15,IF('INTRODUCIR DATOS'!$D$20="MARZO",'RESULTADO INDEXADO'!AG15,IF('INTRODUCIR DATOS'!$D$20="ABRIL",'RESULTADO INDEXADO'!AN15,IF('INTRODUCIR DATOS'!$D$20="MAYO",'RESULTADO INDEXADO'!AU15,IF('INTRODUCIR DATOS'!$D$20="JUNIO",'RESULTADO INDEXADO'!BB15,IF('INTRODUCIR DATOS'!$D$20="JULIO",'RESULTADO INDEXADO'!BI15,IF('INTRODUCIR DATOS'!$D$20="AGOSTO",'RESULTADO INDEXADO'!BP15,IF('INTRODUCIR DATOS'!$D$20="SEPTIEMBRE",'RESULTADO INDEXADO'!BW15,IF('INTRODUCIR DATOS'!$D$20="OCTUBRE",'RESULTADO INDEXADO'!CD15,IF('INTRODUCIR DATOS'!$D$20="NOVIEMBRE",'RESULTADO INDEXADO'!CK15,IF('INTRODUCIR DATOS'!$D$20="DICIEMBRE",'RESULTADO INDEXADO'!CR15))))))))))))</f>
        <v>0</v>
      </c>
      <c r="J15" s="295" t="b">
        <f>IF('INTRODUCIR DATOS'!$D$20="ENERO",'RESULTADO INDEXADO'!T15,IF('INTRODUCIR DATOS'!$D$20="FEBRERO",'RESULTADO INDEXADO'!AA15,IF('INTRODUCIR DATOS'!$D$20="MARZO",'RESULTADO INDEXADO'!AH15,IF('INTRODUCIR DATOS'!$D$20="ABRIL",'RESULTADO INDEXADO'!AO15,IF('INTRODUCIR DATOS'!$D$20="MAYO",'RESULTADO INDEXADO'!AV15,IF('INTRODUCIR DATOS'!$D$20="JUNIO",'RESULTADO INDEXADO'!BC15,IF('INTRODUCIR DATOS'!$D$20="JULIO",'RESULTADO INDEXADO'!BJ15,IF('INTRODUCIR DATOS'!$D$20="AGOSTO",'RESULTADO INDEXADO'!BQ15,IF('INTRODUCIR DATOS'!$D$20="SEPTIEMBRE",'RESULTADO INDEXADO'!BX15,IF('INTRODUCIR DATOS'!$D$20="OCTUBRE",'RESULTADO INDEXADO'!CE15,IF('INTRODUCIR DATOS'!$D$20="NOVIEMBRE",'RESULTADO INDEXADO'!CL15,IF('INTRODUCIR DATOS'!$D$20="DICIEMBRE",'RESULTADO INDEXADO'!CS15))))))))))))</f>
        <v>0</v>
      </c>
      <c r="K15" s="290">
        <f>('INTRODUCIR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DATOS'!$D$17)+'INTRODUCIR DATOS'!$D$15+'INTRODUCIR DATOS'!$D$16+IF('INTRODUCIR DATOS'!$D$21=21%,(('INTRODUCIR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DATOS'!$D$17)+'INTRODUCIR DATOS'!$D$16)*21/100,IF('INTRODUCIR DATOS'!$D$21=10%,(('INTRODUCIR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DATOS'!$D$17)+'INTRODUCIR DATOS'!$D$16)*10/100))</f>
        <v>1.0285</v>
      </c>
      <c r="L15" s="292">
        <f>IF(K15=0,"",'INTRODUCIR DATOS'!$D$14-K15)</f>
        <v>113.12150000000001</v>
      </c>
      <c r="M15" s="271">
        <f>IF(K15=0,"",('INTRODUCIR DATOS'!$D$14-K15)/'INTRODUCIR DATOS'!$D$14)</f>
        <v>0.99098992553657472</v>
      </c>
      <c r="N15" s="310" t="s">
        <v>136</v>
      </c>
      <c r="O15" s="266">
        <v>0.240007</v>
      </c>
      <c r="P15" s="253">
        <v>0.138934</v>
      </c>
      <c r="Q15" s="253">
        <v>7.9979999999999996E-2</v>
      </c>
      <c r="R15" s="254"/>
      <c r="S15" s="254"/>
      <c r="T15" s="255"/>
      <c r="U15" s="278" t="s">
        <v>136</v>
      </c>
      <c r="V15" s="266">
        <v>0.195435</v>
      </c>
      <c r="W15" s="253">
        <v>9.3632000000000007E-2</v>
      </c>
      <c r="X15" s="253">
        <v>4.4873999999999997E-2</v>
      </c>
      <c r="Y15" s="254"/>
      <c r="Z15" s="254"/>
      <c r="AA15" s="255"/>
      <c r="AB15" s="278" t="s">
        <v>136</v>
      </c>
      <c r="AC15" s="266">
        <v>0.20803099999999999</v>
      </c>
      <c r="AD15" s="253">
        <v>0.110124</v>
      </c>
      <c r="AE15" s="253">
        <v>6.9517999999999996E-2</v>
      </c>
      <c r="AF15" s="254"/>
      <c r="AG15" s="254"/>
      <c r="AH15" s="255"/>
      <c r="AI15" s="278" t="s">
        <v>136</v>
      </c>
      <c r="AJ15" s="266">
        <v>0.22823399999999999</v>
      </c>
      <c r="AK15" s="253">
        <v>0.13115299999999999</v>
      </c>
      <c r="AL15" s="253">
        <v>9.3729000000000007E-2</v>
      </c>
      <c r="AM15" s="254"/>
      <c r="AN15" s="254"/>
      <c r="AO15" s="255"/>
      <c r="AP15" s="278" t="s">
        <v>136</v>
      </c>
      <c r="AQ15" s="266">
        <v>0.23130000000000001</v>
      </c>
      <c r="AR15" s="253">
        <v>0.13506899999999999</v>
      </c>
      <c r="AS15" s="253">
        <v>9.3432000000000001E-2</v>
      </c>
      <c r="AT15" s="254"/>
      <c r="AU15" s="254"/>
      <c r="AV15" s="255"/>
      <c r="AW15" s="278" t="s">
        <v>136</v>
      </c>
      <c r="AX15" s="266">
        <v>0.245583</v>
      </c>
      <c r="AY15" s="253">
        <v>0.150225</v>
      </c>
      <c r="AZ15" s="253">
        <v>0.110927</v>
      </c>
      <c r="BA15" s="254"/>
      <c r="BB15" s="254"/>
      <c r="BC15" s="255"/>
      <c r="BD15" s="278" t="s">
        <v>136</v>
      </c>
      <c r="BE15" s="266">
        <v>0.25892500000000002</v>
      </c>
      <c r="BF15" s="253">
        <v>0.16316900000000001</v>
      </c>
      <c r="BG15" s="253">
        <v>0.123876</v>
      </c>
      <c r="BH15" s="254"/>
      <c r="BI15" s="254"/>
      <c r="BJ15" s="255"/>
      <c r="BK15" s="278" t="s">
        <v>136</v>
      </c>
      <c r="BL15" s="266">
        <v>0.27539599999999997</v>
      </c>
      <c r="BM15" s="253">
        <v>0.180227</v>
      </c>
      <c r="BN15" s="253">
        <v>0.13824800000000001</v>
      </c>
      <c r="BO15" s="254"/>
      <c r="BP15" s="254"/>
      <c r="BQ15" s="255"/>
      <c r="BR15" s="278" t="s">
        <v>136</v>
      </c>
      <c r="BS15" s="266"/>
      <c r="BT15" s="253"/>
      <c r="BU15" s="253"/>
      <c r="BV15" s="254"/>
      <c r="BW15" s="254"/>
      <c r="BX15" s="255"/>
      <c r="BY15" s="278" t="s">
        <v>136</v>
      </c>
      <c r="BZ15" s="266"/>
      <c r="CA15" s="253"/>
      <c r="CB15" s="253"/>
      <c r="CC15" s="254"/>
      <c r="CD15" s="254"/>
      <c r="CE15" s="255"/>
      <c r="CF15" s="278" t="s">
        <v>136</v>
      </c>
      <c r="CG15" s="266"/>
      <c r="CH15" s="253"/>
      <c r="CI15" s="253"/>
      <c r="CJ15" s="254"/>
      <c r="CK15" s="254"/>
      <c r="CL15" s="255"/>
      <c r="CM15" s="278" t="s">
        <v>136</v>
      </c>
      <c r="CN15" s="266"/>
      <c r="CO15" s="253"/>
      <c r="CP15" s="253"/>
      <c r="CQ15" s="254"/>
      <c r="CR15" s="254"/>
      <c r="CS15" s="255"/>
    </row>
    <row r="16" spans="1:97">
      <c r="A16" s="41" t="s">
        <v>17</v>
      </c>
      <c r="B16" s="40" t="s">
        <v>27</v>
      </c>
      <c r="C16" s="335" t="s">
        <v>34</v>
      </c>
      <c r="D16" s="279" t="s">
        <v>134</v>
      </c>
      <c r="E16" s="267" t="b">
        <f>IF('INTRODUCIR DATOS'!$D$20="ENERO",'RESULTADO INDEXADO'!O16,IF('INTRODUCIR DATOS'!$D$20="FEBRERO",'RESULTADO INDEXADO'!V16,IF('INTRODUCIR DATOS'!$D$20="MARZO",'RESULTADO INDEXADO'!AC16,IF('INTRODUCIR DATOS'!$D$20="ABRIL",'RESULTADO INDEXADO'!AJ16,IF('INTRODUCIR DATOS'!$D$20="MAYO",'RESULTADO INDEXADO'!AQ16,IF('INTRODUCIR DATOS'!$D$20="JUNIO",'RESULTADO INDEXADO'!AX16,IF('INTRODUCIR DATOS'!$D$20="JULIO",'RESULTADO INDEXADO'!BE16,IF('INTRODUCIR DATOS'!$D$20="AGOSTO",'RESULTADO INDEXADO'!BL16,IF('INTRODUCIR DATOS'!$D$20="SEPTIEMBRE",'RESULTADO INDEXADO'!BS16,IF('INTRODUCIR DATOS'!$D$20="OCTUBRE",'RESULTADO INDEXADO'!BZ16,IF('INTRODUCIR DATOS'!$D$20="NOVIEMBRE",'RESULTADO INDEXADO'!CG16,IF('INTRODUCIR DATOS'!$D$20="DICIEMBRE",'RESULTADO INDEXADO'!CN16))))))))))))</f>
        <v>0</v>
      </c>
      <c r="F16" s="256" t="b">
        <f>IF('INTRODUCIR DATOS'!$D$20="ENERO",'RESULTADO INDEXADO'!P16,IF('INTRODUCIR DATOS'!$D$20="FEBRERO",'RESULTADO INDEXADO'!W16,IF('INTRODUCIR DATOS'!$D$20="MARZO",'RESULTADO INDEXADO'!AD16,IF('INTRODUCIR DATOS'!$D$20="ABRIL",'RESULTADO INDEXADO'!AK16,IF('INTRODUCIR DATOS'!$D$20="MAYO",'RESULTADO INDEXADO'!AR16,IF('INTRODUCIR DATOS'!$D$20="JUNIO",'RESULTADO INDEXADO'!AY16,IF('INTRODUCIR DATOS'!$D$20="JULIO",'RESULTADO INDEXADO'!BF16,IF('INTRODUCIR DATOS'!$D$20="AGOSTO",'RESULTADO INDEXADO'!BM16,IF('INTRODUCIR DATOS'!$D$20="SEPTIEMBRE",'RESULTADO INDEXADO'!BT16,IF('INTRODUCIR DATOS'!$D$20="OCTUBRE",'RESULTADO INDEXADO'!CA16,IF('INTRODUCIR DATOS'!$D$20="NOVIEMBRE",'RESULTADO INDEXADO'!CH16,IF('INTRODUCIR DATOS'!$D$20="DICIEMBRE",'RESULTADO INDEXADO'!CO16))))))))))))</f>
        <v>0</v>
      </c>
      <c r="G16" s="257" t="b">
        <f>IF('INTRODUCIR DATOS'!$D$20="ENERO",'RESULTADO INDEXADO'!Q16,IF('INTRODUCIR DATOS'!$D$20="FEBRERO",'RESULTADO INDEXADO'!X16,IF('INTRODUCIR DATOS'!$D$20="MARZO",'RESULTADO INDEXADO'!AE16,IF('INTRODUCIR DATOS'!$D$20="ABRIL",'RESULTADO INDEXADO'!AL16,IF('INTRODUCIR DATOS'!$D$20="MAYO",'RESULTADO INDEXADO'!AS16,IF('INTRODUCIR DATOS'!$D$20="JUNIO",'RESULTADO INDEXADO'!AZ16,IF('INTRODUCIR DATOS'!$D$20="JULIO",'RESULTADO INDEXADO'!BG16,IF('INTRODUCIR DATOS'!$D$20="AGOSTO",'RESULTADO INDEXADO'!BN16,IF('INTRODUCIR DATOS'!$D$20="SEPTIEMBRE",'RESULTADO INDEXADO'!BU16,IF('INTRODUCIR DATOS'!$D$20="OCTUBRE",'RESULTADO INDEXADO'!CB16,IF('INTRODUCIR DATOS'!$D$20="NOVIEMBRE",'RESULTADO INDEXADO'!CI16,IF('INTRODUCIR DATOS'!$D$20="DICIEMBRE",'RESULTADO INDEXADO'!CP16))))))))))))</f>
        <v>0</v>
      </c>
      <c r="H16" s="257" t="b">
        <f>IF('INTRODUCIR DATOS'!$D$20="ENERO",'RESULTADO INDEXADO'!R16,IF('INTRODUCIR DATOS'!$D$20="FEBRERO",'RESULTADO INDEXADO'!Y16,IF('INTRODUCIR DATOS'!$D$20="MARZO",'RESULTADO INDEXADO'!AF16,IF('INTRODUCIR DATOS'!$D$20="ABRIL",'RESULTADO INDEXADO'!AM16,IF('INTRODUCIR DATOS'!$D$20="MAYO",'RESULTADO INDEXADO'!AT16,IF('INTRODUCIR DATOS'!$D$20="JUNIO",'RESULTADO INDEXADO'!BA16,IF('INTRODUCIR DATOS'!$D$20="JULIO",'RESULTADO INDEXADO'!BH16,IF('INTRODUCIR DATOS'!$D$20="AGOSTO",'RESULTADO INDEXADO'!BO16,IF('INTRODUCIR DATOS'!$D$20="SEPTIEMBRE",'RESULTADO INDEXADO'!BV16,IF('INTRODUCIR DATOS'!$D$20="OCTUBRE",'RESULTADO INDEXADO'!CC16,IF('INTRODUCIR DATOS'!$D$20="NOVIEMBRE",'RESULTADO INDEXADO'!CJ16,IF('INTRODUCIR DATOS'!$D$20="DICIEMBRE",'RESULTADO INDEXADO'!CQ16))))))))))))</f>
        <v>0</v>
      </c>
      <c r="I16" s="257" t="b">
        <f>IF('INTRODUCIR DATOS'!$D$20="ENERO",'RESULTADO INDEXADO'!S16,IF('INTRODUCIR DATOS'!$D$20="FEBRERO",'RESULTADO INDEXADO'!Z16,IF('INTRODUCIR DATOS'!$D$20="MARZO",'RESULTADO INDEXADO'!AG16,IF('INTRODUCIR DATOS'!$D$20="ABRIL",'RESULTADO INDEXADO'!AN16,IF('INTRODUCIR DATOS'!$D$20="MAYO",'RESULTADO INDEXADO'!AU16,IF('INTRODUCIR DATOS'!$D$20="JUNIO",'RESULTADO INDEXADO'!BB16,IF('INTRODUCIR DATOS'!$D$20="JULIO",'RESULTADO INDEXADO'!BI16,IF('INTRODUCIR DATOS'!$D$20="AGOSTO",'RESULTADO INDEXADO'!BP16,IF('INTRODUCIR DATOS'!$D$20="SEPTIEMBRE",'RESULTADO INDEXADO'!BW16,IF('INTRODUCIR DATOS'!$D$20="OCTUBRE",'RESULTADO INDEXADO'!CD16,IF('INTRODUCIR DATOS'!$D$20="NOVIEMBRE",'RESULTADO INDEXADO'!CK16,IF('INTRODUCIR DATOS'!$D$20="DICIEMBRE",'RESULTADO INDEXADO'!CR16))))))))))))</f>
        <v>0</v>
      </c>
      <c r="J16" s="296" t="b">
        <f>IF('INTRODUCIR DATOS'!$D$20="ENERO",'RESULTADO INDEXADO'!T16,IF('INTRODUCIR DATOS'!$D$20="FEBRERO",'RESULTADO INDEXADO'!AA16,IF('INTRODUCIR DATOS'!$D$20="MARZO",'RESULTADO INDEXADO'!AH16,IF('INTRODUCIR DATOS'!$D$20="ABRIL",'RESULTADO INDEXADO'!AO16,IF('INTRODUCIR DATOS'!$D$20="MAYO",'RESULTADO INDEXADO'!AV16,IF('INTRODUCIR DATOS'!$D$20="JUNIO",'RESULTADO INDEXADO'!BC16,IF('INTRODUCIR DATOS'!$D$20="JULIO",'RESULTADO INDEXADO'!BJ16,IF('INTRODUCIR DATOS'!$D$20="AGOSTO",'RESULTADO INDEXADO'!BQ16,IF('INTRODUCIR DATOS'!$D$20="SEPTIEMBRE",'RESULTADO INDEXADO'!BX16,IF('INTRODUCIR DATOS'!$D$20="OCTUBRE",'RESULTADO INDEXADO'!CE16,IF('INTRODUCIR DATOS'!$D$20="NOVIEMBRE",'RESULTADO INDEXADO'!CL16,IF('INTRODUCIR DATOS'!$D$20="DICIEMBRE",'RESULTADO INDEXADO'!CS16))))))))))))</f>
        <v>0</v>
      </c>
      <c r="K16" s="41"/>
      <c r="L16" s="40"/>
      <c r="M16" s="145"/>
      <c r="N16" s="311" t="s">
        <v>134</v>
      </c>
      <c r="O16" s="267">
        <v>9.9240164383561633E-2</v>
      </c>
      <c r="P16" s="256">
        <v>1.9107832876712329E-2</v>
      </c>
      <c r="Q16" s="257"/>
      <c r="R16" s="257"/>
      <c r="S16" s="257"/>
      <c r="T16" s="258"/>
      <c r="U16" s="279" t="s">
        <v>134</v>
      </c>
      <c r="V16" s="267">
        <v>9.9240164383561633E-2</v>
      </c>
      <c r="W16" s="256">
        <v>1.9107832876712329E-2</v>
      </c>
      <c r="X16" s="257"/>
      <c r="Y16" s="257"/>
      <c r="Z16" s="257"/>
      <c r="AA16" s="258"/>
      <c r="AB16" s="279" t="s">
        <v>134</v>
      </c>
      <c r="AC16" s="267">
        <v>9.9240164383561633E-2</v>
      </c>
      <c r="AD16" s="256">
        <v>1.9107832876712329E-2</v>
      </c>
      <c r="AE16" s="257"/>
      <c r="AF16" s="257"/>
      <c r="AG16" s="257"/>
      <c r="AH16" s="258"/>
      <c r="AI16" s="279" t="s">
        <v>134</v>
      </c>
      <c r="AJ16" s="267">
        <v>9.9240164383561633E-2</v>
      </c>
      <c r="AK16" s="256">
        <v>1.9107832876712329E-2</v>
      </c>
      <c r="AL16" s="257"/>
      <c r="AM16" s="257"/>
      <c r="AN16" s="257"/>
      <c r="AO16" s="258"/>
      <c r="AP16" s="279" t="s">
        <v>134</v>
      </c>
      <c r="AQ16" s="267">
        <v>9.9240164383561633E-2</v>
      </c>
      <c r="AR16" s="256">
        <v>1.9107832876712329E-2</v>
      </c>
      <c r="AS16" s="257"/>
      <c r="AT16" s="257"/>
      <c r="AU16" s="257"/>
      <c r="AV16" s="258"/>
      <c r="AW16" s="279" t="s">
        <v>134</v>
      </c>
      <c r="AX16" s="267">
        <v>9.9240164383561633E-2</v>
      </c>
      <c r="AY16" s="256">
        <v>1.9107832876712329E-2</v>
      </c>
      <c r="AZ16" s="257"/>
      <c r="BA16" s="257"/>
      <c r="BB16" s="257"/>
      <c r="BC16" s="258"/>
      <c r="BD16" s="279" t="s">
        <v>134</v>
      </c>
      <c r="BE16" s="267">
        <v>9.9240164383561633E-2</v>
      </c>
      <c r="BF16" s="256">
        <v>1.9107832876712329E-2</v>
      </c>
      <c r="BG16" s="257"/>
      <c r="BH16" s="257"/>
      <c r="BI16" s="257"/>
      <c r="BJ16" s="258"/>
      <c r="BK16" s="279" t="s">
        <v>134</v>
      </c>
      <c r="BL16" s="267">
        <v>9.9240164383561633E-2</v>
      </c>
      <c r="BM16" s="256">
        <v>1.9107832876712329E-2</v>
      </c>
      <c r="BN16" s="257"/>
      <c r="BO16" s="257"/>
      <c r="BP16" s="257"/>
      <c r="BQ16" s="258"/>
      <c r="BR16" s="279" t="s">
        <v>134</v>
      </c>
      <c r="BS16" s="267">
        <v>9.9240164383561633E-2</v>
      </c>
      <c r="BT16" s="256">
        <v>1.9107832876712329E-2</v>
      </c>
      <c r="BU16" s="257"/>
      <c r="BV16" s="257"/>
      <c r="BW16" s="257"/>
      <c r="BX16" s="258"/>
      <c r="BY16" s="279" t="s">
        <v>134</v>
      </c>
      <c r="BZ16" s="267">
        <v>9.9240164383561633E-2</v>
      </c>
      <c r="CA16" s="256">
        <v>1.9107832876712329E-2</v>
      </c>
      <c r="CB16" s="257"/>
      <c r="CC16" s="257"/>
      <c r="CD16" s="257"/>
      <c r="CE16" s="258"/>
      <c r="CF16" s="279" t="s">
        <v>134</v>
      </c>
      <c r="CG16" s="267">
        <v>9.9240164383561633E-2</v>
      </c>
      <c r="CH16" s="256">
        <v>1.9107832876712329E-2</v>
      </c>
      <c r="CI16" s="257"/>
      <c r="CJ16" s="257"/>
      <c r="CK16" s="257"/>
      <c r="CL16" s="258"/>
      <c r="CM16" s="279" t="s">
        <v>134</v>
      </c>
      <c r="CN16" s="267">
        <v>9.9240164383561633E-2</v>
      </c>
      <c r="CO16" s="256">
        <v>1.9107832876712329E-2</v>
      </c>
      <c r="CP16" s="257"/>
      <c r="CQ16" s="257"/>
      <c r="CR16" s="257"/>
      <c r="CS16" s="258"/>
    </row>
    <row r="17" spans="1:97">
      <c r="A17" s="41" t="s">
        <v>17</v>
      </c>
      <c r="B17" s="40" t="s">
        <v>27</v>
      </c>
      <c r="C17" s="335" t="s">
        <v>34</v>
      </c>
      <c r="D17" s="278" t="s">
        <v>136</v>
      </c>
      <c r="E17" s="266" t="b">
        <f>IF('INTRODUCIR DATOS'!$D$20="ENERO",'RESULTADO INDEXADO'!O17,IF('INTRODUCIR DATOS'!$D$20="FEBRERO",'RESULTADO INDEXADO'!V17,IF('INTRODUCIR DATOS'!$D$20="MARZO",'RESULTADO INDEXADO'!AC17,IF('INTRODUCIR DATOS'!$D$20="ABRIL",'RESULTADO INDEXADO'!AJ17,IF('INTRODUCIR DATOS'!$D$20="MAYO",'RESULTADO INDEXADO'!AQ17,IF('INTRODUCIR DATOS'!$D$20="JUNIO",'RESULTADO INDEXADO'!AX17,IF('INTRODUCIR DATOS'!$D$20="JULIO",'RESULTADO INDEXADO'!BE17,IF('INTRODUCIR DATOS'!$D$20="AGOSTO",'RESULTADO INDEXADO'!BL17,IF('INTRODUCIR DATOS'!$D$20="SEPTIEMBRE",'RESULTADO INDEXADO'!BS17,IF('INTRODUCIR DATOS'!$D$20="OCTUBRE",'RESULTADO INDEXADO'!BZ17,IF('INTRODUCIR DATOS'!$D$20="NOVIEMBRE",'RESULTADO INDEXADO'!CG17,IF('INTRODUCIR DATOS'!$D$20="DICIEMBRE",'RESULTADO INDEXADO'!CN17))))))))))))</f>
        <v>0</v>
      </c>
      <c r="F17" s="253" t="b">
        <f>IF('INTRODUCIR DATOS'!$D$20="ENERO",'RESULTADO INDEXADO'!P17,IF('INTRODUCIR DATOS'!$D$20="FEBRERO",'RESULTADO INDEXADO'!W17,IF('INTRODUCIR DATOS'!$D$20="MARZO",'RESULTADO INDEXADO'!AD17,IF('INTRODUCIR DATOS'!$D$20="ABRIL",'RESULTADO INDEXADO'!AK17,IF('INTRODUCIR DATOS'!$D$20="MAYO",'RESULTADO INDEXADO'!AR17,IF('INTRODUCIR DATOS'!$D$20="JUNIO",'RESULTADO INDEXADO'!AY17,IF('INTRODUCIR DATOS'!$D$20="JULIO",'RESULTADO INDEXADO'!BF17,IF('INTRODUCIR DATOS'!$D$20="AGOSTO",'RESULTADO INDEXADO'!BM17,IF('INTRODUCIR DATOS'!$D$20="SEPTIEMBRE",'RESULTADO INDEXADO'!BT17,IF('INTRODUCIR DATOS'!$D$20="OCTUBRE",'RESULTADO INDEXADO'!CA17,IF('INTRODUCIR DATOS'!$D$20="NOVIEMBRE",'RESULTADO INDEXADO'!CH17,IF('INTRODUCIR DATOS'!$D$20="DICIEMBRE",'RESULTADO INDEXADO'!CO17))))))))))))</f>
        <v>0</v>
      </c>
      <c r="G17" s="253" t="b">
        <f>IF('INTRODUCIR DATOS'!$D$20="ENERO",'RESULTADO INDEXADO'!Q17,IF('INTRODUCIR DATOS'!$D$20="FEBRERO",'RESULTADO INDEXADO'!X17,IF('INTRODUCIR DATOS'!$D$20="MARZO",'RESULTADO INDEXADO'!AE17,IF('INTRODUCIR DATOS'!$D$20="ABRIL",'RESULTADO INDEXADO'!AL17,IF('INTRODUCIR DATOS'!$D$20="MAYO",'RESULTADO INDEXADO'!AS17,IF('INTRODUCIR DATOS'!$D$20="JUNIO",'RESULTADO INDEXADO'!AZ17,IF('INTRODUCIR DATOS'!$D$20="JULIO",'RESULTADO INDEXADO'!BG17,IF('INTRODUCIR DATOS'!$D$20="AGOSTO",'RESULTADO INDEXADO'!BN17,IF('INTRODUCIR DATOS'!$D$20="SEPTIEMBRE",'RESULTADO INDEXADO'!BU17,IF('INTRODUCIR DATOS'!$D$20="OCTUBRE",'RESULTADO INDEXADO'!CB17,IF('INTRODUCIR DATOS'!$D$20="NOVIEMBRE",'RESULTADO INDEXADO'!CI17,IF('INTRODUCIR DATOS'!$D$20="DICIEMBRE",'RESULTADO INDEXADO'!CP17))))))))))))</f>
        <v>0</v>
      </c>
      <c r="H17" s="254" t="b">
        <f>IF('INTRODUCIR DATOS'!$D$20="ENERO",'RESULTADO INDEXADO'!R17,IF('INTRODUCIR DATOS'!$D$20="FEBRERO",'RESULTADO INDEXADO'!Y17,IF('INTRODUCIR DATOS'!$D$20="MARZO",'RESULTADO INDEXADO'!AF17,IF('INTRODUCIR DATOS'!$D$20="ABRIL",'RESULTADO INDEXADO'!AM17,IF('INTRODUCIR DATOS'!$D$20="MAYO",'RESULTADO INDEXADO'!AT17,IF('INTRODUCIR DATOS'!$D$20="JUNIO",'RESULTADO INDEXADO'!BA17,IF('INTRODUCIR DATOS'!$D$20="JULIO",'RESULTADO INDEXADO'!BH17,IF('INTRODUCIR DATOS'!$D$20="AGOSTO",'RESULTADO INDEXADO'!BO17,IF('INTRODUCIR DATOS'!$D$20="SEPTIEMBRE",'RESULTADO INDEXADO'!BV17,IF('INTRODUCIR DATOS'!$D$20="OCTUBRE",'RESULTADO INDEXADO'!CC17,IF('INTRODUCIR DATOS'!$D$20="NOVIEMBRE",'RESULTADO INDEXADO'!CJ17,IF('INTRODUCIR DATOS'!$D$20="DICIEMBRE",'RESULTADO INDEXADO'!CQ17))))))))))))</f>
        <v>0</v>
      </c>
      <c r="I17" s="254" t="b">
        <f>IF('INTRODUCIR DATOS'!$D$20="ENERO",'RESULTADO INDEXADO'!S17,IF('INTRODUCIR DATOS'!$D$20="FEBRERO",'RESULTADO INDEXADO'!Z17,IF('INTRODUCIR DATOS'!$D$20="MARZO",'RESULTADO INDEXADO'!AG17,IF('INTRODUCIR DATOS'!$D$20="ABRIL",'RESULTADO INDEXADO'!AN17,IF('INTRODUCIR DATOS'!$D$20="MAYO",'RESULTADO INDEXADO'!AU17,IF('INTRODUCIR DATOS'!$D$20="JUNIO",'RESULTADO INDEXADO'!BB17,IF('INTRODUCIR DATOS'!$D$20="JULIO",'RESULTADO INDEXADO'!BI17,IF('INTRODUCIR DATOS'!$D$20="AGOSTO",'RESULTADO INDEXADO'!BP17,IF('INTRODUCIR DATOS'!$D$20="SEPTIEMBRE",'RESULTADO INDEXADO'!BW17,IF('INTRODUCIR DATOS'!$D$20="OCTUBRE",'RESULTADO INDEXADO'!CD17,IF('INTRODUCIR DATOS'!$D$20="NOVIEMBRE",'RESULTADO INDEXADO'!CK17,IF('INTRODUCIR DATOS'!$D$20="DICIEMBRE",'RESULTADO INDEXADO'!CR17))))))))))))</f>
        <v>0</v>
      </c>
      <c r="J17" s="295" t="b">
        <f>IF('INTRODUCIR DATOS'!$D$20="ENERO",'RESULTADO INDEXADO'!T17,IF('INTRODUCIR DATOS'!$D$20="FEBRERO",'RESULTADO INDEXADO'!AA17,IF('INTRODUCIR DATOS'!$D$20="MARZO",'RESULTADO INDEXADO'!AH17,IF('INTRODUCIR DATOS'!$D$20="ABRIL",'RESULTADO INDEXADO'!AO17,IF('INTRODUCIR DATOS'!$D$20="MAYO",'RESULTADO INDEXADO'!AV17,IF('INTRODUCIR DATOS'!$D$20="JUNIO",'RESULTADO INDEXADO'!BC17,IF('INTRODUCIR DATOS'!$D$20="JULIO",'RESULTADO INDEXADO'!BJ17,IF('INTRODUCIR DATOS'!$D$20="AGOSTO",'RESULTADO INDEXADO'!BQ17,IF('INTRODUCIR DATOS'!$D$20="SEPTIEMBRE",'RESULTADO INDEXADO'!BX17,IF('INTRODUCIR DATOS'!$D$20="OCTUBRE",'RESULTADO INDEXADO'!CE17,IF('INTRODUCIR DATOS'!$D$20="NOVIEMBRE",'RESULTADO INDEXADO'!CL17,IF('INTRODUCIR DATOS'!$D$20="DICIEMBRE",'RESULTADO INDEXADO'!CS17))))))))))))</f>
        <v>0</v>
      </c>
      <c r="K17" s="290">
        <f>('INTRODUCIR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DATOS'!$D$17)+'INTRODUCIR DATOS'!$D$15+'INTRODUCIR DATOS'!$D$16+IF('INTRODUCIR DATOS'!$D$21=21%,(('INTRODUCIR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DATOS'!$D$17)+'INTRODUCIR DATOS'!$D$16)*21/100,IF('INTRODUCIR DATOS'!$D$21=10%,(('INTRODUCIR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DATOS'!$D$17)+'INTRODUCIR DATOS'!$D$16)*10/100))</f>
        <v>1.0285</v>
      </c>
      <c r="L17" s="292">
        <f>IF(K17=0,"",'INTRODUCIR DATOS'!$D$14-K17)</f>
        <v>113.12150000000001</v>
      </c>
      <c r="M17" s="271">
        <f>IF(K17=0,"",('INTRODUCIR DATOS'!$D$14-K17)/'INTRODUCIR DATOS'!$D$14)</f>
        <v>0.99098992553657472</v>
      </c>
      <c r="N17" s="310" t="s">
        <v>136</v>
      </c>
      <c r="O17" s="266">
        <v>0.240007</v>
      </c>
      <c r="P17" s="253">
        <v>0.138934</v>
      </c>
      <c r="Q17" s="253">
        <v>7.9979999999999996E-2</v>
      </c>
      <c r="R17" s="254"/>
      <c r="S17" s="254"/>
      <c r="T17" s="255"/>
      <c r="U17" s="278" t="s">
        <v>136</v>
      </c>
      <c r="V17" s="266">
        <v>0.195435</v>
      </c>
      <c r="W17" s="253">
        <v>9.3632000000000007E-2</v>
      </c>
      <c r="X17" s="253">
        <v>4.4873999999999997E-2</v>
      </c>
      <c r="Y17" s="254"/>
      <c r="Z17" s="254"/>
      <c r="AA17" s="255"/>
      <c r="AB17" s="278" t="s">
        <v>136</v>
      </c>
      <c r="AC17" s="266">
        <v>0.20803099999999999</v>
      </c>
      <c r="AD17" s="253">
        <v>0.110124</v>
      </c>
      <c r="AE17" s="253">
        <v>6.9517999999999996E-2</v>
      </c>
      <c r="AF17" s="254"/>
      <c r="AG17" s="254"/>
      <c r="AH17" s="255"/>
      <c r="AI17" s="278" t="s">
        <v>136</v>
      </c>
      <c r="AJ17" s="266">
        <v>0.22823399999999999</v>
      </c>
      <c r="AK17" s="253">
        <v>0.13115299999999999</v>
      </c>
      <c r="AL17" s="253">
        <v>9.3729000000000007E-2</v>
      </c>
      <c r="AM17" s="254"/>
      <c r="AN17" s="254"/>
      <c r="AO17" s="255"/>
      <c r="AP17" s="278" t="s">
        <v>136</v>
      </c>
      <c r="AQ17" s="266">
        <v>0.23130000000000001</v>
      </c>
      <c r="AR17" s="253">
        <v>0.13506899999999999</v>
      </c>
      <c r="AS17" s="253">
        <v>9.3432000000000001E-2</v>
      </c>
      <c r="AT17" s="254"/>
      <c r="AU17" s="254"/>
      <c r="AV17" s="255"/>
      <c r="AW17" s="278" t="s">
        <v>136</v>
      </c>
      <c r="AX17" s="266">
        <v>0.245583</v>
      </c>
      <c r="AY17" s="253">
        <v>0.150225</v>
      </c>
      <c r="AZ17" s="253">
        <v>0.110927</v>
      </c>
      <c r="BA17" s="254"/>
      <c r="BB17" s="254"/>
      <c r="BC17" s="255"/>
      <c r="BD17" s="278" t="s">
        <v>136</v>
      </c>
      <c r="BE17" s="266">
        <v>0.25892500000000002</v>
      </c>
      <c r="BF17" s="253">
        <v>0.16316900000000001</v>
      </c>
      <c r="BG17" s="253">
        <v>0.123876</v>
      </c>
      <c r="BH17" s="254"/>
      <c r="BI17" s="254"/>
      <c r="BJ17" s="255"/>
      <c r="BK17" s="278" t="s">
        <v>136</v>
      </c>
      <c r="BL17" s="266">
        <v>0.27539599999999997</v>
      </c>
      <c r="BM17" s="253">
        <v>0.180227</v>
      </c>
      <c r="BN17" s="253">
        <v>0.13824800000000001</v>
      </c>
      <c r="BO17" s="254"/>
      <c r="BP17" s="254"/>
      <c r="BQ17" s="255"/>
      <c r="BR17" s="278" t="s">
        <v>136</v>
      </c>
      <c r="BS17" s="266"/>
      <c r="BT17" s="253"/>
      <c r="BU17" s="253"/>
      <c r="BV17" s="254"/>
      <c r="BW17" s="254"/>
      <c r="BX17" s="255"/>
      <c r="BY17" s="278" t="s">
        <v>136</v>
      </c>
      <c r="BZ17" s="266"/>
      <c r="CA17" s="253"/>
      <c r="CB17" s="253"/>
      <c r="CC17" s="254"/>
      <c r="CD17" s="254"/>
      <c r="CE17" s="255"/>
      <c r="CF17" s="278" t="s">
        <v>136</v>
      </c>
      <c r="CG17" s="266"/>
      <c r="CH17" s="253"/>
      <c r="CI17" s="253"/>
      <c r="CJ17" s="254"/>
      <c r="CK17" s="254"/>
      <c r="CL17" s="255"/>
      <c r="CM17" s="278" t="s">
        <v>136</v>
      </c>
      <c r="CN17" s="266"/>
      <c r="CO17" s="253"/>
      <c r="CP17" s="253"/>
      <c r="CQ17" s="254"/>
      <c r="CR17" s="254"/>
      <c r="CS17" s="255"/>
    </row>
    <row r="18" spans="1:97">
      <c r="A18" s="41" t="s">
        <v>17</v>
      </c>
      <c r="B18" s="40" t="s">
        <v>29</v>
      </c>
      <c r="C18" s="335" t="s">
        <v>34</v>
      </c>
      <c r="D18" s="279" t="s">
        <v>134</v>
      </c>
      <c r="E18" s="267" t="b">
        <f>IF('INTRODUCIR DATOS'!$D$20="ENERO",'RESULTADO INDEXADO'!O18,IF('INTRODUCIR DATOS'!$D$20="FEBRERO",'RESULTADO INDEXADO'!V18,IF('INTRODUCIR DATOS'!$D$20="MARZO",'RESULTADO INDEXADO'!AC18,IF('INTRODUCIR DATOS'!$D$20="ABRIL",'RESULTADO INDEXADO'!AJ18,IF('INTRODUCIR DATOS'!$D$20="MAYO",'RESULTADO INDEXADO'!AQ18,IF('INTRODUCIR DATOS'!$D$20="JUNIO",'RESULTADO INDEXADO'!AX18,IF('INTRODUCIR DATOS'!$D$20="JULIO",'RESULTADO INDEXADO'!BE18,IF('INTRODUCIR DATOS'!$D$20="AGOSTO",'RESULTADO INDEXADO'!BL18,IF('INTRODUCIR DATOS'!$D$20="SEPTIEMBRE",'RESULTADO INDEXADO'!BS18,IF('INTRODUCIR DATOS'!$D$20="OCTUBRE",'RESULTADO INDEXADO'!BZ18,IF('INTRODUCIR DATOS'!$D$20="NOVIEMBRE",'RESULTADO INDEXADO'!CG18,IF('INTRODUCIR DATOS'!$D$20="DICIEMBRE",'RESULTADO INDEXADO'!CN18))))))))))))</f>
        <v>0</v>
      </c>
      <c r="F18" s="256" t="b">
        <f>IF('INTRODUCIR DATOS'!$D$20="ENERO",'RESULTADO INDEXADO'!P18,IF('INTRODUCIR DATOS'!$D$20="FEBRERO",'RESULTADO INDEXADO'!W18,IF('INTRODUCIR DATOS'!$D$20="MARZO",'RESULTADO INDEXADO'!AD18,IF('INTRODUCIR DATOS'!$D$20="ABRIL",'RESULTADO INDEXADO'!AK18,IF('INTRODUCIR DATOS'!$D$20="MAYO",'RESULTADO INDEXADO'!AR18,IF('INTRODUCIR DATOS'!$D$20="JUNIO",'RESULTADO INDEXADO'!AY18,IF('INTRODUCIR DATOS'!$D$20="JULIO",'RESULTADO INDEXADO'!BF18,IF('INTRODUCIR DATOS'!$D$20="AGOSTO",'RESULTADO INDEXADO'!BM18,IF('INTRODUCIR DATOS'!$D$20="SEPTIEMBRE",'RESULTADO INDEXADO'!BT18,IF('INTRODUCIR DATOS'!$D$20="OCTUBRE",'RESULTADO INDEXADO'!CA18,IF('INTRODUCIR DATOS'!$D$20="NOVIEMBRE",'RESULTADO INDEXADO'!CH18,IF('INTRODUCIR DATOS'!$D$20="DICIEMBRE",'RESULTADO INDEXADO'!CO18))))))))))))</f>
        <v>0</v>
      </c>
      <c r="G18" s="257" t="b">
        <f>IF('INTRODUCIR DATOS'!$D$20="ENERO",'RESULTADO INDEXADO'!Q18,IF('INTRODUCIR DATOS'!$D$20="FEBRERO",'RESULTADO INDEXADO'!X18,IF('INTRODUCIR DATOS'!$D$20="MARZO",'RESULTADO INDEXADO'!AE18,IF('INTRODUCIR DATOS'!$D$20="ABRIL",'RESULTADO INDEXADO'!AL18,IF('INTRODUCIR DATOS'!$D$20="MAYO",'RESULTADO INDEXADO'!AS18,IF('INTRODUCIR DATOS'!$D$20="JUNIO",'RESULTADO INDEXADO'!AZ18,IF('INTRODUCIR DATOS'!$D$20="JULIO",'RESULTADO INDEXADO'!BG18,IF('INTRODUCIR DATOS'!$D$20="AGOSTO",'RESULTADO INDEXADO'!BN18,IF('INTRODUCIR DATOS'!$D$20="SEPTIEMBRE",'RESULTADO INDEXADO'!BU18,IF('INTRODUCIR DATOS'!$D$20="OCTUBRE",'RESULTADO INDEXADO'!CB18,IF('INTRODUCIR DATOS'!$D$20="NOVIEMBRE",'RESULTADO INDEXADO'!CI18,IF('INTRODUCIR DATOS'!$D$20="DICIEMBRE",'RESULTADO INDEXADO'!CP18))))))))))))</f>
        <v>0</v>
      </c>
      <c r="H18" s="257" t="b">
        <f>IF('INTRODUCIR DATOS'!$D$20="ENERO",'RESULTADO INDEXADO'!R18,IF('INTRODUCIR DATOS'!$D$20="FEBRERO",'RESULTADO INDEXADO'!Y18,IF('INTRODUCIR DATOS'!$D$20="MARZO",'RESULTADO INDEXADO'!AF18,IF('INTRODUCIR DATOS'!$D$20="ABRIL",'RESULTADO INDEXADO'!AM18,IF('INTRODUCIR DATOS'!$D$20="MAYO",'RESULTADO INDEXADO'!AT18,IF('INTRODUCIR DATOS'!$D$20="JUNIO",'RESULTADO INDEXADO'!BA18,IF('INTRODUCIR DATOS'!$D$20="JULIO",'RESULTADO INDEXADO'!BH18,IF('INTRODUCIR DATOS'!$D$20="AGOSTO",'RESULTADO INDEXADO'!BO18,IF('INTRODUCIR DATOS'!$D$20="SEPTIEMBRE",'RESULTADO INDEXADO'!BV18,IF('INTRODUCIR DATOS'!$D$20="OCTUBRE",'RESULTADO INDEXADO'!CC18,IF('INTRODUCIR DATOS'!$D$20="NOVIEMBRE",'RESULTADO INDEXADO'!CJ18,IF('INTRODUCIR DATOS'!$D$20="DICIEMBRE",'RESULTADO INDEXADO'!CQ18))))))))))))</f>
        <v>0</v>
      </c>
      <c r="I18" s="257" t="b">
        <f>IF('INTRODUCIR DATOS'!$D$20="ENERO",'RESULTADO INDEXADO'!S18,IF('INTRODUCIR DATOS'!$D$20="FEBRERO",'RESULTADO INDEXADO'!Z18,IF('INTRODUCIR DATOS'!$D$20="MARZO",'RESULTADO INDEXADO'!AG18,IF('INTRODUCIR DATOS'!$D$20="ABRIL",'RESULTADO INDEXADO'!AN18,IF('INTRODUCIR DATOS'!$D$20="MAYO",'RESULTADO INDEXADO'!AU18,IF('INTRODUCIR DATOS'!$D$20="JUNIO",'RESULTADO INDEXADO'!BB18,IF('INTRODUCIR DATOS'!$D$20="JULIO",'RESULTADO INDEXADO'!BI18,IF('INTRODUCIR DATOS'!$D$20="AGOSTO",'RESULTADO INDEXADO'!BP18,IF('INTRODUCIR DATOS'!$D$20="SEPTIEMBRE",'RESULTADO INDEXADO'!BW18,IF('INTRODUCIR DATOS'!$D$20="OCTUBRE",'RESULTADO INDEXADO'!CD18,IF('INTRODUCIR DATOS'!$D$20="NOVIEMBRE",'RESULTADO INDEXADO'!CK18,IF('INTRODUCIR DATOS'!$D$20="DICIEMBRE",'RESULTADO INDEXADO'!CR18))))))))))))</f>
        <v>0</v>
      </c>
      <c r="J18" s="296" t="b">
        <f>IF('INTRODUCIR DATOS'!$D$20="ENERO",'RESULTADO INDEXADO'!T18,IF('INTRODUCIR DATOS'!$D$20="FEBRERO",'RESULTADO INDEXADO'!AA18,IF('INTRODUCIR DATOS'!$D$20="MARZO",'RESULTADO INDEXADO'!AH18,IF('INTRODUCIR DATOS'!$D$20="ABRIL",'RESULTADO INDEXADO'!AO18,IF('INTRODUCIR DATOS'!$D$20="MAYO",'RESULTADO INDEXADO'!AV18,IF('INTRODUCIR DATOS'!$D$20="JUNIO",'RESULTADO INDEXADO'!BC18,IF('INTRODUCIR DATOS'!$D$20="JULIO",'RESULTADO INDEXADO'!BJ18,IF('INTRODUCIR DATOS'!$D$20="AGOSTO",'RESULTADO INDEXADO'!BQ18,IF('INTRODUCIR DATOS'!$D$20="SEPTIEMBRE",'RESULTADO INDEXADO'!BX18,IF('INTRODUCIR DATOS'!$D$20="OCTUBRE",'RESULTADO INDEXADO'!CE18,IF('INTRODUCIR DATOS'!$D$20="NOVIEMBRE",'RESULTADO INDEXADO'!CL18,IF('INTRODUCIR DATOS'!$D$20="DICIEMBRE",'RESULTADO INDEXADO'!CS18))))))))))))</f>
        <v>0</v>
      </c>
      <c r="K18" s="41"/>
      <c r="L18" s="40"/>
      <c r="M18" s="145"/>
      <c r="N18" s="311" t="s">
        <v>134</v>
      </c>
      <c r="O18" s="267">
        <v>9.4445643835616433E-2</v>
      </c>
      <c r="P18" s="256">
        <v>1.4313312328767123E-2</v>
      </c>
      <c r="Q18" s="257"/>
      <c r="R18" s="257"/>
      <c r="S18" s="257"/>
      <c r="T18" s="258"/>
      <c r="U18" s="279" t="s">
        <v>134</v>
      </c>
      <c r="V18" s="267">
        <v>9.4445643835616433E-2</v>
      </c>
      <c r="W18" s="256">
        <v>1.4313312328767123E-2</v>
      </c>
      <c r="X18" s="257"/>
      <c r="Y18" s="257"/>
      <c r="Z18" s="257"/>
      <c r="AA18" s="258"/>
      <c r="AB18" s="279" t="s">
        <v>134</v>
      </c>
      <c r="AC18" s="267">
        <v>9.4445643835616433E-2</v>
      </c>
      <c r="AD18" s="256">
        <v>1.4313312328767123E-2</v>
      </c>
      <c r="AE18" s="257"/>
      <c r="AF18" s="257"/>
      <c r="AG18" s="257"/>
      <c r="AH18" s="258"/>
      <c r="AI18" s="279" t="s">
        <v>134</v>
      </c>
      <c r="AJ18" s="267">
        <v>9.4445643835616433E-2</v>
      </c>
      <c r="AK18" s="256">
        <v>1.4313312328767123E-2</v>
      </c>
      <c r="AL18" s="257"/>
      <c r="AM18" s="257"/>
      <c r="AN18" s="257"/>
      <c r="AO18" s="258"/>
      <c r="AP18" s="279" t="s">
        <v>134</v>
      </c>
      <c r="AQ18" s="267">
        <v>9.4445643835616433E-2</v>
      </c>
      <c r="AR18" s="256">
        <v>1.4313312328767123E-2</v>
      </c>
      <c r="AS18" s="257"/>
      <c r="AT18" s="257"/>
      <c r="AU18" s="257"/>
      <c r="AV18" s="258"/>
      <c r="AW18" s="279" t="s">
        <v>134</v>
      </c>
      <c r="AX18" s="267">
        <v>9.4445643835616433E-2</v>
      </c>
      <c r="AY18" s="256">
        <v>1.4313312328767123E-2</v>
      </c>
      <c r="AZ18" s="257"/>
      <c r="BA18" s="257"/>
      <c r="BB18" s="257"/>
      <c r="BC18" s="258"/>
      <c r="BD18" s="279" t="s">
        <v>134</v>
      </c>
      <c r="BE18" s="267">
        <v>9.4445643835616433E-2</v>
      </c>
      <c r="BF18" s="256">
        <v>1.4313312328767123E-2</v>
      </c>
      <c r="BG18" s="257"/>
      <c r="BH18" s="257"/>
      <c r="BI18" s="257"/>
      <c r="BJ18" s="258"/>
      <c r="BK18" s="279" t="s">
        <v>134</v>
      </c>
      <c r="BL18" s="267">
        <v>9.4445643835616433E-2</v>
      </c>
      <c r="BM18" s="256">
        <v>1.4313312328767123E-2</v>
      </c>
      <c r="BN18" s="257"/>
      <c r="BO18" s="257"/>
      <c r="BP18" s="257"/>
      <c r="BQ18" s="258"/>
      <c r="BR18" s="279" t="s">
        <v>134</v>
      </c>
      <c r="BS18" s="267">
        <v>9.4445643835616433E-2</v>
      </c>
      <c r="BT18" s="256">
        <v>1.4313312328767123E-2</v>
      </c>
      <c r="BU18" s="257"/>
      <c r="BV18" s="257"/>
      <c r="BW18" s="257"/>
      <c r="BX18" s="258"/>
      <c r="BY18" s="279" t="s">
        <v>134</v>
      </c>
      <c r="BZ18" s="267">
        <v>9.4445643835616433E-2</v>
      </c>
      <c r="CA18" s="256">
        <v>1.4313312328767123E-2</v>
      </c>
      <c r="CB18" s="257"/>
      <c r="CC18" s="257"/>
      <c r="CD18" s="257"/>
      <c r="CE18" s="258"/>
      <c r="CF18" s="279" t="s">
        <v>134</v>
      </c>
      <c r="CG18" s="267">
        <v>9.4445643835616433E-2</v>
      </c>
      <c r="CH18" s="256">
        <v>1.4313312328767123E-2</v>
      </c>
      <c r="CI18" s="257"/>
      <c r="CJ18" s="257"/>
      <c r="CK18" s="257"/>
      <c r="CL18" s="258"/>
      <c r="CM18" s="279" t="s">
        <v>134</v>
      </c>
      <c r="CN18" s="267">
        <v>9.4445643835616433E-2</v>
      </c>
      <c r="CO18" s="256">
        <v>1.4313312328767123E-2</v>
      </c>
      <c r="CP18" s="257"/>
      <c r="CQ18" s="257"/>
      <c r="CR18" s="257"/>
      <c r="CS18" s="258"/>
    </row>
    <row r="19" spans="1:97">
      <c r="A19" s="41" t="s">
        <v>17</v>
      </c>
      <c r="B19" s="40" t="s">
        <v>29</v>
      </c>
      <c r="C19" s="335" t="s">
        <v>34</v>
      </c>
      <c r="D19" s="278" t="s">
        <v>136</v>
      </c>
      <c r="E19" s="266" t="b">
        <f>IF('INTRODUCIR DATOS'!$D$20="ENERO",'RESULTADO INDEXADO'!O19,IF('INTRODUCIR DATOS'!$D$20="FEBRERO",'RESULTADO INDEXADO'!V19,IF('INTRODUCIR DATOS'!$D$20="MARZO",'RESULTADO INDEXADO'!AC19,IF('INTRODUCIR DATOS'!$D$20="ABRIL",'RESULTADO INDEXADO'!AJ19,IF('INTRODUCIR DATOS'!$D$20="MAYO",'RESULTADO INDEXADO'!AQ19,IF('INTRODUCIR DATOS'!$D$20="JUNIO",'RESULTADO INDEXADO'!AX19,IF('INTRODUCIR DATOS'!$D$20="JULIO",'RESULTADO INDEXADO'!BE19,IF('INTRODUCIR DATOS'!$D$20="AGOSTO",'RESULTADO INDEXADO'!BL19,IF('INTRODUCIR DATOS'!$D$20="SEPTIEMBRE",'RESULTADO INDEXADO'!BS19,IF('INTRODUCIR DATOS'!$D$20="OCTUBRE",'RESULTADO INDEXADO'!BZ19,IF('INTRODUCIR DATOS'!$D$20="NOVIEMBRE",'RESULTADO INDEXADO'!CG19,IF('INTRODUCIR DATOS'!$D$20="DICIEMBRE",'RESULTADO INDEXADO'!CN19))))))))))))</f>
        <v>0</v>
      </c>
      <c r="F19" s="253" t="b">
        <f>IF('INTRODUCIR DATOS'!$D$20="ENERO",'RESULTADO INDEXADO'!P19,IF('INTRODUCIR DATOS'!$D$20="FEBRERO",'RESULTADO INDEXADO'!W19,IF('INTRODUCIR DATOS'!$D$20="MARZO",'RESULTADO INDEXADO'!AD19,IF('INTRODUCIR DATOS'!$D$20="ABRIL",'RESULTADO INDEXADO'!AK19,IF('INTRODUCIR DATOS'!$D$20="MAYO",'RESULTADO INDEXADO'!AR19,IF('INTRODUCIR DATOS'!$D$20="JUNIO",'RESULTADO INDEXADO'!AY19,IF('INTRODUCIR DATOS'!$D$20="JULIO",'RESULTADO INDEXADO'!BF19,IF('INTRODUCIR DATOS'!$D$20="AGOSTO",'RESULTADO INDEXADO'!BM19,IF('INTRODUCIR DATOS'!$D$20="SEPTIEMBRE",'RESULTADO INDEXADO'!BT19,IF('INTRODUCIR DATOS'!$D$20="OCTUBRE",'RESULTADO INDEXADO'!CA19,IF('INTRODUCIR DATOS'!$D$20="NOVIEMBRE",'RESULTADO INDEXADO'!CH19,IF('INTRODUCIR DATOS'!$D$20="DICIEMBRE",'RESULTADO INDEXADO'!CO19))))))))))))</f>
        <v>0</v>
      </c>
      <c r="G19" s="253" t="b">
        <f>IF('INTRODUCIR DATOS'!$D$20="ENERO",'RESULTADO INDEXADO'!Q19,IF('INTRODUCIR DATOS'!$D$20="FEBRERO",'RESULTADO INDEXADO'!X19,IF('INTRODUCIR DATOS'!$D$20="MARZO",'RESULTADO INDEXADO'!AE19,IF('INTRODUCIR DATOS'!$D$20="ABRIL",'RESULTADO INDEXADO'!AL19,IF('INTRODUCIR DATOS'!$D$20="MAYO",'RESULTADO INDEXADO'!AS19,IF('INTRODUCIR DATOS'!$D$20="JUNIO",'RESULTADO INDEXADO'!AZ19,IF('INTRODUCIR DATOS'!$D$20="JULIO",'RESULTADO INDEXADO'!BG19,IF('INTRODUCIR DATOS'!$D$20="AGOSTO",'RESULTADO INDEXADO'!BN19,IF('INTRODUCIR DATOS'!$D$20="SEPTIEMBRE",'RESULTADO INDEXADO'!BU19,IF('INTRODUCIR DATOS'!$D$20="OCTUBRE",'RESULTADO INDEXADO'!CB19,IF('INTRODUCIR DATOS'!$D$20="NOVIEMBRE",'RESULTADO INDEXADO'!CI19,IF('INTRODUCIR DATOS'!$D$20="DICIEMBRE",'RESULTADO INDEXADO'!CP19))))))))))))</f>
        <v>0</v>
      </c>
      <c r="H19" s="254" t="b">
        <f>IF('INTRODUCIR DATOS'!$D$20="ENERO",'RESULTADO INDEXADO'!R19,IF('INTRODUCIR DATOS'!$D$20="FEBRERO",'RESULTADO INDEXADO'!Y19,IF('INTRODUCIR DATOS'!$D$20="MARZO",'RESULTADO INDEXADO'!AF19,IF('INTRODUCIR DATOS'!$D$20="ABRIL",'RESULTADO INDEXADO'!AM19,IF('INTRODUCIR DATOS'!$D$20="MAYO",'RESULTADO INDEXADO'!AT19,IF('INTRODUCIR DATOS'!$D$20="JUNIO",'RESULTADO INDEXADO'!BA19,IF('INTRODUCIR DATOS'!$D$20="JULIO",'RESULTADO INDEXADO'!BH19,IF('INTRODUCIR DATOS'!$D$20="AGOSTO",'RESULTADO INDEXADO'!BO19,IF('INTRODUCIR DATOS'!$D$20="SEPTIEMBRE",'RESULTADO INDEXADO'!BV19,IF('INTRODUCIR DATOS'!$D$20="OCTUBRE",'RESULTADO INDEXADO'!CC19,IF('INTRODUCIR DATOS'!$D$20="NOVIEMBRE",'RESULTADO INDEXADO'!CJ19,IF('INTRODUCIR DATOS'!$D$20="DICIEMBRE",'RESULTADO INDEXADO'!CQ19))))))))))))</f>
        <v>0</v>
      </c>
      <c r="I19" s="254" t="b">
        <f>IF('INTRODUCIR DATOS'!$D$20="ENERO",'RESULTADO INDEXADO'!S19,IF('INTRODUCIR DATOS'!$D$20="FEBRERO",'RESULTADO INDEXADO'!Z19,IF('INTRODUCIR DATOS'!$D$20="MARZO",'RESULTADO INDEXADO'!AG19,IF('INTRODUCIR DATOS'!$D$20="ABRIL",'RESULTADO INDEXADO'!AN19,IF('INTRODUCIR DATOS'!$D$20="MAYO",'RESULTADO INDEXADO'!AU19,IF('INTRODUCIR DATOS'!$D$20="JUNIO",'RESULTADO INDEXADO'!BB19,IF('INTRODUCIR DATOS'!$D$20="JULIO",'RESULTADO INDEXADO'!BI19,IF('INTRODUCIR DATOS'!$D$20="AGOSTO",'RESULTADO INDEXADO'!BP19,IF('INTRODUCIR DATOS'!$D$20="SEPTIEMBRE",'RESULTADO INDEXADO'!BW19,IF('INTRODUCIR DATOS'!$D$20="OCTUBRE",'RESULTADO INDEXADO'!CD19,IF('INTRODUCIR DATOS'!$D$20="NOVIEMBRE",'RESULTADO INDEXADO'!CK19,IF('INTRODUCIR DATOS'!$D$20="DICIEMBRE",'RESULTADO INDEXADO'!CR19))))))))))))</f>
        <v>0</v>
      </c>
      <c r="J19" s="295" t="b">
        <f>IF('INTRODUCIR DATOS'!$D$20="ENERO",'RESULTADO INDEXADO'!T19,IF('INTRODUCIR DATOS'!$D$20="FEBRERO",'RESULTADO INDEXADO'!AA19,IF('INTRODUCIR DATOS'!$D$20="MARZO",'RESULTADO INDEXADO'!AH19,IF('INTRODUCIR DATOS'!$D$20="ABRIL",'RESULTADO INDEXADO'!AO19,IF('INTRODUCIR DATOS'!$D$20="MAYO",'RESULTADO INDEXADO'!AV19,IF('INTRODUCIR DATOS'!$D$20="JUNIO",'RESULTADO INDEXADO'!BC19,IF('INTRODUCIR DATOS'!$D$20="JULIO",'RESULTADO INDEXADO'!BJ19,IF('INTRODUCIR DATOS'!$D$20="AGOSTO",'RESULTADO INDEXADO'!BQ19,IF('INTRODUCIR DATOS'!$D$20="SEPTIEMBRE",'RESULTADO INDEXADO'!BX19,IF('INTRODUCIR DATOS'!$D$20="OCTUBRE",'RESULTADO INDEXADO'!CE19,IF('INTRODUCIR DATOS'!$D$20="NOVIEMBRE",'RESULTADO INDEXADO'!CL19,IF('INTRODUCIR DATOS'!$D$20="DICIEMBRE",'RESULTADO INDEXADO'!CS19))))))))))))</f>
        <v>0</v>
      </c>
      <c r="K19" s="290">
        <f>('INTRODUCIR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DATOS'!$D$17)+'INTRODUCIR DATOS'!$D$15+'INTRODUCIR DATOS'!$D$16+IF('INTRODUCIR DATOS'!$D$21=21%,(('INTRODUCIR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DATOS'!$D$17)+'INTRODUCIR DATOS'!$D$16)*21/100,IF('INTRODUCIR DATOS'!$D$21=10%,(('INTRODUCIR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DATOS'!$D$17)+'INTRODUCIR DATOS'!$D$16)*10/100))</f>
        <v>1.0285</v>
      </c>
      <c r="L19" s="292">
        <f>IF(K19=0,"",'INTRODUCIR DATOS'!$D$14-K19)</f>
        <v>113.12150000000001</v>
      </c>
      <c r="M19" s="271">
        <f>IF(K19=0,"",('INTRODUCIR DATOS'!$D$14-K19)/'INTRODUCIR DATOS'!$D$14)</f>
        <v>0.99098992553657472</v>
      </c>
      <c r="N19" s="310" t="s">
        <v>136</v>
      </c>
      <c r="O19" s="266">
        <v>0.237007</v>
      </c>
      <c r="P19" s="253">
        <v>0.135934</v>
      </c>
      <c r="Q19" s="253">
        <v>7.6980000000000007E-2</v>
      </c>
      <c r="R19" s="254"/>
      <c r="S19" s="254"/>
      <c r="T19" s="255"/>
      <c r="U19" s="278" t="s">
        <v>136</v>
      </c>
      <c r="V19" s="266">
        <v>0.19243499999999999</v>
      </c>
      <c r="W19" s="253">
        <v>9.0632000000000004E-2</v>
      </c>
      <c r="X19" s="253">
        <v>4.1874000000000001E-2</v>
      </c>
      <c r="Y19" s="254"/>
      <c r="Z19" s="254"/>
      <c r="AA19" s="255"/>
      <c r="AB19" s="278" t="s">
        <v>136</v>
      </c>
      <c r="AC19" s="266">
        <v>0.20503099999999999</v>
      </c>
      <c r="AD19" s="253">
        <v>0.107124</v>
      </c>
      <c r="AE19" s="253">
        <v>6.6517999999999994E-2</v>
      </c>
      <c r="AF19" s="254"/>
      <c r="AG19" s="254"/>
      <c r="AH19" s="255"/>
      <c r="AI19" s="278" t="s">
        <v>136</v>
      </c>
      <c r="AJ19" s="266">
        <v>0.22523399999999999</v>
      </c>
      <c r="AK19" s="253">
        <v>0.12815299999999999</v>
      </c>
      <c r="AL19" s="253">
        <v>9.0729000000000004E-2</v>
      </c>
      <c r="AM19" s="254"/>
      <c r="AN19" s="254"/>
      <c r="AO19" s="255"/>
      <c r="AP19" s="278" t="s">
        <v>136</v>
      </c>
      <c r="AQ19" s="266">
        <v>0.2283</v>
      </c>
      <c r="AR19" s="253">
        <v>0.13206899999999999</v>
      </c>
      <c r="AS19" s="253">
        <v>9.0431999999999998E-2</v>
      </c>
      <c r="AT19" s="254"/>
      <c r="AU19" s="254"/>
      <c r="AV19" s="255"/>
      <c r="AW19" s="278" t="s">
        <v>136</v>
      </c>
      <c r="AX19" s="266">
        <v>0.24258299999999999</v>
      </c>
      <c r="AY19" s="253">
        <v>0.14722499999999999</v>
      </c>
      <c r="AZ19" s="253">
        <v>0.107927</v>
      </c>
      <c r="BA19" s="254"/>
      <c r="BB19" s="254"/>
      <c r="BC19" s="255"/>
      <c r="BD19" s="278" t="s">
        <v>136</v>
      </c>
      <c r="BE19" s="266">
        <v>0.25592500000000001</v>
      </c>
      <c r="BF19" s="253">
        <v>0.16016900000000001</v>
      </c>
      <c r="BG19" s="253">
        <v>0.120876</v>
      </c>
      <c r="BH19" s="254"/>
      <c r="BI19" s="254"/>
      <c r="BJ19" s="255"/>
      <c r="BK19" s="278" t="s">
        <v>136</v>
      </c>
      <c r="BL19" s="266">
        <v>0.27239600000000003</v>
      </c>
      <c r="BM19" s="253">
        <v>0.177227</v>
      </c>
      <c r="BN19" s="253">
        <v>0.13524800000000001</v>
      </c>
      <c r="BO19" s="254"/>
      <c r="BP19" s="254"/>
      <c r="BQ19" s="255"/>
      <c r="BR19" s="278" t="s">
        <v>136</v>
      </c>
      <c r="BS19" s="266"/>
      <c r="BT19" s="253"/>
      <c r="BU19" s="253"/>
      <c r="BV19" s="254"/>
      <c r="BW19" s="254"/>
      <c r="BX19" s="255"/>
      <c r="BY19" s="278" t="s">
        <v>136</v>
      </c>
      <c r="BZ19" s="266"/>
      <c r="CA19" s="253"/>
      <c r="CB19" s="253"/>
      <c r="CC19" s="254"/>
      <c r="CD19" s="254"/>
      <c r="CE19" s="255"/>
      <c r="CF19" s="278" t="s">
        <v>136</v>
      </c>
      <c r="CG19" s="266"/>
      <c r="CH19" s="253"/>
      <c r="CI19" s="253"/>
      <c r="CJ19" s="254"/>
      <c r="CK19" s="254"/>
      <c r="CL19" s="255"/>
      <c r="CM19" s="278" t="s">
        <v>136</v>
      </c>
      <c r="CN19" s="266"/>
      <c r="CO19" s="253"/>
      <c r="CP19" s="253"/>
      <c r="CQ19" s="254"/>
      <c r="CR19" s="254"/>
      <c r="CS19" s="255"/>
    </row>
    <row r="20" spans="1:97">
      <c r="A20" s="41" t="s">
        <v>17</v>
      </c>
      <c r="B20" s="40" t="s">
        <v>29</v>
      </c>
      <c r="C20" s="335" t="s">
        <v>34</v>
      </c>
      <c r="D20" s="279" t="s">
        <v>134</v>
      </c>
      <c r="E20" s="267" t="b">
        <f>IF('INTRODUCIR DATOS'!$D$20="ENERO",'RESULTADO INDEXADO'!O20,IF('INTRODUCIR DATOS'!$D$20="FEBRERO",'RESULTADO INDEXADO'!V20,IF('INTRODUCIR DATOS'!$D$20="MARZO",'RESULTADO INDEXADO'!AC20,IF('INTRODUCIR DATOS'!$D$20="ABRIL",'RESULTADO INDEXADO'!AJ20,IF('INTRODUCIR DATOS'!$D$20="MAYO",'RESULTADO INDEXADO'!AQ20,IF('INTRODUCIR DATOS'!$D$20="JUNIO",'RESULTADO INDEXADO'!AX20,IF('INTRODUCIR DATOS'!$D$20="JULIO",'RESULTADO INDEXADO'!BE20,IF('INTRODUCIR DATOS'!$D$20="AGOSTO",'RESULTADO INDEXADO'!BL20,IF('INTRODUCIR DATOS'!$D$20="SEPTIEMBRE",'RESULTADO INDEXADO'!BS20,IF('INTRODUCIR DATOS'!$D$20="OCTUBRE",'RESULTADO INDEXADO'!BZ20,IF('INTRODUCIR DATOS'!$D$20="NOVIEMBRE",'RESULTADO INDEXADO'!CG20,IF('INTRODUCIR DATOS'!$D$20="DICIEMBRE",'RESULTADO INDEXADO'!CN20))))))))))))</f>
        <v>0</v>
      </c>
      <c r="F20" s="256" t="b">
        <f>IF('INTRODUCIR DATOS'!$D$20="ENERO",'RESULTADO INDEXADO'!P20,IF('INTRODUCIR DATOS'!$D$20="FEBRERO",'RESULTADO INDEXADO'!W20,IF('INTRODUCIR DATOS'!$D$20="MARZO",'RESULTADO INDEXADO'!AD20,IF('INTRODUCIR DATOS'!$D$20="ABRIL",'RESULTADO INDEXADO'!AK20,IF('INTRODUCIR DATOS'!$D$20="MAYO",'RESULTADO INDEXADO'!AR20,IF('INTRODUCIR DATOS'!$D$20="JUNIO",'RESULTADO INDEXADO'!AY20,IF('INTRODUCIR DATOS'!$D$20="JULIO",'RESULTADO INDEXADO'!BF20,IF('INTRODUCIR DATOS'!$D$20="AGOSTO",'RESULTADO INDEXADO'!BM20,IF('INTRODUCIR DATOS'!$D$20="SEPTIEMBRE",'RESULTADO INDEXADO'!BT20,IF('INTRODUCIR DATOS'!$D$20="OCTUBRE",'RESULTADO INDEXADO'!CA20,IF('INTRODUCIR DATOS'!$D$20="NOVIEMBRE",'RESULTADO INDEXADO'!CH20,IF('INTRODUCIR DATOS'!$D$20="DICIEMBRE",'RESULTADO INDEXADO'!CO20))))))))))))</f>
        <v>0</v>
      </c>
      <c r="G20" s="257" t="b">
        <f>IF('INTRODUCIR DATOS'!$D$20="ENERO",'RESULTADO INDEXADO'!Q20,IF('INTRODUCIR DATOS'!$D$20="FEBRERO",'RESULTADO INDEXADO'!X20,IF('INTRODUCIR DATOS'!$D$20="MARZO",'RESULTADO INDEXADO'!AE20,IF('INTRODUCIR DATOS'!$D$20="ABRIL",'RESULTADO INDEXADO'!AL20,IF('INTRODUCIR DATOS'!$D$20="MAYO",'RESULTADO INDEXADO'!AS20,IF('INTRODUCIR DATOS'!$D$20="JUNIO",'RESULTADO INDEXADO'!AZ20,IF('INTRODUCIR DATOS'!$D$20="JULIO",'RESULTADO INDEXADO'!BG20,IF('INTRODUCIR DATOS'!$D$20="AGOSTO",'RESULTADO INDEXADO'!BN20,IF('INTRODUCIR DATOS'!$D$20="SEPTIEMBRE",'RESULTADO INDEXADO'!BU20,IF('INTRODUCIR DATOS'!$D$20="OCTUBRE",'RESULTADO INDEXADO'!CB20,IF('INTRODUCIR DATOS'!$D$20="NOVIEMBRE",'RESULTADO INDEXADO'!CI20,IF('INTRODUCIR DATOS'!$D$20="DICIEMBRE",'RESULTADO INDEXADO'!CP20))))))))))))</f>
        <v>0</v>
      </c>
      <c r="H20" s="257" t="b">
        <f>IF('INTRODUCIR DATOS'!$D$20="ENERO",'RESULTADO INDEXADO'!R20,IF('INTRODUCIR DATOS'!$D$20="FEBRERO",'RESULTADO INDEXADO'!Y20,IF('INTRODUCIR DATOS'!$D$20="MARZO",'RESULTADO INDEXADO'!AF20,IF('INTRODUCIR DATOS'!$D$20="ABRIL",'RESULTADO INDEXADO'!AM20,IF('INTRODUCIR DATOS'!$D$20="MAYO",'RESULTADO INDEXADO'!AT20,IF('INTRODUCIR DATOS'!$D$20="JUNIO",'RESULTADO INDEXADO'!BA20,IF('INTRODUCIR DATOS'!$D$20="JULIO",'RESULTADO INDEXADO'!BH20,IF('INTRODUCIR DATOS'!$D$20="AGOSTO",'RESULTADO INDEXADO'!BO20,IF('INTRODUCIR DATOS'!$D$20="SEPTIEMBRE",'RESULTADO INDEXADO'!BV20,IF('INTRODUCIR DATOS'!$D$20="OCTUBRE",'RESULTADO INDEXADO'!CC20,IF('INTRODUCIR DATOS'!$D$20="NOVIEMBRE",'RESULTADO INDEXADO'!CJ20,IF('INTRODUCIR DATOS'!$D$20="DICIEMBRE",'RESULTADO INDEXADO'!CQ20))))))))))))</f>
        <v>0</v>
      </c>
      <c r="I20" s="257" t="b">
        <f>IF('INTRODUCIR DATOS'!$D$20="ENERO",'RESULTADO INDEXADO'!S20,IF('INTRODUCIR DATOS'!$D$20="FEBRERO",'RESULTADO INDEXADO'!Z20,IF('INTRODUCIR DATOS'!$D$20="MARZO",'RESULTADO INDEXADO'!AG20,IF('INTRODUCIR DATOS'!$D$20="ABRIL",'RESULTADO INDEXADO'!AN20,IF('INTRODUCIR DATOS'!$D$20="MAYO",'RESULTADO INDEXADO'!AU20,IF('INTRODUCIR DATOS'!$D$20="JUNIO",'RESULTADO INDEXADO'!BB20,IF('INTRODUCIR DATOS'!$D$20="JULIO",'RESULTADO INDEXADO'!BI20,IF('INTRODUCIR DATOS'!$D$20="AGOSTO",'RESULTADO INDEXADO'!BP20,IF('INTRODUCIR DATOS'!$D$20="SEPTIEMBRE",'RESULTADO INDEXADO'!BW20,IF('INTRODUCIR DATOS'!$D$20="OCTUBRE",'RESULTADO INDEXADO'!CD20,IF('INTRODUCIR DATOS'!$D$20="NOVIEMBRE",'RESULTADO INDEXADO'!CK20,IF('INTRODUCIR DATOS'!$D$20="DICIEMBRE",'RESULTADO INDEXADO'!CR20))))))))))))</f>
        <v>0</v>
      </c>
      <c r="J20" s="296" t="b">
        <f>IF('INTRODUCIR DATOS'!$D$20="ENERO",'RESULTADO INDEXADO'!T20,IF('INTRODUCIR DATOS'!$D$20="FEBRERO",'RESULTADO INDEXADO'!AA20,IF('INTRODUCIR DATOS'!$D$20="MARZO",'RESULTADO INDEXADO'!AH20,IF('INTRODUCIR DATOS'!$D$20="ABRIL",'RESULTADO INDEXADO'!AO20,IF('INTRODUCIR DATOS'!$D$20="MAYO",'RESULTADO INDEXADO'!AV20,IF('INTRODUCIR DATOS'!$D$20="JUNIO",'RESULTADO INDEXADO'!BC20,IF('INTRODUCIR DATOS'!$D$20="JULIO",'RESULTADO INDEXADO'!BJ20,IF('INTRODUCIR DATOS'!$D$20="AGOSTO",'RESULTADO INDEXADO'!BQ20,IF('INTRODUCIR DATOS'!$D$20="SEPTIEMBRE",'RESULTADO INDEXADO'!BX20,IF('INTRODUCIR DATOS'!$D$20="OCTUBRE",'RESULTADO INDEXADO'!CE20,IF('INTRODUCIR DATOS'!$D$20="NOVIEMBRE",'RESULTADO INDEXADO'!CL20,IF('INTRODUCIR DATOS'!$D$20="DICIEMBRE",'RESULTADO INDEXADO'!CS20))))))))))))</f>
        <v>0</v>
      </c>
      <c r="K20" s="41"/>
      <c r="L20" s="40"/>
      <c r="M20" s="145"/>
      <c r="N20" s="311" t="s">
        <v>134</v>
      </c>
      <c r="O20" s="267">
        <v>9.3760712328767121E-2</v>
      </c>
      <c r="P20" s="256">
        <v>1.3628380821917807E-2</v>
      </c>
      <c r="Q20" s="257"/>
      <c r="R20" s="257"/>
      <c r="S20" s="257"/>
      <c r="T20" s="258"/>
      <c r="U20" s="279" t="s">
        <v>134</v>
      </c>
      <c r="V20" s="267">
        <v>9.3760712328767121E-2</v>
      </c>
      <c r="W20" s="256">
        <v>1.3628380821917807E-2</v>
      </c>
      <c r="X20" s="257"/>
      <c r="Y20" s="257"/>
      <c r="Z20" s="257"/>
      <c r="AA20" s="258"/>
      <c r="AB20" s="279" t="s">
        <v>134</v>
      </c>
      <c r="AC20" s="267">
        <v>9.3760712328767121E-2</v>
      </c>
      <c r="AD20" s="256">
        <v>1.3628380821917807E-2</v>
      </c>
      <c r="AE20" s="257"/>
      <c r="AF20" s="257"/>
      <c r="AG20" s="257"/>
      <c r="AH20" s="258"/>
      <c r="AI20" s="279" t="s">
        <v>134</v>
      </c>
      <c r="AJ20" s="267">
        <v>9.3760712328767121E-2</v>
      </c>
      <c r="AK20" s="256">
        <v>1.3628380821917807E-2</v>
      </c>
      <c r="AL20" s="257"/>
      <c r="AM20" s="257"/>
      <c r="AN20" s="257"/>
      <c r="AO20" s="258"/>
      <c r="AP20" s="279" t="s">
        <v>134</v>
      </c>
      <c r="AQ20" s="267">
        <v>9.3760712328767121E-2</v>
      </c>
      <c r="AR20" s="256">
        <v>1.3628380821917807E-2</v>
      </c>
      <c r="AS20" s="257"/>
      <c r="AT20" s="257"/>
      <c r="AU20" s="257"/>
      <c r="AV20" s="258"/>
      <c r="AW20" s="279" t="s">
        <v>134</v>
      </c>
      <c r="AX20" s="267">
        <v>9.3760712328767121E-2</v>
      </c>
      <c r="AY20" s="256">
        <v>1.3628380821917807E-2</v>
      </c>
      <c r="AZ20" s="257"/>
      <c r="BA20" s="257"/>
      <c r="BB20" s="257"/>
      <c r="BC20" s="258"/>
      <c r="BD20" s="279" t="s">
        <v>134</v>
      </c>
      <c r="BE20" s="267">
        <v>9.3760712328767121E-2</v>
      </c>
      <c r="BF20" s="256">
        <v>1.3628380821917807E-2</v>
      </c>
      <c r="BG20" s="257"/>
      <c r="BH20" s="257"/>
      <c r="BI20" s="257"/>
      <c r="BJ20" s="258"/>
      <c r="BK20" s="279" t="s">
        <v>134</v>
      </c>
      <c r="BL20" s="267">
        <v>9.3760712328767121E-2</v>
      </c>
      <c r="BM20" s="256">
        <v>1.3628380821917807E-2</v>
      </c>
      <c r="BN20" s="257"/>
      <c r="BO20" s="257"/>
      <c r="BP20" s="257"/>
      <c r="BQ20" s="258"/>
      <c r="BR20" s="279" t="s">
        <v>134</v>
      </c>
      <c r="BS20" s="267">
        <v>9.3760712328767121E-2</v>
      </c>
      <c r="BT20" s="256">
        <v>1.3628380821917807E-2</v>
      </c>
      <c r="BU20" s="257"/>
      <c r="BV20" s="257"/>
      <c r="BW20" s="257"/>
      <c r="BX20" s="258"/>
      <c r="BY20" s="279" t="s">
        <v>134</v>
      </c>
      <c r="BZ20" s="267">
        <v>9.3760712328767121E-2</v>
      </c>
      <c r="CA20" s="256">
        <v>1.3628380821917807E-2</v>
      </c>
      <c r="CB20" s="257"/>
      <c r="CC20" s="257"/>
      <c r="CD20" s="257"/>
      <c r="CE20" s="258"/>
      <c r="CF20" s="279" t="s">
        <v>134</v>
      </c>
      <c r="CG20" s="267">
        <v>9.3760712328767121E-2</v>
      </c>
      <c r="CH20" s="256">
        <v>1.3628380821917807E-2</v>
      </c>
      <c r="CI20" s="257"/>
      <c r="CJ20" s="257"/>
      <c r="CK20" s="257"/>
      <c r="CL20" s="258"/>
      <c r="CM20" s="279" t="s">
        <v>134</v>
      </c>
      <c r="CN20" s="267">
        <v>9.3760712328767121E-2</v>
      </c>
      <c r="CO20" s="256">
        <v>1.3628380821917807E-2</v>
      </c>
      <c r="CP20" s="257"/>
      <c r="CQ20" s="257"/>
      <c r="CR20" s="257"/>
      <c r="CS20" s="258"/>
    </row>
    <row r="21" spans="1:97">
      <c r="A21" s="41" t="s">
        <v>17</v>
      </c>
      <c r="B21" s="40" t="s">
        <v>29</v>
      </c>
      <c r="C21" s="335" t="s">
        <v>34</v>
      </c>
      <c r="D21" s="278" t="s">
        <v>136</v>
      </c>
      <c r="E21" s="266" t="b">
        <f>IF('INTRODUCIR DATOS'!$D$20="ENERO",'RESULTADO INDEXADO'!O21,IF('INTRODUCIR DATOS'!$D$20="FEBRERO",'RESULTADO INDEXADO'!V21,IF('INTRODUCIR DATOS'!$D$20="MARZO",'RESULTADO INDEXADO'!AC21,IF('INTRODUCIR DATOS'!$D$20="ABRIL",'RESULTADO INDEXADO'!AJ21,IF('INTRODUCIR DATOS'!$D$20="MAYO",'RESULTADO INDEXADO'!AQ21,IF('INTRODUCIR DATOS'!$D$20="JUNIO",'RESULTADO INDEXADO'!AX21,IF('INTRODUCIR DATOS'!$D$20="JULIO",'RESULTADO INDEXADO'!BE21,IF('INTRODUCIR DATOS'!$D$20="AGOSTO",'RESULTADO INDEXADO'!BL21,IF('INTRODUCIR DATOS'!$D$20="SEPTIEMBRE",'RESULTADO INDEXADO'!BS21,IF('INTRODUCIR DATOS'!$D$20="OCTUBRE",'RESULTADO INDEXADO'!BZ21,IF('INTRODUCIR DATOS'!$D$20="NOVIEMBRE",'RESULTADO INDEXADO'!CG21,IF('INTRODUCIR DATOS'!$D$20="DICIEMBRE",'RESULTADO INDEXADO'!CN21))))))))))))</f>
        <v>0</v>
      </c>
      <c r="F21" s="253" t="b">
        <f>IF('INTRODUCIR DATOS'!$D$20="ENERO",'RESULTADO INDEXADO'!P21,IF('INTRODUCIR DATOS'!$D$20="FEBRERO",'RESULTADO INDEXADO'!W21,IF('INTRODUCIR DATOS'!$D$20="MARZO",'RESULTADO INDEXADO'!AD21,IF('INTRODUCIR DATOS'!$D$20="ABRIL",'RESULTADO INDEXADO'!AK21,IF('INTRODUCIR DATOS'!$D$20="MAYO",'RESULTADO INDEXADO'!AR21,IF('INTRODUCIR DATOS'!$D$20="JUNIO",'RESULTADO INDEXADO'!AY21,IF('INTRODUCIR DATOS'!$D$20="JULIO",'RESULTADO INDEXADO'!BF21,IF('INTRODUCIR DATOS'!$D$20="AGOSTO",'RESULTADO INDEXADO'!BM21,IF('INTRODUCIR DATOS'!$D$20="SEPTIEMBRE",'RESULTADO INDEXADO'!BT21,IF('INTRODUCIR DATOS'!$D$20="OCTUBRE",'RESULTADO INDEXADO'!CA21,IF('INTRODUCIR DATOS'!$D$20="NOVIEMBRE",'RESULTADO INDEXADO'!CH21,IF('INTRODUCIR DATOS'!$D$20="DICIEMBRE",'RESULTADO INDEXADO'!CO21))))))))))))</f>
        <v>0</v>
      </c>
      <c r="G21" s="253" t="b">
        <f>IF('INTRODUCIR DATOS'!$D$20="ENERO",'RESULTADO INDEXADO'!Q21,IF('INTRODUCIR DATOS'!$D$20="FEBRERO",'RESULTADO INDEXADO'!X21,IF('INTRODUCIR DATOS'!$D$20="MARZO",'RESULTADO INDEXADO'!AE21,IF('INTRODUCIR DATOS'!$D$20="ABRIL",'RESULTADO INDEXADO'!AL21,IF('INTRODUCIR DATOS'!$D$20="MAYO",'RESULTADO INDEXADO'!AS21,IF('INTRODUCIR DATOS'!$D$20="JUNIO",'RESULTADO INDEXADO'!AZ21,IF('INTRODUCIR DATOS'!$D$20="JULIO",'RESULTADO INDEXADO'!BG21,IF('INTRODUCIR DATOS'!$D$20="AGOSTO",'RESULTADO INDEXADO'!BN21,IF('INTRODUCIR DATOS'!$D$20="SEPTIEMBRE",'RESULTADO INDEXADO'!BU21,IF('INTRODUCIR DATOS'!$D$20="OCTUBRE",'RESULTADO INDEXADO'!CB21,IF('INTRODUCIR DATOS'!$D$20="NOVIEMBRE",'RESULTADO INDEXADO'!CI21,IF('INTRODUCIR DATOS'!$D$20="DICIEMBRE",'RESULTADO INDEXADO'!CP21))))))))))))</f>
        <v>0</v>
      </c>
      <c r="H21" s="254" t="b">
        <f>IF('INTRODUCIR DATOS'!$D$20="ENERO",'RESULTADO INDEXADO'!R21,IF('INTRODUCIR DATOS'!$D$20="FEBRERO",'RESULTADO INDEXADO'!Y21,IF('INTRODUCIR DATOS'!$D$20="MARZO",'RESULTADO INDEXADO'!AF21,IF('INTRODUCIR DATOS'!$D$20="ABRIL",'RESULTADO INDEXADO'!AM21,IF('INTRODUCIR DATOS'!$D$20="MAYO",'RESULTADO INDEXADO'!AT21,IF('INTRODUCIR DATOS'!$D$20="JUNIO",'RESULTADO INDEXADO'!BA21,IF('INTRODUCIR DATOS'!$D$20="JULIO",'RESULTADO INDEXADO'!BH21,IF('INTRODUCIR DATOS'!$D$20="AGOSTO",'RESULTADO INDEXADO'!BO21,IF('INTRODUCIR DATOS'!$D$20="SEPTIEMBRE",'RESULTADO INDEXADO'!BV21,IF('INTRODUCIR DATOS'!$D$20="OCTUBRE",'RESULTADO INDEXADO'!CC21,IF('INTRODUCIR DATOS'!$D$20="NOVIEMBRE",'RESULTADO INDEXADO'!CJ21,IF('INTRODUCIR DATOS'!$D$20="DICIEMBRE",'RESULTADO INDEXADO'!CQ21))))))))))))</f>
        <v>0</v>
      </c>
      <c r="I21" s="254" t="b">
        <f>IF('INTRODUCIR DATOS'!$D$20="ENERO",'RESULTADO INDEXADO'!S21,IF('INTRODUCIR DATOS'!$D$20="FEBRERO",'RESULTADO INDEXADO'!Z21,IF('INTRODUCIR DATOS'!$D$20="MARZO",'RESULTADO INDEXADO'!AG21,IF('INTRODUCIR DATOS'!$D$20="ABRIL",'RESULTADO INDEXADO'!AN21,IF('INTRODUCIR DATOS'!$D$20="MAYO",'RESULTADO INDEXADO'!AU21,IF('INTRODUCIR DATOS'!$D$20="JUNIO",'RESULTADO INDEXADO'!BB21,IF('INTRODUCIR DATOS'!$D$20="JULIO",'RESULTADO INDEXADO'!BI21,IF('INTRODUCIR DATOS'!$D$20="AGOSTO",'RESULTADO INDEXADO'!BP21,IF('INTRODUCIR DATOS'!$D$20="SEPTIEMBRE",'RESULTADO INDEXADO'!BW21,IF('INTRODUCIR DATOS'!$D$20="OCTUBRE",'RESULTADO INDEXADO'!CD21,IF('INTRODUCIR DATOS'!$D$20="NOVIEMBRE",'RESULTADO INDEXADO'!CK21,IF('INTRODUCIR DATOS'!$D$20="DICIEMBRE",'RESULTADO INDEXADO'!CR21))))))))))))</f>
        <v>0</v>
      </c>
      <c r="J21" s="295" t="b">
        <f>IF('INTRODUCIR DATOS'!$D$20="ENERO",'RESULTADO INDEXADO'!T21,IF('INTRODUCIR DATOS'!$D$20="FEBRERO",'RESULTADO INDEXADO'!AA21,IF('INTRODUCIR DATOS'!$D$20="MARZO",'RESULTADO INDEXADO'!AH21,IF('INTRODUCIR DATOS'!$D$20="ABRIL",'RESULTADO INDEXADO'!AO21,IF('INTRODUCIR DATOS'!$D$20="MAYO",'RESULTADO INDEXADO'!AV21,IF('INTRODUCIR DATOS'!$D$20="JUNIO",'RESULTADO INDEXADO'!BC21,IF('INTRODUCIR DATOS'!$D$20="JULIO",'RESULTADO INDEXADO'!BJ21,IF('INTRODUCIR DATOS'!$D$20="AGOSTO",'RESULTADO INDEXADO'!BQ21,IF('INTRODUCIR DATOS'!$D$20="SEPTIEMBRE",'RESULTADO INDEXADO'!BX21,IF('INTRODUCIR DATOS'!$D$20="OCTUBRE",'RESULTADO INDEXADO'!CE21,IF('INTRODUCIR DATOS'!$D$20="NOVIEMBRE",'RESULTADO INDEXADO'!CL21,IF('INTRODUCIR DATOS'!$D$20="DICIEMBRE",'RESULTADO INDEXADO'!CS21))))))))))))</f>
        <v>0</v>
      </c>
      <c r="K21" s="290">
        <f>('INTRODUCIR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DATOS'!$D$17)+'INTRODUCIR DATOS'!$D$15+'INTRODUCIR DATOS'!$D$16+IF('INTRODUCIR DATOS'!$D$21=21%,(('INTRODUCIR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DATOS'!$D$17)+'INTRODUCIR DATOS'!$D$16)*21/100,IF('INTRODUCIR DATOS'!$D$21=10%,(('INTRODUCIR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DATOS'!$D$17)+'INTRODUCIR DATOS'!$D$16)*10/100))</f>
        <v>1.0285</v>
      </c>
      <c r="L21" s="292">
        <f>IF(K21=0,"",'INTRODUCIR DATOS'!$D$14-K21)</f>
        <v>113.12150000000001</v>
      </c>
      <c r="M21" s="271">
        <f>IF(K21=0,"",('INTRODUCIR DATOS'!$D$14-K21)/'INTRODUCIR DATOS'!$D$14)</f>
        <v>0.99098992553657472</v>
      </c>
      <c r="N21" s="310" t="s">
        <v>136</v>
      </c>
      <c r="O21" s="266">
        <v>0.237007</v>
      </c>
      <c r="P21" s="253">
        <v>0.135934</v>
      </c>
      <c r="Q21" s="253">
        <v>7.6980000000000007E-2</v>
      </c>
      <c r="R21" s="254"/>
      <c r="S21" s="254"/>
      <c r="T21" s="255"/>
      <c r="U21" s="278" t="s">
        <v>136</v>
      </c>
      <c r="V21" s="266">
        <v>0.19243499999999999</v>
      </c>
      <c r="W21" s="253">
        <v>9.0632000000000004E-2</v>
      </c>
      <c r="X21" s="253">
        <v>4.1874000000000001E-2</v>
      </c>
      <c r="Y21" s="254"/>
      <c r="Z21" s="254"/>
      <c r="AA21" s="255"/>
      <c r="AB21" s="278" t="s">
        <v>136</v>
      </c>
      <c r="AC21" s="266">
        <v>0.20503099999999999</v>
      </c>
      <c r="AD21" s="253">
        <v>0.107124</v>
      </c>
      <c r="AE21" s="253">
        <v>6.6517999999999994E-2</v>
      </c>
      <c r="AF21" s="254"/>
      <c r="AG21" s="254"/>
      <c r="AH21" s="255"/>
      <c r="AI21" s="278" t="s">
        <v>136</v>
      </c>
      <c r="AJ21" s="266">
        <v>0.22523399999999999</v>
      </c>
      <c r="AK21" s="253">
        <v>0.12815299999999999</v>
      </c>
      <c r="AL21" s="253">
        <v>9.0729000000000004E-2</v>
      </c>
      <c r="AM21" s="254"/>
      <c r="AN21" s="254"/>
      <c r="AO21" s="255"/>
      <c r="AP21" s="278" t="s">
        <v>136</v>
      </c>
      <c r="AQ21" s="266">
        <v>0.2283</v>
      </c>
      <c r="AR21" s="253">
        <v>0.13206899999999999</v>
      </c>
      <c r="AS21" s="253">
        <v>9.0431999999999998E-2</v>
      </c>
      <c r="AT21" s="254"/>
      <c r="AU21" s="254"/>
      <c r="AV21" s="255"/>
      <c r="AW21" s="278" t="s">
        <v>136</v>
      </c>
      <c r="AX21" s="266">
        <v>0.24258299999999999</v>
      </c>
      <c r="AY21" s="253">
        <v>0.14722499999999999</v>
      </c>
      <c r="AZ21" s="253">
        <v>0.107927</v>
      </c>
      <c r="BA21" s="254"/>
      <c r="BB21" s="254"/>
      <c r="BC21" s="255"/>
      <c r="BD21" s="278" t="s">
        <v>136</v>
      </c>
      <c r="BE21" s="266">
        <v>0.25592500000000001</v>
      </c>
      <c r="BF21" s="253">
        <v>0.16016900000000001</v>
      </c>
      <c r="BG21" s="253">
        <v>0.120876</v>
      </c>
      <c r="BH21" s="254"/>
      <c r="BI21" s="254"/>
      <c r="BJ21" s="255"/>
      <c r="BK21" s="278" t="s">
        <v>136</v>
      </c>
      <c r="BL21" s="266">
        <v>0.27239600000000003</v>
      </c>
      <c r="BM21" s="253">
        <v>0.177227</v>
      </c>
      <c r="BN21" s="253">
        <v>0.13524800000000001</v>
      </c>
      <c r="BO21" s="254"/>
      <c r="BP21" s="254"/>
      <c r="BQ21" s="255"/>
      <c r="BR21" s="278" t="s">
        <v>136</v>
      </c>
      <c r="BS21" s="266"/>
      <c r="BT21" s="253"/>
      <c r="BU21" s="253"/>
      <c r="BV21" s="254"/>
      <c r="BW21" s="254"/>
      <c r="BX21" s="255"/>
      <c r="BY21" s="278" t="s">
        <v>136</v>
      </c>
      <c r="BZ21" s="266"/>
      <c r="CA21" s="253"/>
      <c r="CB21" s="253"/>
      <c r="CC21" s="254"/>
      <c r="CD21" s="254"/>
      <c r="CE21" s="255"/>
      <c r="CF21" s="278" t="s">
        <v>136</v>
      </c>
      <c r="CG21" s="266"/>
      <c r="CH21" s="253"/>
      <c r="CI21" s="253"/>
      <c r="CJ21" s="254"/>
      <c r="CK21" s="254"/>
      <c r="CL21" s="255"/>
      <c r="CM21" s="278" t="s">
        <v>136</v>
      </c>
      <c r="CN21" s="266"/>
      <c r="CO21" s="253"/>
      <c r="CP21" s="253"/>
      <c r="CQ21" s="254"/>
      <c r="CR21" s="254"/>
      <c r="CS21" s="255"/>
    </row>
    <row r="22" spans="1:97">
      <c r="A22" s="41" t="s">
        <v>17</v>
      </c>
      <c r="B22" s="40" t="s">
        <v>18</v>
      </c>
      <c r="C22" s="335" t="s">
        <v>139</v>
      </c>
      <c r="D22" s="279" t="s">
        <v>134</v>
      </c>
      <c r="E22" s="267" t="b">
        <f>IF('INTRODUCIR DATOS'!$D$20="ENERO",'RESULTADO INDEXADO'!O22,IF('INTRODUCIR DATOS'!$D$20="FEBRERO",'RESULTADO INDEXADO'!V22,IF('INTRODUCIR DATOS'!$D$20="MARZO",'RESULTADO INDEXADO'!AC22,IF('INTRODUCIR DATOS'!$D$20="ABRIL",'RESULTADO INDEXADO'!AJ22,IF('INTRODUCIR DATOS'!$D$20="MAYO",'RESULTADO INDEXADO'!AQ22,IF('INTRODUCIR DATOS'!$D$20="JUNIO",'RESULTADO INDEXADO'!AX22,IF('INTRODUCIR DATOS'!$D$20="JULIO",'RESULTADO INDEXADO'!BE22,IF('INTRODUCIR DATOS'!$D$20="AGOSTO",'RESULTADO INDEXADO'!BL22,IF('INTRODUCIR DATOS'!$D$20="SEPTIEMBRE",'RESULTADO INDEXADO'!BS22,IF('INTRODUCIR DATOS'!$D$20="OCTUBRE",'RESULTADO INDEXADO'!BZ22,IF('INTRODUCIR DATOS'!$D$20="NOVIEMBRE",'RESULTADO INDEXADO'!CG22,IF('INTRODUCIR DATOS'!$D$20="DICIEMBRE",'RESULTADO INDEXADO'!CN22))))))))))))</f>
        <v>0</v>
      </c>
      <c r="F22" s="256" t="b">
        <f>IF('INTRODUCIR DATOS'!$D$20="ENERO",'RESULTADO INDEXADO'!P22,IF('INTRODUCIR DATOS'!$D$20="FEBRERO",'RESULTADO INDEXADO'!W22,IF('INTRODUCIR DATOS'!$D$20="MARZO",'RESULTADO INDEXADO'!AD22,IF('INTRODUCIR DATOS'!$D$20="ABRIL",'RESULTADO INDEXADO'!AK22,IF('INTRODUCIR DATOS'!$D$20="MAYO",'RESULTADO INDEXADO'!AR22,IF('INTRODUCIR DATOS'!$D$20="JUNIO",'RESULTADO INDEXADO'!AY22,IF('INTRODUCIR DATOS'!$D$20="JULIO",'RESULTADO INDEXADO'!BF22,IF('INTRODUCIR DATOS'!$D$20="AGOSTO",'RESULTADO INDEXADO'!BM22,IF('INTRODUCIR DATOS'!$D$20="SEPTIEMBRE",'RESULTADO INDEXADO'!BT22,IF('INTRODUCIR DATOS'!$D$20="OCTUBRE",'RESULTADO INDEXADO'!CA22,IF('INTRODUCIR DATOS'!$D$20="NOVIEMBRE",'RESULTADO INDEXADO'!CH22,IF('INTRODUCIR DATOS'!$D$20="DICIEMBRE",'RESULTADO INDEXADO'!CO22))))))))))))</f>
        <v>0</v>
      </c>
      <c r="G22" s="257" t="b">
        <f>IF('INTRODUCIR DATOS'!$D$20="ENERO",'RESULTADO INDEXADO'!Q22,IF('INTRODUCIR DATOS'!$D$20="FEBRERO",'RESULTADO INDEXADO'!X22,IF('INTRODUCIR DATOS'!$D$20="MARZO",'RESULTADO INDEXADO'!AE22,IF('INTRODUCIR DATOS'!$D$20="ABRIL",'RESULTADO INDEXADO'!AL22,IF('INTRODUCIR DATOS'!$D$20="MAYO",'RESULTADO INDEXADO'!AS22,IF('INTRODUCIR DATOS'!$D$20="JUNIO",'RESULTADO INDEXADO'!AZ22,IF('INTRODUCIR DATOS'!$D$20="JULIO",'RESULTADO INDEXADO'!BG22,IF('INTRODUCIR DATOS'!$D$20="AGOSTO",'RESULTADO INDEXADO'!BN22,IF('INTRODUCIR DATOS'!$D$20="SEPTIEMBRE",'RESULTADO INDEXADO'!BU22,IF('INTRODUCIR DATOS'!$D$20="OCTUBRE",'RESULTADO INDEXADO'!CB22,IF('INTRODUCIR DATOS'!$D$20="NOVIEMBRE",'RESULTADO INDEXADO'!CI22,IF('INTRODUCIR DATOS'!$D$20="DICIEMBRE",'RESULTADO INDEXADO'!CP22))))))))))))</f>
        <v>0</v>
      </c>
      <c r="H22" s="257" t="b">
        <f>IF('INTRODUCIR DATOS'!$D$20="ENERO",'RESULTADO INDEXADO'!R22,IF('INTRODUCIR DATOS'!$D$20="FEBRERO",'RESULTADO INDEXADO'!Y22,IF('INTRODUCIR DATOS'!$D$20="MARZO",'RESULTADO INDEXADO'!AF22,IF('INTRODUCIR DATOS'!$D$20="ABRIL",'RESULTADO INDEXADO'!AM22,IF('INTRODUCIR DATOS'!$D$20="MAYO",'RESULTADO INDEXADO'!AT22,IF('INTRODUCIR DATOS'!$D$20="JUNIO",'RESULTADO INDEXADO'!BA22,IF('INTRODUCIR DATOS'!$D$20="JULIO",'RESULTADO INDEXADO'!BH22,IF('INTRODUCIR DATOS'!$D$20="AGOSTO",'RESULTADO INDEXADO'!BO22,IF('INTRODUCIR DATOS'!$D$20="SEPTIEMBRE",'RESULTADO INDEXADO'!BV22,IF('INTRODUCIR DATOS'!$D$20="OCTUBRE",'RESULTADO INDEXADO'!CC22,IF('INTRODUCIR DATOS'!$D$20="NOVIEMBRE",'RESULTADO INDEXADO'!CJ22,IF('INTRODUCIR DATOS'!$D$20="DICIEMBRE",'RESULTADO INDEXADO'!CQ22))))))))))))</f>
        <v>0</v>
      </c>
      <c r="I22" s="257" t="b">
        <f>IF('INTRODUCIR DATOS'!$D$20="ENERO",'RESULTADO INDEXADO'!S22,IF('INTRODUCIR DATOS'!$D$20="FEBRERO",'RESULTADO INDEXADO'!Z22,IF('INTRODUCIR DATOS'!$D$20="MARZO",'RESULTADO INDEXADO'!AG22,IF('INTRODUCIR DATOS'!$D$20="ABRIL",'RESULTADO INDEXADO'!AN22,IF('INTRODUCIR DATOS'!$D$20="MAYO",'RESULTADO INDEXADO'!AU22,IF('INTRODUCIR DATOS'!$D$20="JUNIO",'RESULTADO INDEXADO'!BB22,IF('INTRODUCIR DATOS'!$D$20="JULIO",'RESULTADO INDEXADO'!BI22,IF('INTRODUCIR DATOS'!$D$20="AGOSTO",'RESULTADO INDEXADO'!BP22,IF('INTRODUCIR DATOS'!$D$20="SEPTIEMBRE",'RESULTADO INDEXADO'!BW22,IF('INTRODUCIR DATOS'!$D$20="OCTUBRE",'RESULTADO INDEXADO'!CD22,IF('INTRODUCIR DATOS'!$D$20="NOVIEMBRE",'RESULTADO INDEXADO'!CK22,IF('INTRODUCIR DATOS'!$D$20="DICIEMBRE",'RESULTADO INDEXADO'!CR22))))))))))))</f>
        <v>0</v>
      </c>
      <c r="J22" s="296" t="b">
        <f>IF('INTRODUCIR DATOS'!$D$20="ENERO",'RESULTADO INDEXADO'!T22,IF('INTRODUCIR DATOS'!$D$20="FEBRERO",'RESULTADO INDEXADO'!AA22,IF('INTRODUCIR DATOS'!$D$20="MARZO",'RESULTADO INDEXADO'!AH22,IF('INTRODUCIR DATOS'!$D$20="ABRIL",'RESULTADO INDEXADO'!AO22,IF('INTRODUCIR DATOS'!$D$20="MAYO",'RESULTADO INDEXADO'!AV22,IF('INTRODUCIR DATOS'!$D$20="JUNIO",'RESULTADO INDEXADO'!BC22,IF('INTRODUCIR DATOS'!$D$20="JULIO",'RESULTADO INDEXADO'!BJ22,IF('INTRODUCIR DATOS'!$D$20="AGOSTO",'RESULTADO INDEXADO'!BQ22,IF('INTRODUCIR DATOS'!$D$20="SEPTIEMBRE",'RESULTADO INDEXADO'!BX22,IF('INTRODUCIR DATOS'!$D$20="OCTUBRE",'RESULTADO INDEXADO'!CE22,IF('INTRODUCIR DATOS'!$D$20="NOVIEMBRE",'RESULTADO INDEXADO'!CL22,IF('INTRODUCIR DATOS'!$D$20="DICIEMBRE",'RESULTADO INDEXADO'!CS22))))))))))))</f>
        <v>0</v>
      </c>
      <c r="K22" s="41"/>
      <c r="L22" s="40"/>
      <c r="M22" s="145"/>
      <c r="N22" s="311" t="s">
        <v>134</v>
      </c>
      <c r="O22" s="267">
        <v>6.7252013698630139E-2</v>
      </c>
      <c r="P22" s="256">
        <v>5.1320326027397264E-2</v>
      </c>
      <c r="Q22" s="256">
        <v>3.275447671232877E-2</v>
      </c>
      <c r="R22" s="256">
        <v>3.0290912328767124E-2</v>
      </c>
      <c r="S22" s="256">
        <v>2.5614731506849318E-2</v>
      </c>
      <c r="T22" s="300">
        <v>2.078628219178082E-2</v>
      </c>
      <c r="U22" s="279" t="s">
        <v>134</v>
      </c>
      <c r="V22" s="267">
        <v>6.7252013698630139E-2</v>
      </c>
      <c r="W22" s="256">
        <v>5.1320326027397264E-2</v>
      </c>
      <c r="X22" s="256">
        <v>3.275447671232877E-2</v>
      </c>
      <c r="Y22" s="256">
        <v>3.0290912328767124E-2</v>
      </c>
      <c r="Z22" s="256">
        <v>2.5614731506849318E-2</v>
      </c>
      <c r="AA22" s="300">
        <v>2.078628219178082E-2</v>
      </c>
      <c r="AB22" s="279" t="s">
        <v>134</v>
      </c>
      <c r="AC22" s="267">
        <v>6.7252013698630139E-2</v>
      </c>
      <c r="AD22" s="256">
        <v>5.1320326027397264E-2</v>
      </c>
      <c r="AE22" s="256">
        <v>3.275447671232877E-2</v>
      </c>
      <c r="AF22" s="256">
        <v>3.0290912328767124E-2</v>
      </c>
      <c r="AG22" s="256">
        <v>2.5614731506849318E-2</v>
      </c>
      <c r="AH22" s="300">
        <v>2.078628219178082E-2</v>
      </c>
      <c r="AI22" s="279" t="s">
        <v>134</v>
      </c>
      <c r="AJ22" s="267">
        <v>6.7252013698630139E-2</v>
      </c>
      <c r="AK22" s="256">
        <v>5.1320326027397264E-2</v>
      </c>
      <c r="AL22" s="256">
        <v>3.275447671232877E-2</v>
      </c>
      <c r="AM22" s="256">
        <v>3.0290912328767124E-2</v>
      </c>
      <c r="AN22" s="256">
        <v>2.5614731506849318E-2</v>
      </c>
      <c r="AO22" s="300">
        <v>2.078628219178082E-2</v>
      </c>
      <c r="AP22" s="279" t="s">
        <v>134</v>
      </c>
      <c r="AQ22" s="267">
        <v>6.7252013698630139E-2</v>
      </c>
      <c r="AR22" s="256">
        <v>5.1320326027397264E-2</v>
      </c>
      <c r="AS22" s="256">
        <v>3.275447671232877E-2</v>
      </c>
      <c r="AT22" s="256">
        <v>3.0290912328767124E-2</v>
      </c>
      <c r="AU22" s="256">
        <v>2.5614731506849318E-2</v>
      </c>
      <c r="AV22" s="300">
        <v>2.078628219178082E-2</v>
      </c>
      <c r="AW22" s="279" t="s">
        <v>134</v>
      </c>
      <c r="AX22" s="267">
        <v>6.7252013698630139E-2</v>
      </c>
      <c r="AY22" s="256">
        <v>5.1320326027397264E-2</v>
      </c>
      <c r="AZ22" s="256">
        <v>3.275447671232877E-2</v>
      </c>
      <c r="BA22" s="256">
        <v>3.0290912328767124E-2</v>
      </c>
      <c r="BB22" s="256">
        <v>2.5614731506849318E-2</v>
      </c>
      <c r="BC22" s="300">
        <v>2.078628219178082E-2</v>
      </c>
      <c r="BD22" s="279" t="s">
        <v>134</v>
      </c>
      <c r="BE22" s="267">
        <v>6.7252013698630139E-2</v>
      </c>
      <c r="BF22" s="256">
        <v>5.1320326027397264E-2</v>
      </c>
      <c r="BG22" s="256">
        <v>3.275447671232877E-2</v>
      </c>
      <c r="BH22" s="256">
        <v>3.0290912328767124E-2</v>
      </c>
      <c r="BI22" s="256">
        <v>2.5614731506849318E-2</v>
      </c>
      <c r="BJ22" s="300">
        <v>2.078628219178082E-2</v>
      </c>
      <c r="BK22" s="279" t="s">
        <v>134</v>
      </c>
      <c r="BL22" s="267">
        <v>6.7252013698630139E-2</v>
      </c>
      <c r="BM22" s="256">
        <v>5.1320326027397264E-2</v>
      </c>
      <c r="BN22" s="256">
        <v>3.275447671232877E-2</v>
      </c>
      <c r="BO22" s="256">
        <v>3.0290912328767124E-2</v>
      </c>
      <c r="BP22" s="256">
        <v>2.5614731506849318E-2</v>
      </c>
      <c r="BQ22" s="300">
        <v>2.078628219178082E-2</v>
      </c>
      <c r="BR22" s="279" t="s">
        <v>134</v>
      </c>
      <c r="BS22" s="267">
        <v>6.7252013698630139E-2</v>
      </c>
      <c r="BT22" s="256">
        <v>5.1320326027397264E-2</v>
      </c>
      <c r="BU22" s="256">
        <v>3.275447671232877E-2</v>
      </c>
      <c r="BV22" s="256">
        <v>3.0290912328767124E-2</v>
      </c>
      <c r="BW22" s="256">
        <v>2.5614731506849318E-2</v>
      </c>
      <c r="BX22" s="300">
        <v>2.078628219178082E-2</v>
      </c>
      <c r="BY22" s="279" t="s">
        <v>134</v>
      </c>
      <c r="BZ22" s="267">
        <v>6.7252013698630139E-2</v>
      </c>
      <c r="CA22" s="256">
        <v>5.1320326027397264E-2</v>
      </c>
      <c r="CB22" s="256">
        <v>3.275447671232877E-2</v>
      </c>
      <c r="CC22" s="256">
        <v>3.0290912328767124E-2</v>
      </c>
      <c r="CD22" s="256">
        <v>2.5614731506849318E-2</v>
      </c>
      <c r="CE22" s="300">
        <v>2.078628219178082E-2</v>
      </c>
      <c r="CF22" s="279" t="s">
        <v>134</v>
      </c>
      <c r="CG22" s="267">
        <v>6.7252013698630139E-2</v>
      </c>
      <c r="CH22" s="256">
        <v>5.1320326027397264E-2</v>
      </c>
      <c r="CI22" s="256">
        <v>3.275447671232877E-2</v>
      </c>
      <c r="CJ22" s="256">
        <v>3.0290912328767124E-2</v>
      </c>
      <c r="CK22" s="256">
        <v>2.5614731506849318E-2</v>
      </c>
      <c r="CL22" s="300">
        <v>2.078628219178082E-2</v>
      </c>
      <c r="CM22" s="279" t="s">
        <v>134</v>
      </c>
      <c r="CN22" s="267">
        <v>6.7252013698630139E-2</v>
      </c>
      <c r="CO22" s="256">
        <v>5.1320326027397264E-2</v>
      </c>
      <c r="CP22" s="256">
        <v>3.275447671232877E-2</v>
      </c>
      <c r="CQ22" s="256">
        <v>3.0290912328767124E-2</v>
      </c>
      <c r="CR22" s="256">
        <v>2.5614731506849318E-2</v>
      </c>
      <c r="CS22" s="300">
        <v>2.078628219178082E-2</v>
      </c>
    </row>
    <row r="23" spans="1:97">
      <c r="A23" s="41" t="s">
        <v>17</v>
      </c>
      <c r="B23" s="40" t="s">
        <v>18</v>
      </c>
      <c r="C23" s="335" t="s">
        <v>139</v>
      </c>
      <c r="D23" s="278" t="s">
        <v>136</v>
      </c>
      <c r="E23" s="266" t="b">
        <f>IF('INTRODUCIR DATOS'!$D$20="ENERO",'RESULTADO INDEXADO'!O23,IF('INTRODUCIR DATOS'!$D$20="FEBRERO",'RESULTADO INDEXADO'!V23,IF('INTRODUCIR DATOS'!$D$20="MARZO",'RESULTADO INDEXADO'!AC23,IF('INTRODUCIR DATOS'!$D$20="ABRIL",'RESULTADO INDEXADO'!AJ23,IF('INTRODUCIR DATOS'!$D$20="MAYO",'RESULTADO INDEXADO'!AQ23,IF('INTRODUCIR DATOS'!$D$20="JUNIO",'RESULTADO INDEXADO'!AX23,IF('INTRODUCIR DATOS'!$D$20="JULIO",'RESULTADO INDEXADO'!BE23,IF('INTRODUCIR DATOS'!$D$20="AGOSTO",'RESULTADO INDEXADO'!BL23,IF('INTRODUCIR DATOS'!$D$20="SEPTIEMBRE",'RESULTADO INDEXADO'!BS23,IF('INTRODUCIR DATOS'!$D$20="OCTUBRE",'RESULTADO INDEXADO'!BZ23,IF('INTRODUCIR DATOS'!$D$20="NOVIEMBRE",'RESULTADO INDEXADO'!CG23,IF('INTRODUCIR DATOS'!$D$20="DICIEMBRE",'RESULTADO INDEXADO'!CN23))))))))))))</f>
        <v>0</v>
      </c>
      <c r="F23" s="253" t="b">
        <f>IF('INTRODUCIR DATOS'!$D$20="ENERO",'RESULTADO INDEXADO'!P23,IF('INTRODUCIR DATOS'!$D$20="FEBRERO",'RESULTADO INDEXADO'!W23,IF('INTRODUCIR DATOS'!$D$20="MARZO",'RESULTADO INDEXADO'!AD23,IF('INTRODUCIR DATOS'!$D$20="ABRIL",'RESULTADO INDEXADO'!AK23,IF('INTRODUCIR DATOS'!$D$20="MAYO",'RESULTADO INDEXADO'!AR23,IF('INTRODUCIR DATOS'!$D$20="JUNIO",'RESULTADO INDEXADO'!AY23,IF('INTRODUCIR DATOS'!$D$20="JULIO",'RESULTADO INDEXADO'!BF23,IF('INTRODUCIR DATOS'!$D$20="AGOSTO",'RESULTADO INDEXADO'!BM23,IF('INTRODUCIR DATOS'!$D$20="SEPTIEMBRE",'RESULTADO INDEXADO'!BT23,IF('INTRODUCIR DATOS'!$D$20="OCTUBRE",'RESULTADO INDEXADO'!CA23,IF('INTRODUCIR DATOS'!$D$20="NOVIEMBRE",'RESULTADO INDEXADO'!CH23,IF('INTRODUCIR DATOS'!$D$20="DICIEMBRE",'RESULTADO INDEXADO'!CO23))))))))))))</f>
        <v>0</v>
      </c>
      <c r="G23" s="253" t="b">
        <f>IF('INTRODUCIR DATOS'!$D$20="ENERO",'RESULTADO INDEXADO'!Q23,IF('INTRODUCIR DATOS'!$D$20="FEBRERO",'RESULTADO INDEXADO'!X23,IF('INTRODUCIR DATOS'!$D$20="MARZO",'RESULTADO INDEXADO'!AE23,IF('INTRODUCIR DATOS'!$D$20="ABRIL",'RESULTADO INDEXADO'!AL23,IF('INTRODUCIR DATOS'!$D$20="MAYO",'RESULTADO INDEXADO'!AS23,IF('INTRODUCIR DATOS'!$D$20="JUNIO",'RESULTADO INDEXADO'!AZ23,IF('INTRODUCIR DATOS'!$D$20="JULIO",'RESULTADO INDEXADO'!BG23,IF('INTRODUCIR DATOS'!$D$20="AGOSTO",'RESULTADO INDEXADO'!BN23,IF('INTRODUCIR DATOS'!$D$20="SEPTIEMBRE",'RESULTADO INDEXADO'!BU23,IF('INTRODUCIR DATOS'!$D$20="OCTUBRE",'RESULTADO INDEXADO'!CB23,IF('INTRODUCIR DATOS'!$D$20="NOVIEMBRE",'RESULTADO INDEXADO'!CI23,IF('INTRODUCIR DATOS'!$D$20="DICIEMBRE",'RESULTADO INDEXADO'!CP23))))))))))))</f>
        <v>0</v>
      </c>
      <c r="H23" s="254" t="b">
        <f>IF('INTRODUCIR DATOS'!$D$20="ENERO",'RESULTADO INDEXADO'!R23,IF('INTRODUCIR DATOS'!$D$20="FEBRERO",'RESULTADO INDEXADO'!Y23,IF('INTRODUCIR DATOS'!$D$20="MARZO",'RESULTADO INDEXADO'!AF23,IF('INTRODUCIR DATOS'!$D$20="ABRIL",'RESULTADO INDEXADO'!AM23,IF('INTRODUCIR DATOS'!$D$20="MAYO",'RESULTADO INDEXADO'!AT23,IF('INTRODUCIR DATOS'!$D$20="JUNIO",'RESULTADO INDEXADO'!BA23,IF('INTRODUCIR DATOS'!$D$20="JULIO",'RESULTADO INDEXADO'!BH23,IF('INTRODUCIR DATOS'!$D$20="AGOSTO",'RESULTADO INDEXADO'!BO23,IF('INTRODUCIR DATOS'!$D$20="SEPTIEMBRE",'RESULTADO INDEXADO'!BV23,IF('INTRODUCIR DATOS'!$D$20="OCTUBRE",'RESULTADO INDEXADO'!CC23,IF('INTRODUCIR DATOS'!$D$20="NOVIEMBRE",'RESULTADO INDEXADO'!CJ23,IF('INTRODUCIR DATOS'!$D$20="DICIEMBRE",'RESULTADO INDEXADO'!CQ23))))))))))))</f>
        <v>0</v>
      </c>
      <c r="I23" s="254" t="b">
        <f>IF('INTRODUCIR DATOS'!$D$20="ENERO",'RESULTADO INDEXADO'!S23,IF('INTRODUCIR DATOS'!$D$20="FEBRERO",'RESULTADO INDEXADO'!Z23,IF('INTRODUCIR DATOS'!$D$20="MARZO",'RESULTADO INDEXADO'!AG23,IF('INTRODUCIR DATOS'!$D$20="ABRIL",'RESULTADO INDEXADO'!AN23,IF('INTRODUCIR DATOS'!$D$20="MAYO",'RESULTADO INDEXADO'!AU23,IF('INTRODUCIR DATOS'!$D$20="JUNIO",'RESULTADO INDEXADO'!BB23,IF('INTRODUCIR DATOS'!$D$20="JULIO",'RESULTADO INDEXADO'!BI23,IF('INTRODUCIR DATOS'!$D$20="AGOSTO",'RESULTADO INDEXADO'!BP23,IF('INTRODUCIR DATOS'!$D$20="SEPTIEMBRE",'RESULTADO INDEXADO'!BW23,IF('INTRODUCIR DATOS'!$D$20="OCTUBRE",'RESULTADO INDEXADO'!CD23,IF('INTRODUCIR DATOS'!$D$20="NOVIEMBRE",'RESULTADO INDEXADO'!CK23,IF('INTRODUCIR DATOS'!$D$20="DICIEMBRE",'RESULTADO INDEXADO'!CR23))))))))))))</f>
        <v>0</v>
      </c>
      <c r="J23" s="295" t="b">
        <f>IF('INTRODUCIR DATOS'!$D$20="ENERO",'RESULTADO INDEXADO'!T23,IF('INTRODUCIR DATOS'!$D$20="FEBRERO",'RESULTADO INDEXADO'!AA23,IF('INTRODUCIR DATOS'!$D$20="MARZO",'RESULTADO INDEXADO'!AH23,IF('INTRODUCIR DATOS'!$D$20="ABRIL",'RESULTADO INDEXADO'!AO23,IF('INTRODUCIR DATOS'!$D$20="MAYO",'RESULTADO INDEXADO'!AV23,IF('INTRODUCIR DATOS'!$D$20="JUNIO",'RESULTADO INDEXADO'!BC23,IF('INTRODUCIR DATOS'!$D$20="JULIO",'RESULTADO INDEXADO'!BJ23,IF('INTRODUCIR DATOS'!$D$20="AGOSTO",'RESULTADO INDEXADO'!BQ23,IF('INTRODUCIR DATOS'!$D$20="SEPTIEMBRE",'RESULTADO INDEXADO'!BX23,IF('INTRODUCIR DATOS'!$D$20="OCTUBRE",'RESULTADO INDEXADO'!CE23,IF('INTRODUCIR DATOS'!$D$20="NOVIEMBRE",'RESULTADO INDEXADO'!CL23,IF('INTRODUCIR DATOS'!$D$20="DICIEMBRE",'RESULTADO INDEXADO'!CS23))))))))))))</f>
        <v>0</v>
      </c>
      <c r="K23" s="290">
        <f>('INTRODUCIR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DATOS'!$D$17)+'INTRODUCIR DATOS'!$D$15+'INTRODUCIR DATOS'!$D$16+IF('INTRODUCIR DATOS'!$D$21=21%,(('INTRODUCIR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DATOS'!$D$17)+'INTRODUCIR DATOS'!$D$16)*21/100,IF('INTRODUCIR DATOS'!$D$21=10%,(('INTRODUCIR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DATOS'!$D$17)+'INTRODUCIR DATOS'!$D$16)*10/100))</f>
        <v>1.0285</v>
      </c>
      <c r="L23" s="292">
        <f>IF(K23=0,"",'INTRODUCIR DATOS'!$D$14-K23)</f>
        <v>113.12150000000001</v>
      </c>
      <c r="M23" s="271">
        <f>IF(K23=0,"",('INTRODUCIR DATOS'!$D$14-K23)/'INTRODUCIR DATOS'!$D$14)</f>
        <v>0.99098992553657472</v>
      </c>
      <c r="N23" s="310" t="s">
        <v>136</v>
      </c>
      <c r="O23" s="266">
        <v>0.204095</v>
      </c>
      <c r="P23" s="253">
        <v>0.17347099999999999</v>
      </c>
      <c r="Q23" s="253"/>
      <c r="R23" s="254"/>
      <c r="S23" s="254"/>
      <c r="T23" s="255">
        <v>9.5368999999999995E-2</v>
      </c>
      <c r="U23" s="278" t="s">
        <v>136</v>
      </c>
      <c r="V23" s="266">
        <v>0.157997</v>
      </c>
      <c r="W23" s="253">
        <v>0.127386</v>
      </c>
      <c r="X23" s="253"/>
      <c r="Y23" s="254"/>
      <c r="Z23" s="254"/>
      <c r="AA23" s="255">
        <v>5.8522999999999999E-2</v>
      </c>
      <c r="AB23" s="278" t="s">
        <v>136</v>
      </c>
      <c r="AC23" s="266"/>
      <c r="AD23" s="253">
        <v>0.15234700000000001</v>
      </c>
      <c r="AE23" s="253">
        <v>0.11736099999999999</v>
      </c>
      <c r="AF23" s="254"/>
      <c r="AG23" s="254"/>
      <c r="AH23" s="255">
        <v>8.0881999999999996E-2</v>
      </c>
      <c r="AI23" s="278" t="s">
        <v>136</v>
      </c>
      <c r="AJ23" s="266"/>
      <c r="AK23" s="253"/>
      <c r="AL23" s="253"/>
      <c r="AM23" s="254">
        <v>0.12976399999999999</v>
      </c>
      <c r="AN23" s="254">
        <v>0.113001</v>
      </c>
      <c r="AO23" s="255">
        <v>0.105075</v>
      </c>
      <c r="AP23" s="278" t="s">
        <v>136</v>
      </c>
      <c r="AQ23" s="266"/>
      <c r="AR23" s="253"/>
      <c r="AS23" s="253"/>
      <c r="AT23" s="254">
        <v>0.132578</v>
      </c>
      <c r="AU23" s="254">
        <v>0.11705500000000001</v>
      </c>
      <c r="AV23" s="255">
        <v>0.1058887</v>
      </c>
      <c r="AW23" s="278" t="s">
        <v>136</v>
      </c>
      <c r="AX23" s="266"/>
      <c r="AY23" s="253"/>
      <c r="AZ23" s="253">
        <v>0.16286300000000001</v>
      </c>
      <c r="BA23" s="254">
        <v>0.14429600000000001</v>
      </c>
      <c r="BB23" s="254"/>
      <c r="BC23" s="255">
        <v>0.124212</v>
      </c>
      <c r="BD23" s="278" t="s">
        <v>136</v>
      </c>
      <c r="BE23" s="266">
        <v>0.220829</v>
      </c>
      <c r="BF23" s="253">
        <v>0.198326</v>
      </c>
      <c r="BG23" s="253"/>
      <c r="BH23" s="254"/>
      <c r="BI23" s="254"/>
      <c r="BJ23" s="255">
        <v>0.13909099999999999</v>
      </c>
      <c r="BK23" s="278" t="s">
        <v>136</v>
      </c>
      <c r="BL23" s="266"/>
      <c r="BM23" s="253"/>
      <c r="BN23" s="253">
        <v>0.19073799999999999</v>
      </c>
      <c r="BO23" s="254">
        <v>0.173398</v>
      </c>
      <c r="BP23" s="254"/>
      <c r="BQ23" s="255">
        <v>0.15387400000000001</v>
      </c>
      <c r="BR23" s="278" t="s">
        <v>136</v>
      </c>
      <c r="BS23" s="266"/>
      <c r="BT23" s="253"/>
      <c r="BU23" s="253"/>
      <c r="BV23" s="254"/>
      <c r="BW23" s="254"/>
      <c r="BX23" s="255"/>
      <c r="BY23" s="278" t="s">
        <v>136</v>
      </c>
      <c r="BZ23" s="266"/>
      <c r="CA23" s="253"/>
      <c r="CB23" s="253"/>
      <c r="CC23" s="254"/>
      <c r="CD23" s="254"/>
      <c r="CE23" s="255"/>
      <c r="CF23" s="278" t="s">
        <v>136</v>
      </c>
      <c r="CG23" s="266"/>
      <c r="CH23" s="253"/>
      <c r="CI23" s="253"/>
      <c r="CJ23" s="254"/>
      <c r="CK23" s="254"/>
      <c r="CL23" s="255"/>
      <c r="CM23" s="278" t="s">
        <v>136</v>
      </c>
      <c r="CN23" s="266"/>
      <c r="CO23" s="253"/>
      <c r="CP23" s="253"/>
      <c r="CQ23" s="254"/>
      <c r="CR23" s="254"/>
      <c r="CS23" s="255"/>
    </row>
    <row r="24" spans="1:97">
      <c r="A24" s="41" t="s">
        <v>17</v>
      </c>
      <c r="B24" s="40" t="s">
        <v>20</v>
      </c>
      <c r="C24" s="335" t="s">
        <v>139</v>
      </c>
      <c r="D24" s="279" t="s">
        <v>134</v>
      </c>
      <c r="E24" s="267" t="b">
        <f>IF('INTRODUCIR DATOS'!$D$20="ENERO",'RESULTADO INDEXADO'!O24,IF('INTRODUCIR DATOS'!$D$20="FEBRERO",'RESULTADO INDEXADO'!V24,IF('INTRODUCIR DATOS'!$D$20="MARZO",'RESULTADO INDEXADO'!AC24,IF('INTRODUCIR DATOS'!$D$20="ABRIL",'RESULTADO INDEXADO'!AJ24,IF('INTRODUCIR DATOS'!$D$20="MAYO",'RESULTADO INDEXADO'!AQ24,IF('INTRODUCIR DATOS'!$D$20="JUNIO",'RESULTADO INDEXADO'!AX24,IF('INTRODUCIR DATOS'!$D$20="JULIO",'RESULTADO INDEXADO'!BE24,IF('INTRODUCIR DATOS'!$D$20="AGOSTO",'RESULTADO INDEXADO'!BL24,IF('INTRODUCIR DATOS'!$D$20="SEPTIEMBRE",'RESULTADO INDEXADO'!BS24,IF('INTRODUCIR DATOS'!$D$20="OCTUBRE",'RESULTADO INDEXADO'!BZ24,IF('INTRODUCIR DATOS'!$D$20="NOVIEMBRE",'RESULTADO INDEXADO'!CG24,IF('INTRODUCIR DATOS'!$D$20="DICIEMBRE",'RESULTADO INDEXADO'!CN24))))))))))))</f>
        <v>0</v>
      </c>
      <c r="F24" s="256" t="b">
        <f>IF('INTRODUCIR DATOS'!$D$20="ENERO",'RESULTADO INDEXADO'!P24,IF('INTRODUCIR DATOS'!$D$20="FEBRERO",'RESULTADO INDEXADO'!W24,IF('INTRODUCIR DATOS'!$D$20="MARZO",'RESULTADO INDEXADO'!AD24,IF('INTRODUCIR DATOS'!$D$20="ABRIL",'RESULTADO INDEXADO'!AK24,IF('INTRODUCIR DATOS'!$D$20="MAYO",'RESULTADO INDEXADO'!AR24,IF('INTRODUCIR DATOS'!$D$20="JUNIO",'RESULTADO INDEXADO'!AY24,IF('INTRODUCIR DATOS'!$D$20="JULIO",'RESULTADO INDEXADO'!BF24,IF('INTRODUCIR DATOS'!$D$20="AGOSTO",'RESULTADO INDEXADO'!BM24,IF('INTRODUCIR DATOS'!$D$20="SEPTIEMBRE",'RESULTADO INDEXADO'!BT24,IF('INTRODUCIR DATOS'!$D$20="OCTUBRE",'RESULTADO INDEXADO'!CA24,IF('INTRODUCIR DATOS'!$D$20="NOVIEMBRE",'RESULTADO INDEXADO'!CH24,IF('INTRODUCIR DATOS'!$D$20="DICIEMBRE",'RESULTADO INDEXADO'!CO24))))))))))))</f>
        <v>0</v>
      </c>
      <c r="G24" s="257" t="b">
        <f>IF('INTRODUCIR DATOS'!$D$20="ENERO",'RESULTADO INDEXADO'!Q24,IF('INTRODUCIR DATOS'!$D$20="FEBRERO",'RESULTADO INDEXADO'!X24,IF('INTRODUCIR DATOS'!$D$20="MARZO",'RESULTADO INDEXADO'!AE24,IF('INTRODUCIR DATOS'!$D$20="ABRIL",'RESULTADO INDEXADO'!AL24,IF('INTRODUCIR DATOS'!$D$20="MAYO",'RESULTADO INDEXADO'!AS24,IF('INTRODUCIR DATOS'!$D$20="JUNIO",'RESULTADO INDEXADO'!AZ24,IF('INTRODUCIR DATOS'!$D$20="JULIO",'RESULTADO INDEXADO'!BG24,IF('INTRODUCIR DATOS'!$D$20="AGOSTO",'RESULTADO INDEXADO'!BN24,IF('INTRODUCIR DATOS'!$D$20="SEPTIEMBRE",'RESULTADO INDEXADO'!BU24,IF('INTRODUCIR DATOS'!$D$20="OCTUBRE",'RESULTADO INDEXADO'!CB24,IF('INTRODUCIR DATOS'!$D$20="NOVIEMBRE",'RESULTADO INDEXADO'!CI24,IF('INTRODUCIR DATOS'!$D$20="DICIEMBRE",'RESULTADO INDEXADO'!CP24))))))))))))</f>
        <v>0</v>
      </c>
      <c r="H24" s="257" t="b">
        <f>IF('INTRODUCIR DATOS'!$D$20="ENERO",'RESULTADO INDEXADO'!R24,IF('INTRODUCIR DATOS'!$D$20="FEBRERO",'RESULTADO INDEXADO'!Y24,IF('INTRODUCIR DATOS'!$D$20="MARZO",'RESULTADO INDEXADO'!AF24,IF('INTRODUCIR DATOS'!$D$20="ABRIL",'RESULTADO INDEXADO'!AM24,IF('INTRODUCIR DATOS'!$D$20="MAYO",'RESULTADO INDEXADO'!AT24,IF('INTRODUCIR DATOS'!$D$20="JUNIO",'RESULTADO INDEXADO'!BA24,IF('INTRODUCIR DATOS'!$D$20="JULIO",'RESULTADO INDEXADO'!BH24,IF('INTRODUCIR DATOS'!$D$20="AGOSTO",'RESULTADO INDEXADO'!BO24,IF('INTRODUCIR DATOS'!$D$20="SEPTIEMBRE",'RESULTADO INDEXADO'!BV24,IF('INTRODUCIR DATOS'!$D$20="OCTUBRE",'RESULTADO INDEXADO'!CC24,IF('INTRODUCIR DATOS'!$D$20="NOVIEMBRE",'RESULTADO INDEXADO'!CJ24,IF('INTRODUCIR DATOS'!$D$20="DICIEMBRE",'RESULTADO INDEXADO'!CQ24))))))))))))</f>
        <v>0</v>
      </c>
      <c r="I24" s="257" t="b">
        <f>IF('INTRODUCIR DATOS'!$D$20="ENERO",'RESULTADO INDEXADO'!S24,IF('INTRODUCIR DATOS'!$D$20="FEBRERO",'RESULTADO INDEXADO'!Z24,IF('INTRODUCIR DATOS'!$D$20="MARZO",'RESULTADO INDEXADO'!AG24,IF('INTRODUCIR DATOS'!$D$20="ABRIL",'RESULTADO INDEXADO'!AN24,IF('INTRODUCIR DATOS'!$D$20="MAYO",'RESULTADO INDEXADO'!AU24,IF('INTRODUCIR DATOS'!$D$20="JUNIO",'RESULTADO INDEXADO'!BB24,IF('INTRODUCIR DATOS'!$D$20="JULIO",'RESULTADO INDEXADO'!BI24,IF('INTRODUCIR DATOS'!$D$20="AGOSTO",'RESULTADO INDEXADO'!BP24,IF('INTRODUCIR DATOS'!$D$20="SEPTIEMBRE",'RESULTADO INDEXADO'!BW24,IF('INTRODUCIR DATOS'!$D$20="OCTUBRE",'RESULTADO INDEXADO'!CD24,IF('INTRODUCIR DATOS'!$D$20="NOVIEMBRE",'RESULTADO INDEXADO'!CK24,IF('INTRODUCIR DATOS'!$D$20="DICIEMBRE",'RESULTADO INDEXADO'!CR24))))))))))))</f>
        <v>0</v>
      </c>
      <c r="J24" s="296" t="b">
        <f>IF('INTRODUCIR DATOS'!$D$20="ENERO",'RESULTADO INDEXADO'!T24,IF('INTRODUCIR DATOS'!$D$20="FEBRERO",'RESULTADO INDEXADO'!AA24,IF('INTRODUCIR DATOS'!$D$20="MARZO",'RESULTADO INDEXADO'!AH24,IF('INTRODUCIR DATOS'!$D$20="ABRIL",'RESULTADO INDEXADO'!AO24,IF('INTRODUCIR DATOS'!$D$20="MAYO",'RESULTADO INDEXADO'!AV24,IF('INTRODUCIR DATOS'!$D$20="JUNIO",'RESULTADO INDEXADO'!BC24,IF('INTRODUCIR DATOS'!$D$20="JULIO",'RESULTADO INDEXADO'!BJ24,IF('INTRODUCIR DATOS'!$D$20="AGOSTO",'RESULTADO INDEXADO'!BQ24,IF('INTRODUCIR DATOS'!$D$20="SEPTIEMBRE",'RESULTADO INDEXADO'!BX24,IF('INTRODUCIR DATOS'!$D$20="OCTUBRE",'RESULTADO INDEXADO'!CE24,IF('INTRODUCIR DATOS'!$D$20="NOVIEMBRE",'RESULTADO INDEXADO'!CL24,IF('INTRODUCIR DATOS'!$D$20="DICIEMBRE",'RESULTADO INDEXADO'!CS24))))))))))))</f>
        <v>0</v>
      </c>
      <c r="K24" s="41"/>
      <c r="L24" s="40"/>
      <c r="M24" s="145"/>
      <c r="N24" s="311" t="s">
        <v>134</v>
      </c>
      <c r="O24" s="267">
        <v>6.4512287671232876E-2</v>
      </c>
      <c r="P24" s="256">
        <v>4.8580600000000002E-2</v>
      </c>
      <c r="Q24" s="256">
        <v>3.0014750684931507E-2</v>
      </c>
      <c r="R24" s="256">
        <v>2.7551186301369865E-2</v>
      </c>
      <c r="S24" s="256">
        <v>2.2875005479452055E-2</v>
      </c>
      <c r="T24" s="300">
        <v>1.8046556164383561E-2</v>
      </c>
      <c r="U24" s="279" t="s">
        <v>134</v>
      </c>
      <c r="V24" s="267">
        <v>6.4512287671232876E-2</v>
      </c>
      <c r="W24" s="256">
        <v>4.8580600000000002E-2</v>
      </c>
      <c r="X24" s="256">
        <v>3.0014750684931507E-2</v>
      </c>
      <c r="Y24" s="256">
        <v>2.7551186301369865E-2</v>
      </c>
      <c r="Z24" s="256">
        <v>2.2875005479452055E-2</v>
      </c>
      <c r="AA24" s="300">
        <v>1.8046556164383561E-2</v>
      </c>
      <c r="AB24" s="279" t="s">
        <v>134</v>
      </c>
      <c r="AC24" s="267">
        <v>6.4512287671232876E-2</v>
      </c>
      <c r="AD24" s="256">
        <v>4.8580600000000002E-2</v>
      </c>
      <c r="AE24" s="256">
        <v>3.0014750684931507E-2</v>
      </c>
      <c r="AF24" s="256">
        <v>2.7551186301369865E-2</v>
      </c>
      <c r="AG24" s="256">
        <v>2.2875005479452055E-2</v>
      </c>
      <c r="AH24" s="300">
        <v>1.8046556164383561E-2</v>
      </c>
      <c r="AI24" s="279" t="s">
        <v>134</v>
      </c>
      <c r="AJ24" s="267">
        <v>6.4512287671232876E-2</v>
      </c>
      <c r="AK24" s="256">
        <v>4.8580600000000002E-2</v>
      </c>
      <c r="AL24" s="256">
        <v>3.0014750684931507E-2</v>
      </c>
      <c r="AM24" s="256">
        <v>2.7551186301369865E-2</v>
      </c>
      <c r="AN24" s="256">
        <v>2.2875005479452055E-2</v>
      </c>
      <c r="AO24" s="300">
        <v>1.8046556164383561E-2</v>
      </c>
      <c r="AP24" s="279" t="s">
        <v>134</v>
      </c>
      <c r="AQ24" s="267">
        <v>6.4512287671232876E-2</v>
      </c>
      <c r="AR24" s="256">
        <v>4.8580600000000002E-2</v>
      </c>
      <c r="AS24" s="256">
        <v>3.0014750684931507E-2</v>
      </c>
      <c r="AT24" s="256">
        <v>2.7551186301369865E-2</v>
      </c>
      <c r="AU24" s="256">
        <v>2.2875005479452055E-2</v>
      </c>
      <c r="AV24" s="300">
        <v>1.8046556164383561E-2</v>
      </c>
      <c r="AW24" s="279" t="s">
        <v>134</v>
      </c>
      <c r="AX24" s="267">
        <v>6.4512287671232876E-2</v>
      </c>
      <c r="AY24" s="256">
        <v>4.8580600000000002E-2</v>
      </c>
      <c r="AZ24" s="256">
        <v>3.0014750684931507E-2</v>
      </c>
      <c r="BA24" s="256">
        <v>2.7551186301369865E-2</v>
      </c>
      <c r="BB24" s="256">
        <v>2.2875005479452055E-2</v>
      </c>
      <c r="BC24" s="300">
        <v>1.8046556164383561E-2</v>
      </c>
      <c r="BD24" s="279" t="s">
        <v>134</v>
      </c>
      <c r="BE24" s="267">
        <v>6.4512287671232876E-2</v>
      </c>
      <c r="BF24" s="256">
        <v>4.8580600000000002E-2</v>
      </c>
      <c r="BG24" s="256">
        <v>3.0014750684931507E-2</v>
      </c>
      <c r="BH24" s="256">
        <v>2.7551186301369865E-2</v>
      </c>
      <c r="BI24" s="256">
        <v>2.2875005479452055E-2</v>
      </c>
      <c r="BJ24" s="300">
        <v>1.8046556164383561E-2</v>
      </c>
      <c r="BK24" s="279" t="s">
        <v>134</v>
      </c>
      <c r="BL24" s="267">
        <v>6.4512287671232876E-2</v>
      </c>
      <c r="BM24" s="256">
        <v>4.8580600000000002E-2</v>
      </c>
      <c r="BN24" s="256">
        <v>3.0014750684931507E-2</v>
      </c>
      <c r="BO24" s="256">
        <v>2.7551186301369865E-2</v>
      </c>
      <c r="BP24" s="256">
        <v>2.2875005479452055E-2</v>
      </c>
      <c r="BQ24" s="300">
        <v>1.8046556164383561E-2</v>
      </c>
      <c r="BR24" s="279" t="s">
        <v>134</v>
      </c>
      <c r="BS24" s="267">
        <v>6.4512287671232876E-2</v>
      </c>
      <c r="BT24" s="256">
        <v>4.8580600000000002E-2</v>
      </c>
      <c r="BU24" s="256">
        <v>3.0014750684931507E-2</v>
      </c>
      <c r="BV24" s="256">
        <v>2.7551186301369865E-2</v>
      </c>
      <c r="BW24" s="256">
        <v>2.2875005479452055E-2</v>
      </c>
      <c r="BX24" s="300">
        <v>1.8046556164383561E-2</v>
      </c>
      <c r="BY24" s="279" t="s">
        <v>134</v>
      </c>
      <c r="BZ24" s="267">
        <v>6.4512287671232876E-2</v>
      </c>
      <c r="CA24" s="256">
        <v>4.8580600000000002E-2</v>
      </c>
      <c r="CB24" s="256">
        <v>3.0014750684931507E-2</v>
      </c>
      <c r="CC24" s="256">
        <v>2.7551186301369865E-2</v>
      </c>
      <c r="CD24" s="256">
        <v>2.2875005479452055E-2</v>
      </c>
      <c r="CE24" s="300">
        <v>1.8046556164383561E-2</v>
      </c>
      <c r="CF24" s="279" t="s">
        <v>134</v>
      </c>
      <c r="CG24" s="267">
        <v>6.4512287671232876E-2</v>
      </c>
      <c r="CH24" s="256">
        <v>4.8580600000000002E-2</v>
      </c>
      <c r="CI24" s="256">
        <v>3.0014750684931507E-2</v>
      </c>
      <c r="CJ24" s="256">
        <v>2.7551186301369865E-2</v>
      </c>
      <c r="CK24" s="256">
        <v>2.2875005479452055E-2</v>
      </c>
      <c r="CL24" s="300">
        <v>1.8046556164383561E-2</v>
      </c>
      <c r="CM24" s="279" t="s">
        <v>134</v>
      </c>
      <c r="CN24" s="267">
        <v>6.4512287671232876E-2</v>
      </c>
      <c r="CO24" s="256">
        <v>4.8580600000000002E-2</v>
      </c>
      <c r="CP24" s="256">
        <v>3.0014750684931507E-2</v>
      </c>
      <c r="CQ24" s="256">
        <v>2.7551186301369865E-2</v>
      </c>
      <c r="CR24" s="256">
        <v>2.2875005479452055E-2</v>
      </c>
      <c r="CS24" s="300">
        <v>1.8046556164383561E-2</v>
      </c>
    </row>
    <row r="25" spans="1:97">
      <c r="A25" s="41" t="s">
        <v>17</v>
      </c>
      <c r="B25" s="40" t="s">
        <v>20</v>
      </c>
      <c r="C25" s="335" t="s">
        <v>139</v>
      </c>
      <c r="D25" s="278" t="s">
        <v>136</v>
      </c>
      <c r="E25" s="266" t="b">
        <f>IF('INTRODUCIR DATOS'!$D$20="ENERO",'RESULTADO INDEXADO'!O25,IF('INTRODUCIR DATOS'!$D$20="FEBRERO",'RESULTADO INDEXADO'!V25,IF('INTRODUCIR DATOS'!$D$20="MARZO",'RESULTADO INDEXADO'!AC25,IF('INTRODUCIR DATOS'!$D$20="ABRIL",'RESULTADO INDEXADO'!AJ25,IF('INTRODUCIR DATOS'!$D$20="MAYO",'RESULTADO INDEXADO'!AQ25,IF('INTRODUCIR DATOS'!$D$20="JUNIO",'RESULTADO INDEXADO'!AX25,IF('INTRODUCIR DATOS'!$D$20="JULIO",'RESULTADO INDEXADO'!BE25,IF('INTRODUCIR DATOS'!$D$20="AGOSTO",'RESULTADO INDEXADO'!BL25,IF('INTRODUCIR DATOS'!$D$20="SEPTIEMBRE",'RESULTADO INDEXADO'!BS25,IF('INTRODUCIR DATOS'!$D$20="OCTUBRE",'RESULTADO INDEXADO'!BZ25,IF('INTRODUCIR DATOS'!$D$20="NOVIEMBRE",'RESULTADO INDEXADO'!CG25,IF('INTRODUCIR DATOS'!$D$20="DICIEMBRE",'RESULTADO INDEXADO'!CN25))))))))))))</f>
        <v>0</v>
      </c>
      <c r="F25" s="253" t="b">
        <f>IF('INTRODUCIR DATOS'!$D$20="ENERO",'RESULTADO INDEXADO'!P25,IF('INTRODUCIR DATOS'!$D$20="FEBRERO",'RESULTADO INDEXADO'!W25,IF('INTRODUCIR DATOS'!$D$20="MARZO",'RESULTADO INDEXADO'!AD25,IF('INTRODUCIR DATOS'!$D$20="ABRIL",'RESULTADO INDEXADO'!AK25,IF('INTRODUCIR DATOS'!$D$20="MAYO",'RESULTADO INDEXADO'!AR25,IF('INTRODUCIR DATOS'!$D$20="JUNIO",'RESULTADO INDEXADO'!AY25,IF('INTRODUCIR DATOS'!$D$20="JULIO",'RESULTADO INDEXADO'!BF25,IF('INTRODUCIR DATOS'!$D$20="AGOSTO",'RESULTADO INDEXADO'!BM25,IF('INTRODUCIR DATOS'!$D$20="SEPTIEMBRE",'RESULTADO INDEXADO'!BT25,IF('INTRODUCIR DATOS'!$D$20="OCTUBRE",'RESULTADO INDEXADO'!CA25,IF('INTRODUCIR DATOS'!$D$20="NOVIEMBRE",'RESULTADO INDEXADO'!CH25,IF('INTRODUCIR DATOS'!$D$20="DICIEMBRE",'RESULTADO INDEXADO'!CO25))))))))))))</f>
        <v>0</v>
      </c>
      <c r="G25" s="253" t="b">
        <f>IF('INTRODUCIR DATOS'!$D$20="ENERO",'RESULTADO INDEXADO'!Q25,IF('INTRODUCIR DATOS'!$D$20="FEBRERO",'RESULTADO INDEXADO'!X25,IF('INTRODUCIR DATOS'!$D$20="MARZO",'RESULTADO INDEXADO'!AE25,IF('INTRODUCIR DATOS'!$D$20="ABRIL",'RESULTADO INDEXADO'!AL25,IF('INTRODUCIR DATOS'!$D$20="MAYO",'RESULTADO INDEXADO'!AS25,IF('INTRODUCIR DATOS'!$D$20="JUNIO",'RESULTADO INDEXADO'!AZ25,IF('INTRODUCIR DATOS'!$D$20="JULIO",'RESULTADO INDEXADO'!BG25,IF('INTRODUCIR DATOS'!$D$20="AGOSTO",'RESULTADO INDEXADO'!BN25,IF('INTRODUCIR DATOS'!$D$20="SEPTIEMBRE",'RESULTADO INDEXADO'!BU25,IF('INTRODUCIR DATOS'!$D$20="OCTUBRE",'RESULTADO INDEXADO'!CB25,IF('INTRODUCIR DATOS'!$D$20="NOVIEMBRE",'RESULTADO INDEXADO'!CI25,IF('INTRODUCIR DATOS'!$D$20="DICIEMBRE",'RESULTADO INDEXADO'!CP25))))))))))))</f>
        <v>0</v>
      </c>
      <c r="H25" s="254" t="b">
        <f>IF('INTRODUCIR DATOS'!$D$20="ENERO",'RESULTADO INDEXADO'!R25,IF('INTRODUCIR DATOS'!$D$20="FEBRERO",'RESULTADO INDEXADO'!Y25,IF('INTRODUCIR DATOS'!$D$20="MARZO",'RESULTADO INDEXADO'!AF25,IF('INTRODUCIR DATOS'!$D$20="ABRIL",'RESULTADO INDEXADO'!AM25,IF('INTRODUCIR DATOS'!$D$20="MAYO",'RESULTADO INDEXADO'!AT25,IF('INTRODUCIR DATOS'!$D$20="JUNIO",'RESULTADO INDEXADO'!BA25,IF('INTRODUCIR DATOS'!$D$20="JULIO",'RESULTADO INDEXADO'!BH25,IF('INTRODUCIR DATOS'!$D$20="AGOSTO",'RESULTADO INDEXADO'!BO25,IF('INTRODUCIR DATOS'!$D$20="SEPTIEMBRE",'RESULTADO INDEXADO'!BV25,IF('INTRODUCIR DATOS'!$D$20="OCTUBRE",'RESULTADO INDEXADO'!CC25,IF('INTRODUCIR DATOS'!$D$20="NOVIEMBRE",'RESULTADO INDEXADO'!CJ25,IF('INTRODUCIR DATOS'!$D$20="DICIEMBRE",'RESULTADO INDEXADO'!CQ25))))))))))))</f>
        <v>0</v>
      </c>
      <c r="I25" s="254" t="b">
        <f>IF('INTRODUCIR DATOS'!$D$20="ENERO",'RESULTADO INDEXADO'!S25,IF('INTRODUCIR DATOS'!$D$20="FEBRERO",'RESULTADO INDEXADO'!Z25,IF('INTRODUCIR DATOS'!$D$20="MARZO",'RESULTADO INDEXADO'!AG25,IF('INTRODUCIR DATOS'!$D$20="ABRIL",'RESULTADO INDEXADO'!AN25,IF('INTRODUCIR DATOS'!$D$20="MAYO",'RESULTADO INDEXADO'!AU25,IF('INTRODUCIR DATOS'!$D$20="JUNIO",'RESULTADO INDEXADO'!BB25,IF('INTRODUCIR DATOS'!$D$20="JULIO",'RESULTADO INDEXADO'!BI25,IF('INTRODUCIR DATOS'!$D$20="AGOSTO",'RESULTADO INDEXADO'!BP25,IF('INTRODUCIR DATOS'!$D$20="SEPTIEMBRE",'RESULTADO INDEXADO'!BW25,IF('INTRODUCIR DATOS'!$D$20="OCTUBRE",'RESULTADO INDEXADO'!CD25,IF('INTRODUCIR DATOS'!$D$20="NOVIEMBRE",'RESULTADO INDEXADO'!CK25,IF('INTRODUCIR DATOS'!$D$20="DICIEMBRE",'RESULTADO INDEXADO'!CR25))))))))))))</f>
        <v>0</v>
      </c>
      <c r="J25" s="295" t="b">
        <f>IF('INTRODUCIR DATOS'!$D$20="ENERO",'RESULTADO INDEXADO'!T25,IF('INTRODUCIR DATOS'!$D$20="FEBRERO",'RESULTADO INDEXADO'!AA25,IF('INTRODUCIR DATOS'!$D$20="MARZO",'RESULTADO INDEXADO'!AH25,IF('INTRODUCIR DATOS'!$D$20="ABRIL",'RESULTADO INDEXADO'!AO25,IF('INTRODUCIR DATOS'!$D$20="MAYO",'RESULTADO INDEXADO'!AV25,IF('INTRODUCIR DATOS'!$D$20="JUNIO",'RESULTADO INDEXADO'!BC25,IF('INTRODUCIR DATOS'!$D$20="JULIO",'RESULTADO INDEXADO'!BJ25,IF('INTRODUCIR DATOS'!$D$20="AGOSTO",'RESULTADO INDEXADO'!BQ25,IF('INTRODUCIR DATOS'!$D$20="SEPTIEMBRE",'RESULTADO INDEXADO'!BX25,IF('INTRODUCIR DATOS'!$D$20="OCTUBRE",'RESULTADO INDEXADO'!CE25,IF('INTRODUCIR DATOS'!$D$20="NOVIEMBRE",'RESULTADO INDEXADO'!CL25,IF('INTRODUCIR DATOS'!$D$20="DICIEMBRE",'RESULTADO INDEXADO'!CS25))))))))))))</f>
        <v>0</v>
      </c>
      <c r="K25" s="290">
        <f>('INTRODUCIR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DATOS'!$D$17)+'INTRODUCIR DATOS'!$D$15+'INTRODUCIR DATOS'!$D$16+IF('INTRODUCIR DATOS'!$D$21=21%,(('INTRODUCIR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DATOS'!$D$17)+'INTRODUCIR DATOS'!$D$16)*21/100,IF('INTRODUCIR DATOS'!$D$21=10%,(('INTRODUCIR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DATOS'!$D$17)+'INTRODUCIR DATOS'!$D$16)*10/100))</f>
        <v>1.0285</v>
      </c>
      <c r="L25" s="292">
        <f>IF(K25=0,"",'INTRODUCIR DATOS'!$D$14-K25)</f>
        <v>113.12150000000001</v>
      </c>
      <c r="M25" s="271">
        <f>IF(K25=0,"",('INTRODUCIR DATOS'!$D$14-K25)/'INTRODUCIR DATOS'!$D$14)</f>
        <v>0.99098992553657472</v>
      </c>
      <c r="N25" s="310" t="s">
        <v>136</v>
      </c>
      <c r="O25" s="266">
        <v>0.19609499999999999</v>
      </c>
      <c r="P25" s="253">
        <v>0.16547100000000001</v>
      </c>
      <c r="Q25" s="253"/>
      <c r="R25" s="254"/>
      <c r="S25" s="254"/>
      <c r="T25" s="255">
        <v>0.87368999999999997</v>
      </c>
      <c r="U25" s="278" t="s">
        <v>136</v>
      </c>
      <c r="V25" s="266">
        <v>0.14999699999999999</v>
      </c>
      <c r="W25" s="253">
        <v>0.11938600000000001</v>
      </c>
      <c r="X25" s="253"/>
      <c r="Y25" s="254"/>
      <c r="Z25" s="254"/>
      <c r="AA25" s="255">
        <v>5.5230000000000001E-2</v>
      </c>
      <c r="AB25" s="278" t="s">
        <v>136</v>
      </c>
      <c r="AC25" s="266"/>
      <c r="AD25" s="253">
        <v>0.144347</v>
      </c>
      <c r="AE25" s="253">
        <v>0.109361</v>
      </c>
      <c r="AF25" s="254"/>
      <c r="AG25" s="254"/>
      <c r="AH25" s="255">
        <v>7.2882000000000002E-2</v>
      </c>
      <c r="AI25" s="278" t="s">
        <v>136</v>
      </c>
      <c r="AJ25" s="266"/>
      <c r="AK25" s="253"/>
      <c r="AL25" s="253"/>
      <c r="AM25" s="254">
        <v>0.121764</v>
      </c>
      <c r="AN25" s="254">
        <v>0.105001</v>
      </c>
      <c r="AO25" s="255">
        <v>9.7074999999999995E-2</v>
      </c>
      <c r="AP25" s="278" t="s">
        <v>136</v>
      </c>
      <c r="AQ25" s="266"/>
      <c r="AR25" s="253"/>
      <c r="AS25" s="253"/>
      <c r="AT25" s="254">
        <v>0.12457799999999999</v>
      </c>
      <c r="AU25" s="254">
        <v>0.109055</v>
      </c>
      <c r="AV25" s="255">
        <v>9.7889000000000004E-2</v>
      </c>
      <c r="AW25" s="278" t="s">
        <v>136</v>
      </c>
      <c r="AX25" s="266"/>
      <c r="AY25" s="253"/>
      <c r="AZ25" s="253">
        <v>0.154863</v>
      </c>
      <c r="BA25" s="254">
        <v>0.136296</v>
      </c>
      <c r="BB25" s="254"/>
      <c r="BC25" s="255">
        <v>0.116212</v>
      </c>
      <c r="BD25" s="278" t="s">
        <v>136</v>
      </c>
      <c r="BE25" s="266">
        <v>0.21282899999999999</v>
      </c>
      <c r="BF25" s="253">
        <v>0.190326</v>
      </c>
      <c r="BG25" s="253"/>
      <c r="BH25" s="254"/>
      <c r="BI25" s="254"/>
      <c r="BJ25" s="255">
        <v>0.13109100000000001</v>
      </c>
      <c r="BK25" s="278" t="s">
        <v>136</v>
      </c>
      <c r="BL25" s="266"/>
      <c r="BM25" s="253"/>
      <c r="BN25" s="253">
        <v>0.18273800000000001</v>
      </c>
      <c r="BO25" s="254">
        <v>0.16539799999999999</v>
      </c>
      <c r="BP25" s="254"/>
      <c r="BQ25" s="255">
        <v>0.145874</v>
      </c>
      <c r="BR25" s="278" t="s">
        <v>136</v>
      </c>
      <c r="BS25" s="266"/>
      <c r="BT25" s="253"/>
      <c r="BU25" s="253"/>
      <c r="BV25" s="254"/>
      <c r="BW25" s="254"/>
      <c r="BX25" s="255"/>
      <c r="BY25" s="278" t="s">
        <v>136</v>
      </c>
      <c r="BZ25" s="266"/>
      <c r="CA25" s="253"/>
      <c r="CB25" s="253"/>
      <c r="CC25" s="254"/>
      <c r="CD25" s="254"/>
      <c r="CE25" s="255"/>
      <c r="CF25" s="278" t="s">
        <v>136</v>
      </c>
      <c r="CG25" s="266"/>
      <c r="CH25" s="253"/>
      <c r="CI25" s="253"/>
      <c r="CJ25" s="254"/>
      <c r="CK25" s="254"/>
      <c r="CL25" s="255"/>
      <c r="CM25" s="278" t="s">
        <v>136</v>
      </c>
      <c r="CN25" s="266"/>
      <c r="CO25" s="253"/>
      <c r="CP25" s="253"/>
      <c r="CQ25" s="254"/>
      <c r="CR25" s="254"/>
      <c r="CS25" s="255"/>
    </row>
    <row r="26" spans="1:97">
      <c r="A26" s="41" t="s">
        <v>17</v>
      </c>
      <c r="B26" s="40" t="s">
        <v>24</v>
      </c>
      <c r="C26" s="335" t="s">
        <v>139</v>
      </c>
      <c r="D26" s="279" t="s">
        <v>134</v>
      </c>
      <c r="E26" s="267" t="b">
        <f>IF('INTRODUCIR DATOS'!$D$20="ENERO",'RESULTADO INDEXADO'!O26,IF('INTRODUCIR DATOS'!$D$20="FEBRERO",'RESULTADO INDEXADO'!V26,IF('INTRODUCIR DATOS'!$D$20="MARZO",'RESULTADO INDEXADO'!AC26,IF('INTRODUCIR DATOS'!$D$20="ABRIL",'RESULTADO INDEXADO'!AJ26,IF('INTRODUCIR DATOS'!$D$20="MAYO",'RESULTADO INDEXADO'!AQ26,IF('INTRODUCIR DATOS'!$D$20="JUNIO",'RESULTADO INDEXADO'!AX26,IF('INTRODUCIR DATOS'!$D$20="JULIO",'RESULTADO INDEXADO'!BE26,IF('INTRODUCIR DATOS'!$D$20="AGOSTO",'RESULTADO INDEXADO'!BL26,IF('INTRODUCIR DATOS'!$D$20="SEPTIEMBRE",'RESULTADO INDEXADO'!BS26,IF('INTRODUCIR DATOS'!$D$20="OCTUBRE",'RESULTADO INDEXADO'!BZ26,IF('INTRODUCIR DATOS'!$D$20="NOVIEMBRE",'RESULTADO INDEXADO'!CG26,IF('INTRODUCIR DATOS'!$D$20="DICIEMBRE",'RESULTADO INDEXADO'!CN26))))))))))))</f>
        <v>0</v>
      </c>
      <c r="F26" s="256" t="b">
        <f>IF('INTRODUCIR DATOS'!$D$20="ENERO",'RESULTADO INDEXADO'!P26,IF('INTRODUCIR DATOS'!$D$20="FEBRERO",'RESULTADO INDEXADO'!W26,IF('INTRODUCIR DATOS'!$D$20="MARZO",'RESULTADO INDEXADO'!AD26,IF('INTRODUCIR DATOS'!$D$20="ABRIL",'RESULTADO INDEXADO'!AK26,IF('INTRODUCIR DATOS'!$D$20="MAYO",'RESULTADO INDEXADO'!AR26,IF('INTRODUCIR DATOS'!$D$20="JUNIO",'RESULTADO INDEXADO'!AY26,IF('INTRODUCIR DATOS'!$D$20="JULIO",'RESULTADO INDEXADO'!BF26,IF('INTRODUCIR DATOS'!$D$20="AGOSTO",'RESULTADO INDEXADO'!BM26,IF('INTRODUCIR DATOS'!$D$20="SEPTIEMBRE",'RESULTADO INDEXADO'!BT26,IF('INTRODUCIR DATOS'!$D$20="OCTUBRE",'RESULTADO INDEXADO'!CA26,IF('INTRODUCIR DATOS'!$D$20="NOVIEMBRE",'RESULTADO INDEXADO'!CH26,IF('INTRODUCIR DATOS'!$D$20="DICIEMBRE",'RESULTADO INDEXADO'!CO26))))))))))))</f>
        <v>0</v>
      </c>
      <c r="G26" s="257" t="b">
        <f>IF('INTRODUCIR DATOS'!$D$20="ENERO",'RESULTADO INDEXADO'!Q26,IF('INTRODUCIR DATOS'!$D$20="FEBRERO",'RESULTADO INDEXADO'!X26,IF('INTRODUCIR DATOS'!$D$20="MARZO",'RESULTADO INDEXADO'!AE26,IF('INTRODUCIR DATOS'!$D$20="ABRIL",'RESULTADO INDEXADO'!AL26,IF('INTRODUCIR DATOS'!$D$20="MAYO",'RESULTADO INDEXADO'!AS26,IF('INTRODUCIR DATOS'!$D$20="JUNIO",'RESULTADO INDEXADO'!AZ26,IF('INTRODUCIR DATOS'!$D$20="JULIO",'RESULTADO INDEXADO'!BG26,IF('INTRODUCIR DATOS'!$D$20="AGOSTO",'RESULTADO INDEXADO'!BN26,IF('INTRODUCIR DATOS'!$D$20="SEPTIEMBRE",'RESULTADO INDEXADO'!BU26,IF('INTRODUCIR DATOS'!$D$20="OCTUBRE",'RESULTADO INDEXADO'!CB26,IF('INTRODUCIR DATOS'!$D$20="NOVIEMBRE",'RESULTADO INDEXADO'!CI26,IF('INTRODUCIR DATOS'!$D$20="DICIEMBRE",'RESULTADO INDEXADO'!CP26))))))))))))</f>
        <v>0</v>
      </c>
      <c r="H26" s="257" t="b">
        <f>IF('INTRODUCIR DATOS'!$D$20="ENERO",'RESULTADO INDEXADO'!R26,IF('INTRODUCIR DATOS'!$D$20="FEBRERO",'RESULTADO INDEXADO'!Y26,IF('INTRODUCIR DATOS'!$D$20="MARZO",'RESULTADO INDEXADO'!AF26,IF('INTRODUCIR DATOS'!$D$20="ABRIL",'RESULTADO INDEXADO'!AM26,IF('INTRODUCIR DATOS'!$D$20="MAYO",'RESULTADO INDEXADO'!AT26,IF('INTRODUCIR DATOS'!$D$20="JUNIO",'RESULTADO INDEXADO'!BA26,IF('INTRODUCIR DATOS'!$D$20="JULIO",'RESULTADO INDEXADO'!BH26,IF('INTRODUCIR DATOS'!$D$20="AGOSTO",'RESULTADO INDEXADO'!BO26,IF('INTRODUCIR DATOS'!$D$20="SEPTIEMBRE",'RESULTADO INDEXADO'!BV26,IF('INTRODUCIR DATOS'!$D$20="OCTUBRE",'RESULTADO INDEXADO'!CC26,IF('INTRODUCIR DATOS'!$D$20="NOVIEMBRE",'RESULTADO INDEXADO'!CJ26,IF('INTRODUCIR DATOS'!$D$20="DICIEMBRE",'RESULTADO INDEXADO'!CQ26))))))))))))</f>
        <v>0</v>
      </c>
      <c r="I26" s="257" t="b">
        <f>IF('INTRODUCIR DATOS'!$D$20="ENERO",'RESULTADO INDEXADO'!S26,IF('INTRODUCIR DATOS'!$D$20="FEBRERO",'RESULTADO INDEXADO'!Z26,IF('INTRODUCIR DATOS'!$D$20="MARZO",'RESULTADO INDEXADO'!AG26,IF('INTRODUCIR DATOS'!$D$20="ABRIL",'RESULTADO INDEXADO'!AN26,IF('INTRODUCIR DATOS'!$D$20="MAYO",'RESULTADO INDEXADO'!AU26,IF('INTRODUCIR DATOS'!$D$20="JUNIO",'RESULTADO INDEXADO'!BB26,IF('INTRODUCIR DATOS'!$D$20="JULIO",'RESULTADO INDEXADO'!BI26,IF('INTRODUCIR DATOS'!$D$20="AGOSTO",'RESULTADO INDEXADO'!BP26,IF('INTRODUCIR DATOS'!$D$20="SEPTIEMBRE",'RESULTADO INDEXADO'!BW26,IF('INTRODUCIR DATOS'!$D$20="OCTUBRE",'RESULTADO INDEXADO'!CD26,IF('INTRODUCIR DATOS'!$D$20="NOVIEMBRE",'RESULTADO INDEXADO'!CK26,IF('INTRODUCIR DATOS'!$D$20="DICIEMBRE",'RESULTADO INDEXADO'!CR26))))))))))))</f>
        <v>0</v>
      </c>
      <c r="J26" s="296" t="b">
        <f>IF('INTRODUCIR DATOS'!$D$20="ENERO",'RESULTADO INDEXADO'!T26,IF('INTRODUCIR DATOS'!$D$20="FEBRERO",'RESULTADO INDEXADO'!AA26,IF('INTRODUCIR DATOS'!$D$20="MARZO",'RESULTADO INDEXADO'!AH26,IF('INTRODUCIR DATOS'!$D$20="ABRIL",'RESULTADO INDEXADO'!AO26,IF('INTRODUCIR DATOS'!$D$20="MAYO",'RESULTADO INDEXADO'!AV26,IF('INTRODUCIR DATOS'!$D$20="JUNIO",'RESULTADO INDEXADO'!BC26,IF('INTRODUCIR DATOS'!$D$20="JULIO",'RESULTADO INDEXADO'!BJ26,IF('INTRODUCIR DATOS'!$D$20="AGOSTO",'RESULTADO INDEXADO'!BQ26,IF('INTRODUCIR DATOS'!$D$20="SEPTIEMBRE",'RESULTADO INDEXADO'!BX26,IF('INTRODUCIR DATOS'!$D$20="OCTUBRE",'RESULTADO INDEXADO'!CE26,IF('INTRODUCIR DATOS'!$D$20="NOVIEMBRE",'RESULTADO INDEXADO'!CL26,IF('INTRODUCIR DATOS'!$D$20="DICIEMBRE",'RESULTADO INDEXADO'!CS26))))))))))))</f>
        <v>0</v>
      </c>
      <c r="K26" s="41"/>
      <c r="L26" s="40"/>
      <c r="M26" s="145"/>
      <c r="N26" s="311" t="s">
        <v>134</v>
      </c>
      <c r="O26" s="267">
        <v>6.3142424657534252E-2</v>
      </c>
      <c r="P26" s="256">
        <v>4.721073698630137E-2</v>
      </c>
      <c r="Q26" s="256">
        <v>2.8644887671232879E-2</v>
      </c>
      <c r="R26" s="256">
        <v>2.6181323287671233E-2</v>
      </c>
      <c r="S26" s="256">
        <v>2.1505142465753423E-2</v>
      </c>
      <c r="T26" s="300">
        <v>1.6676693150684929E-2</v>
      </c>
      <c r="U26" s="279" t="s">
        <v>134</v>
      </c>
      <c r="V26" s="267">
        <v>6.3142424657534252E-2</v>
      </c>
      <c r="W26" s="256">
        <v>4.721073698630137E-2</v>
      </c>
      <c r="X26" s="256">
        <v>2.8644887671232879E-2</v>
      </c>
      <c r="Y26" s="256">
        <v>2.6181323287671233E-2</v>
      </c>
      <c r="Z26" s="256">
        <v>2.1505142465753423E-2</v>
      </c>
      <c r="AA26" s="300">
        <v>1.6676693150684929E-2</v>
      </c>
      <c r="AB26" s="279" t="s">
        <v>134</v>
      </c>
      <c r="AC26" s="267">
        <v>6.3142424657534252E-2</v>
      </c>
      <c r="AD26" s="256">
        <v>4.721073698630137E-2</v>
      </c>
      <c r="AE26" s="256">
        <v>2.8644887671232879E-2</v>
      </c>
      <c r="AF26" s="256">
        <v>2.6181323287671233E-2</v>
      </c>
      <c r="AG26" s="256">
        <v>2.1505142465753423E-2</v>
      </c>
      <c r="AH26" s="300">
        <v>1.6676693150684929E-2</v>
      </c>
      <c r="AI26" s="279" t="s">
        <v>134</v>
      </c>
      <c r="AJ26" s="267">
        <v>6.3142424657534252E-2</v>
      </c>
      <c r="AK26" s="256">
        <v>4.721073698630137E-2</v>
      </c>
      <c r="AL26" s="256">
        <v>2.8644887671232879E-2</v>
      </c>
      <c r="AM26" s="256">
        <v>2.6181323287671233E-2</v>
      </c>
      <c r="AN26" s="256">
        <v>2.1505142465753423E-2</v>
      </c>
      <c r="AO26" s="300">
        <v>1.6676693150684929E-2</v>
      </c>
      <c r="AP26" s="279" t="s">
        <v>134</v>
      </c>
      <c r="AQ26" s="267">
        <v>6.3142424657534252E-2</v>
      </c>
      <c r="AR26" s="256">
        <v>4.721073698630137E-2</v>
      </c>
      <c r="AS26" s="256">
        <v>2.8644887671232879E-2</v>
      </c>
      <c r="AT26" s="256">
        <v>2.6181323287671233E-2</v>
      </c>
      <c r="AU26" s="256">
        <v>2.1505142465753423E-2</v>
      </c>
      <c r="AV26" s="300">
        <v>1.6676693150684929E-2</v>
      </c>
      <c r="AW26" s="279" t="s">
        <v>134</v>
      </c>
      <c r="AX26" s="267">
        <v>6.3142424657534252E-2</v>
      </c>
      <c r="AY26" s="256">
        <v>4.721073698630137E-2</v>
      </c>
      <c r="AZ26" s="256">
        <v>2.8644887671232879E-2</v>
      </c>
      <c r="BA26" s="256">
        <v>2.6181323287671233E-2</v>
      </c>
      <c r="BB26" s="256">
        <v>2.1505142465753423E-2</v>
      </c>
      <c r="BC26" s="300">
        <v>1.6676693150684929E-2</v>
      </c>
      <c r="BD26" s="279" t="s">
        <v>134</v>
      </c>
      <c r="BE26" s="267">
        <v>6.3142424657534252E-2</v>
      </c>
      <c r="BF26" s="256">
        <v>4.721073698630137E-2</v>
      </c>
      <c r="BG26" s="256">
        <v>2.8644887671232879E-2</v>
      </c>
      <c r="BH26" s="256">
        <v>2.6181323287671233E-2</v>
      </c>
      <c r="BI26" s="256">
        <v>2.1505142465753423E-2</v>
      </c>
      <c r="BJ26" s="300">
        <v>1.6676693150684929E-2</v>
      </c>
      <c r="BK26" s="279" t="s">
        <v>134</v>
      </c>
      <c r="BL26" s="267">
        <v>6.3142424657534252E-2</v>
      </c>
      <c r="BM26" s="256">
        <v>4.721073698630137E-2</v>
      </c>
      <c r="BN26" s="256">
        <v>2.8644887671232879E-2</v>
      </c>
      <c r="BO26" s="256">
        <v>2.6181323287671233E-2</v>
      </c>
      <c r="BP26" s="256">
        <v>2.1505142465753423E-2</v>
      </c>
      <c r="BQ26" s="300">
        <v>1.6676693150684929E-2</v>
      </c>
      <c r="BR26" s="279" t="s">
        <v>134</v>
      </c>
      <c r="BS26" s="267">
        <v>6.3142424657534252E-2</v>
      </c>
      <c r="BT26" s="256">
        <v>4.721073698630137E-2</v>
      </c>
      <c r="BU26" s="256">
        <v>2.8644887671232879E-2</v>
      </c>
      <c r="BV26" s="256">
        <v>2.6181323287671233E-2</v>
      </c>
      <c r="BW26" s="256">
        <v>2.1505142465753423E-2</v>
      </c>
      <c r="BX26" s="300">
        <v>1.6676693150684929E-2</v>
      </c>
      <c r="BY26" s="279" t="s">
        <v>134</v>
      </c>
      <c r="BZ26" s="267">
        <v>6.3142424657534252E-2</v>
      </c>
      <c r="CA26" s="256">
        <v>4.721073698630137E-2</v>
      </c>
      <c r="CB26" s="256">
        <v>2.8644887671232879E-2</v>
      </c>
      <c r="CC26" s="256">
        <v>2.6181323287671233E-2</v>
      </c>
      <c r="CD26" s="256">
        <v>2.1505142465753423E-2</v>
      </c>
      <c r="CE26" s="300">
        <v>1.6676693150684929E-2</v>
      </c>
      <c r="CF26" s="279" t="s">
        <v>134</v>
      </c>
      <c r="CG26" s="267">
        <v>6.3142424657534252E-2</v>
      </c>
      <c r="CH26" s="256">
        <v>4.721073698630137E-2</v>
      </c>
      <c r="CI26" s="256">
        <v>2.8644887671232879E-2</v>
      </c>
      <c r="CJ26" s="256">
        <v>2.6181323287671233E-2</v>
      </c>
      <c r="CK26" s="256">
        <v>2.1505142465753423E-2</v>
      </c>
      <c r="CL26" s="300">
        <v>1.6676693150684929E-2</v>
      </c>
      <c r="CM26" s="279" t="s">
        <v>134</v>
      </c>
      <c r="CN26" s="267">
        <v>6.3142424657534252E-2</v>
      </c>
      <c r="CO26" s="256">
        <v>4.721073698630137E-2</v>
      </c>
      <c r="CP26" s="256">
        <v>2.8644887671232879E-2</v>
      </c>
      <c r="CQ26" s="256">
        <v>2.6181323287671233E-2</v>
      </c>
      <c r="CR26" s="256">
        <v>2.1505142465753423E-2</v>
      </c>
      <c r="CS26" s="300">
        <v>1.6676693150684929E-2</v>
      </c>
    </row>
    <row r="27" spans="1:97">
      <c r="A27" s="41" t="s">
        <v>17</v>
      </c>
      <c r="B27" s="40" t="s">
        <v>24</v>
      </c>
      <c r="C27" s="335" t="s">
        <v>139</v>
      </c>
      <c r="D27" s="278" t="s">
        <v>136</v>
      </c>
      <c r="E27" s="266" t="b">
        <f>IF('INTRODUCIR DATOS'!$D$20="ENERO",'RESULTADO INDEXADO'!O27,IF('INTRODUCIR DATOS'!$D$20="FEBRERO",'RESULTADO INDEXADO'!V27,IF('INTRODUCIR DATOS'!$D$20="MARZO",'RESULTADO INDEXADO'!AC27,IF('INTRODUCIR DATOS'!$D$20="ABRIL",'RESULTADO INDEXADO'!AJ27,IF('INTRODUCIR DATOS'!$D$20="MAYO",'RESULTADO INDEXADO'!AQ27,IF('INTRODUCIR DATOS'!$D$20="JUNIO",'RESULTADO INDEXADO'!AX27,IF('INTRODUCIR DATOS'!$D$20="JULIO",'RESULTADO INDEXADO'!BE27,IF('INTRODUCIR DATOS'!$D$20="AGOSTO",'RESULTADO INDEXADO'!BL27,IF('INTRODUCIR DATOS'!$D$20="SEPTIEMBRE",'RESULTADO INDEXADO'!BS27,IF('INTRODUCIR DATOS'!$D$20="OCTUBRE",'RESULTADO INDEXADO'!BZ27,IF('INTRODUCIR DATOS'!$D$20="NOVIEMBRE",'RESULTADO INDEXADO'!CG27,IF('INTRODUCIR DATOS'!$D$20="DICIEMBRE",'RESULTADO INDEXADO'!CN27))))))))))))</f>
        <v>0</v>
      </c>
      <c r="F27" s="253" t="b">
        <f>IF('INTRODUCIR DATOS'!$D$20="ENERO",'RESULTADO INDEXADO'!P27,IF('INTRODUCIR DATOS'!$D$20="FEBRERO",'RESULTADO INDEXADO'!W27,IF('INTRODUCIR DATOS'!$D$20="MARZO",'RESULTADO INDEXADO'!AD27,IF('INTRODUCIR DATOS'!$D$20="ABRIL",'RESULTADO INDEXADO'!AK27,IF('INTRODUCIR DATOS'!$D$20="MAYO",'RESULTADO INDEXADO'!AR27,IF('INTRODUCIR DATOS'!$D$20="JUNIO",'RESULTADO INDEXADO'!AY27,IF('INTRODUCIR DATOS'!$D$20="JULIO",'RESULTADO INDEXADO'!BF27,IF('INTRODUCIR DATOS'!$D$20="AGOSTO",'RESULTADO INDEXADO'!BM27,IF('INTRODUCIR DATOS'!$D$20="SEPTIEMBRE",'RESULTADO INDEXADO'!BT27,IF('INTRODUCIR DATOS'!$D$20="OCTUBRE",'RESULTADO INDEXADO'!CA27,IF('INTRODUCIR DATOS'!$D$20="NOVIEMBRE",'RESULTADO INDEXADO'!CH27,IF('INTRODUCIR DATOS'!$D$20="DICIEMBRE",'RESULTADO INDEXADO'!CO27))))))))))))</f>
        <v>0</v>
      </c>
      <c r="G27" s="253" t="b">
        <f>IF('INTRODUCIR DATOS'!$D$20="ENERO",'RESULTADO INDEXADO'!Q27,IF('INTRODUCIR DATOS'!$D$20="FEBRERO",'RESULTADO INDEXADO'!X27,IF('INTRODUCIR DATOS'!$D$20="MARZO",'RESULTADO INDEXADO'!AE27,IF('INTRODUCIR DATOS'!$D$20="ABRIL",'RESULTADO INDEXADO'!AL27,IF('INTRODUCIR DATOS'!$D$20="MAYO",'RESULTADO INDEXADO'!AS27,IF('INTRODUCIR DATOS'!$D$20="JUNIO",'RESULTADO INDEXADO'!AZ27,IF('INTRODUCIR DATOS'!$D$20="JULIO",'RESULTADO INDEXADO'!BG27,IF('INTRODUCIR DATOS'!$D$20="AGOSTO",'RESULTADO INDEXADO'!BN27,IF('INTRODUCIR DATOS'!$D$20="SEPTIEMBRE",'RESULTADO INDEXADO'!BU27,IF('INTRODUCIR DATOS'!$D$20="OCTUBRE",'RESULTADO INDEXADO'!CB27,IF('INTRODUCIR DATOS'!$D$20="NOVIEMBRE",'RESULTADO INDEXADO'!CI27,IF('INTRODUCIR DATOS'!$D$20="DICIEMBRE",'RESULTADO INDEXADO'!CP27))))))))))))</f>
        <v>0</v>
      </c>
      <c r="H27" s="254" t="b">
        <f>IF('INTRODUCIR DATOS'!$D$20="ENERO",'RESULTADO INDEXADO'!R27,IF('INTRODUCIR DATOS'!$D$20="FEBRERO",'RESULTADO INDEXADO'!Y27,IF('INTRODUCIR DATOS'!$D$20="MARZO",'RESULTADO INDEXADO'!AF27,IF('INTRODUCIR DATOS'!$D$20="ABRIL",'RESULTADO INDEXADO'!AM27,IF('INTRODUCIR DATOS'!$D$20="MAYO",'RESULTADO INDEXADO'!AT27,IF('INTRODUCIR DATOS'!$D$20="JUNIO",'RESULTADO INDEXADO'!BA27,IF('INTRODUCIR DATOS'!$D$20="JULIO",'RESULTADO INDEXADO'!BH27,IF('INTRODUCIR DATOS'!$D$20="AGOSTO",'RESULTADO INDEXADO'!BO27,IF('INTRODUCIR DATOS'!$D$20="SEPTIEMBRE",'RESULTADO INDEXADO'!BV27,IF('INTRODUCIR DATOS'!$D$20="OCTUBRE",'RESULTADO INDEXADO'!CC27,IF('INTRODUCIR DATOS'!$D$20="NOVIEMBRE",'RESULTADO INDEXADO'!CJ27,IF('INTRODUCIR DATOS'!$D$20="DICIEMBRE",'RESULTADO INDEXADO'!CQ27))))))))))))</f>
        <v>0</v>
      </c>
      <c r="I27" s="254" t="b">
        <f>IF('INTRODUCIR DATOS'!$D$20="ENERO",'RESULTADO INDEXADO'!S27,IF('INTRODUCIR DATOS'!$D$20="FEBRERO",'RESULTADO INDEXADO'!Z27,IF('INTRODUCIR DATOS'!$D$20="MARZO",'RESULTADO INDEXADO'!AG27,IF('INTRODUCIR DATOS'!$D$20="ABRIL",'RESULTADO INDEXADO'!AN27,IF('INTRODUCIR DATOS'!$D$20="MAYO",'RESULTADO INDEXADO'!AU27,IF('INTRODUCIR DATOS'!$D$20="JUNIO",'RESULTADO INDEXADO'!BB27,IF('INTRODUCIR DATOS'!$D$20="JULIO",'RESULTADO INDEXADO'!BI27,IF('INTRODUCIR DATOS'!$D$20="AGOSTO",'RESULTADO INDEXADO'!BP27,IF('INTRODUCIR DATOS'!$D$20="SEPTIEMBRE",'RESULTADO INDEXADO'!BW27,IF('INTRODUCIR DATOS'!$D$20="OCTUBRE",'RESULTADO INDEXADO'!CD27,IF('INTRODUCIR DATOS'!$D$20="NOVIEMBRE",'RESULTADO INDEXADO'!CK27,IF('INTRODUCIR DATOS'!$D$20="DICIEMBRE",'RESULTADO INDEXADO'!CR27))))))))))))</f>
        <v>0</v>
      </c>
      <c r="J27" s="295" t="b">
        <f>IF('INTRODUCIR DATOS'!$D$20="ENERO",'RESULTADO INDEXADO'!T27,IF('INTRODUCIR DATOS'!$D$20="FEBRERO",'RESULTADO INDEXADO'!AA27,IF('INTRODUCIR DATOS'!$D$20="MARZO",'RESULTADO INDEXADO'!AH27,IF('INTRODUCIR DATOS'!$D$20="ABRIL",'RESULTADO INDEXADO'!AO27,IF('INTRODUCIR DATOS'!$D$20="MAYO",'RESULTADO INDEXADO'!AV27,IF('INTRODUCIR DATOS'!$D$20="JUNIO",'RESULTADO INDEXADO'!BC27,IF('INTRODUCIR DATOS'!$D$20="JULIO",'RESULTADO INDEXADO'!BJ27,IF('INTRODUCIR DATOS'!$D$20="AGOSTO",'RESULTADO INDEXADO'!BQ27,IF('INTRODUCIR DATOS'!$D$20="SEPTIEMBRE",'RESULTADO INDEXADO'!BX27,IF('INTRODUCIR DATOS'!$D$20="OCTUBRE",'RESULTADO INDEXADO'!CE27,IF('INTRODUCIR DATOS'!$D$20="NOVIEMBRE",'RESULTADO INDEXADO'!CL27,IF('INTRODUCIR DATOS'!$D$20="DICIEMBRE",'RESULTADO INDEXADO'!CS27))))))))))))</f>
        <v>0</v>
      </c>
      <c r="K27" s="290">
        <f>('INTRODUCIR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DATOS'!$D$17)+'INTRODUCIR DATOS'!$D$15+'INTRODUCIR DATOS'!$D$16+IF('INTRODUCIR DATOS'!$D$21=21%,(('INTRODUCIR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DATOS'!$D$17)+'INTRODUCIR DATOS'!$D$16)*21/100,IF('INTRODUCIR DATOS'!$D$21=10%,(('INTRODUCIR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DATOS'!$D$17)+'INTRODUCIR DATOS'!$D$16)*10/100))</f>
        <v>1.0285</v>
      </c>
      <c r="L27" s="292">
        <f>IF(K27=0,"",'INTRODUCIR DATOS'!$D$14-K27)</f>
        <v>113.12150000000001</v>
      </c>
      <c r="M27" s="271">
        <f>IF(K27=0,"",('INTRODUCIR DATOS'!$D$14-K27)/'INTRODUCIR DATOS'!$D$14)</f>
        <v>0.99098992553657472</v>
      </c>
      <c r="N27" s="310" t="s">
        <v>136</v>
      </c>
      <c r="O27" s="266">
        <v>0.19084499999999999</v>
      </c>
      <c r="P27" s="253">
        <v>0.160221</v>
      </c>
      <c r="Q27" s="253"/>
      <c r="R27" s="254"/>
      <c r="S27" s="254"/>
      <c r="T27" s="255">
        <v>8.2118999999999998E-2</v>
      </c>
      <c r="U27" s="278" t="s">
        <v>136</v>
      </c>
      <c r="V27" s="266">
        <v>0.14474699999999999</v>
      </c>
      <c r="W27" s="253">
        <v>0.114136</v>
      </c>
      <c r="X27" s="253"/>
      <c r="Y27" s="254"/>
      <c r="Z27" s="254"/>
      <c r="AA27" s="255">
        <v>4.5273000000000001E-2</v>
      </c>
      <c r="AB27" s="278" t="s">
        <v>136</v>
      </c>
      <c r="AC27" s="266"/>
      <c r="AD27" s="253">
        <v>0.139097</v>
      </c>
      <c r="AE27" s="253">
        <v>0.104111</v>
      </c>
      <c r="AF27" s="254"/>
      <c r="AG27" s="254"/>
      <c r="AH27" s="255">
        <v>6.7631999999999998E-2</v>
      </c>
      <c r="AI27" s="278" t="s">
        <v>136</v>
      </c>
      <c r="AJ27" s="266"/>
      <c r="AK27" s="253"/>
      <c r="AL27" s="253"/>
      <c r="AM27" s="254">
        <v>0.11651400000000001</v>
      </c>
      <c r="AN27" s="254">
        <v>9.9751000000000006E-2</v>
      </c>
      <c r="AO27" s="255">
        <v>9.1822500000000001E-2</v>
      </c>
      <c r="AP27" s="278" t="s">
        <v>136</v>
      </c>
      <c r="AQ27" s="266"/>
      <c r="AR27" s="253"/>
      <c r="AS27" s="253"/>
      <c r="AT27" s="254">
        <v>0.119328</v>
      </c>
      <c r="AU27" s="254">
        <v>0.10380499999999999</v>
      </c>
      <c r="AV27" s="255">
        <v>9.2636999999999997E-2</v>
      </c>
      <c r="AW27" s="278" t="s">
        <v>136</v>
      </c>
      <c r="AX27" s="266"/>
      <c r="AY27" s="253"/>
      <c r="AZ27" s="253">
        <v>0.149613</v>
      </c>
      <c r="BA27" s="254">
        <v>0.131046</v>
      </c>
      <c r="BB27" s="254"/>
      <c r="BC27" s="255">
        <v>0.11096200000000001</v>
      </c>
      <c r="BD27" s="278" t="s">
        <v>136</v>
      </c>
      <c r="BE27" s="266">
        <v>0.20757900000000001</v>
      </c>
      <c r="BF27" s="253">
        <v>0.18507599999999999</v>
      </c>
      <c r="BG27" s="253"/>
      <c r="BH27" s="254"/>
      <c r="BI27" s="254"/>
      <c r="BJ27" s="255">
        <v>0.12584100000000001</v>
      </c>
      <c r="BK27" s="278" t="s">
        <v>136</v>
      </c>
      <c r="BL27" s="266"/>
      <c r="BM27" s="253"/>
      <c r="BN27" s="253">
        <v>0.17748800000000001</v>
      </c>
      <c r="BO27" s="254">
        <v>0.16014800000000001</v>
      </c>
      <c r="BP27" s="254"/>
      <c r="BQ27" s="255">
        <v>0.140624</v>
      </c>
      <c r="BR27" s="278" t="s">
        <v>136</v>
      </c>
      <c r="BS27" s="266"/>
      <c r="BT27" s="253"/>
      <c r="BU27" s="253"/>
      <c r="BV27" s="254"/>
      <c r="BW27" s="254"/>
      <c r="BX27" s="255"/>
      <c r="BY27" s="278" t="s">
        <v>136</v>
      </c>
      <c r="BZ27" s="266"/>
      <c r="CA27" s="253"/>
      <c r="CB27" s="253"/>
      <c r="CC27" s="254"/>
      <c r="CD27" s="254"/>
      <c r="CE27" s="255"/>
      <c r="CF27" s="278" t="s">
        <v>136</v>
      </c>
      <c r="CG27" s="266"/>
      <c r="CH27" s="253"/>
      <c r="CI27" s="253"/>
      <c r="CJ27" s="254"/>
      <c r="CK27" s="254"/>
      <c r="CL27" s="255"/>
      <c r="CM27" s="278" t="s">
        <v>136</v>
      </c>
      <c r="CN27" s="266"/>
      <c r="CO27" s="253"/>
      <c r="CP27" s="253"/>
      <c r="CQ27" s="254"/>
      <c r="CR27" s="254"/>
      <c r="CS27" s="255"/>
    </row>
    <row r="28" spans="1:97">
      <c r="A28" s="41" t="s">
        <v>17</v>
      </c>
      <c r="B28" s="40" t="s">
        <v>27</v>
      </c>
      <c r="C28" s="335" t="s">
        <v>139</v>
      </c>
      <c r="D28" s="279" t="s">
        <v>134</v>
      </c>
      <c r="E28" s="267" t="b">
        <f>IF('INTRODUCIR DATOS'!$D$20="ENERO",'RESULTADO INDEXADO'!O28,IF('INTRODUCIR DATOS'!$D$20="FEBRERO",'RESULTADO INDEXADO'!V28,IF('INTRODUCIR DATOS'!$D$20="MARZO",'RESULTADO INDEXADO'!AC28,IF('INTRODUCIR DATOS'!$D$20="ABRIL",'RESULTADO INDEXADO'!AJ28,IF('INTRODUCIR DATOS'!$D$20="MAYO",'RESULTADO INDEXADO'!AQ28,IF('INTRODUCIR DATOS'!$D$20="JUNIO",'RESULTADO INDEXADO'!AX28,IF('INTRODUCIR DATOS'!$D$20="JULIO",'RESULTADO INDEXADO'!BE28,IF('INTRODUCIR DATOS'!$D$20="AGOSTO",'RESULTADO INDEXADO'!BL28,IF('INTRODUCIR DATOS'!$D$20="SEPTIEMBRE",'RESULTADO INDEXADO'!BS28,IF('INTRODUCIR DATOS'!$D$20="OCTUBRE",'RESULTADO INDEXADO'!BZ28,IF('INTRODUCIR DATOS'!$D$20="NOVIEMBRE",'RESULTADO INDEXADO'!CG28,IF('INTRODUCIR DATOS'!$D$20="DICIEMBRE",'RESULTADO INDEXADO'!CN28))))))))))))</f>
        <v>0</v>
      </c>
      <c r="F28" s="256" t="b">
        <f>IF('INTRODUCIR DATOS'!$D$20="ENERO",'RESULTADO INDEXADO'!P28,IF('INTRODUCIR DATOS'!$D$20="FEBRERO",'RESULTADO INDEXADO'!W28,IF('INTRODUCIR DATOS'!$D$20="MARZO",'RESULTADO INDEXADO'!AD28,IF('INTRODUCIR DATOS'!$D$20="ABRIL",'RESULTADO INDEXADO'!AK28,IF('INTRODUCIR DATOS'!$D$20="MAYO",'RESULTADO INDEXADO'!AR28,IF('INTRODUCIR DATOS'!$D$20="JUNIO",'RESULTADO INDEXADO'!AY28,IF('INTRODUCIR DATOS'!$D$20="JULIO",'RESULTADO INDEXADO'!BF28,IF('INTRODUCIR DATOS'!$D$20="AGOSTO",'RESULTADO INDEXADO'!BM28,IF('INTRODUCIR DATOS'!$D$20="SEPTIEMBRE",'RESULTADO INDEXADO'!BT28,IF('INTRODUCIR DATOS'!$D$20="OCTUBRE",'RESULTADO INDEXADO'!CA28,IF('INTRODUCIR DATOS'!$D$20="NOVIEMBRE",'RESULTADO INDEXADO'!CH28,IF('INTRODUCIR DATOS'!$D$20="DICIEMBRE",'RESULTADO INDEXADO'!CO28))))))))))))</f>
        <v>0</v>
      </c>
      <c r="G28" s="257" t="b">
        <f>IF('INTRODUCIR DATOS'!$D$20="ENERO",'RESULTADO INDEXADO'!Q28,IF('INTRODUCIR DATOS'!$D$20="FEBRERO",'RESULTADO INDEXADO'!X28,IF('INTRODUCIR DATOS'!$D$20="MARZO",'RESULTADO INDEXADO'!AE28,IF('INTRODUCIR DATOS'!$D$20="ABRIL",'RESULTADO INDEXADO'!AL28,IF('INTRODUCIR DATOS'!$D$20="MAYO",'RESULTADO INDEXADO'!AS28,IF('INTRODUCIR DATOS'!$D$20="JUNIO",'RESULTADO INDEXADO'!AZ28,IF('INTRODUCIR DATOS'!$D$20="JULIO",'RESULTADO INDEXADO'!BG28,IF('INTRODUCIR DATOS'!$D$20="AGOSTO",'RESULTADO INDEXADO'!BN28,IF('INTRODUCIR DATOS'!$D$20="SEPTIEMBRE",'RESULTADO INDEXADO'!BU28,IF('INTRODUCIR DATOS'!$D$20="OCTUBRE",'RESULTADO INDEXADO'!CB28,IF('INTRODUCIR DATOS'!$D$20="NOVIEMBRE",'RESULTADO INDEXADO'!CI28,IF('INTRODUCIR DATOS'!$D$20="DICIEMBRE",'RESULTADO INDEXADO'!CP28))))))))))))</f>
        <v>0</v>
      </c>
      <c r="H28" s="257" t="b">
        <f>IF('INTRODUCIR DATOS'!$D$20="ENERO",'RESULTADO INDEXADO'!R28,IF('INTRODUCIR DATOS'!$D$20="FEBRERO",'RESULTADO INDEXADO'!Y28,IF('INTRODUCIR DATOS'!$D$20="MARZO",'RESULTADO INDEXADO'!AF28,IF('INTRODUCIR DATOS'!$D$20="ABRIL",'RESULTADO INDEXADO'!AM28,IF('INTRODUCIR DATOS'!$D$20="MAYO",'RESULTADO INDEXADO'!AT28,IF('INTRODUCIR DATOS'!$D$20="JUNIO",'RESULTADO INDEXADO'!BA28,IF('INTRODUCIR DATOS'!$D$20="JULIO",'RESULTADO INDEXADO'!BH28,IF('INTRODUCIR DATOS'!$D$20="AGOSTO",'RESULTADO INDEXADO'!BO28,IF('INTRODUCIR DATOS'!$D$20="SEPTIEMBRE",'RESULTADO INDEXADO'!BV28,IF('INTRODUCIR DATOS'!$D$20="OCTUBRE",'RESULTADO INDEXADO'!CC28,IF('INTRODUCIR DATOS'!$D$20="NOVIEMBRE",'RESULTADO INDEXADO'!CJ28,IF('INTRODUCIR DATOS'!$D$20="DICIEMBRE",'RESULTADO INDEXADO'!CQ28))))))))))))</f>
        <v>0</v>
      </c>
      <c r="I28" s="257" t="b">
        <f>IF('INTRODUCIR DATOS'!$D$20="ENERO",'RESULTADO INDEXADO'!S28,IF('INTRODUCIR DATOS'!$D$20="FEBRERO",'RESULTADO INDEXADO'!Z28,IF('INTRODUCIR DATOS'!$D$20="MARZO",'RESULTADO INDEXADO'!AG28,IF('INTRODUCIR DATOS'!$D$20="ABRIL",'RESULTADO INDEXADO'!AN28,IF('INTRODUCIR DATOS'!$D$20="MAYO",'RESULTADO INDEXADO'!AU28,IF('INTRODUCIR DATOS'!$D$20="JUNIO",'RESULTADO INDEXADO'!BB28,IF('INTRODUCIR DATOS'!$D$20="JULIO",'RESULTADO INDEXADO'!BI28,IF('INTRODUCIR DATOS'!$D$20="AGOSTO",'RESULTADO INDEXADO'!BP28,IF('INTRODUCIR DATOS'!$D$20="SEPTIEMBRE",'RESULTADO INDEXADO'!BW28,IF('INTRODUCIR DATOS'!$D$20="OCTUBRE",'RESULTADO INDEXADO'!CD28,IF('INTRODUCIR DATOS'!$D$20="NOVIEMBRE",'RESULTADO INDEXADO'!CK28,IF('INTRODUCIR DATOS'!$D$20="DICIEMBRE",'RESULTADO INDEXADO'!CR28))))))))))))</f>
        <v>0</v>
      </c>
      <c r="J28" s="296" t="b">
        <f>IF('INTRODUCIR DATOS'!$D$20="ENERO",'RESULTADO INDEXADO'!T28,IF('INTRODUCIR DATOS'!$D$20="FEBRERO",'RESULTADO INDEXADO'!AA28,IF('INTRODUCIR DATOS'!$D$20="MARZO",'RESULTADO INDEXADO'!AH28,IF('INTRODUCIR DATOS'!$D$20="ABRIL",'RESULTADO INDEXADO'!AO28,IF('INTRODUCIR DATOS'!$D$20="MAYO",'RESULTADO INDEXADO'!AV28,IF('INTRODUCIR DATOS'!$D$20="JUNIO",'RESULTADO INDEXADO'!BC28,IF('INTRODUCIR DATOS'!$D$20="JULIO",'RESULTADO INDEXADO'!BJ28,IF('INTRODUCIR DATOS'!$D$20="AGOSTO",'RESULTADO INDEXADO'!BQ28,IF('INTRODUCIR DATOS'!$D$20="SEPTIEMBRE",'RESULTADO INDEXADO'!BX28,IF('INTRODUCIR DATOS'!$D$20="OCTUBRE",'RESULTADO INDEXADO'!CE28,IF('INTRODUCIR DATOS'!$D$20="NOVIEMBRE",'RESULTADO INDEXADO'!CL28,IF('INTRODUCIR DATOS'!$D$20="DICIEMBRE",'RESULTADO INDEXADO'!CS28))))))))))))</f>
        <v>0</v>
      </c>
      <c r="K28" s="41"/>
      <c r="L28" s="40"/>
      <c r="M28" s="145"/>
      <c r="N28" s="311" t="s">
        <v>134</v>
      </c>
      <c r="O28" s="267">
        <v>6.1772561643835613E-2</v>
      </c>
      <c r="P28" s="256">
        <v>4.5840873972602746E-2</v>
      </c>
      <c r="Q28" s="256">
        <v>2.7275024657534248E-2</v>
      </c>
      <c r="R28" s="256">
        <v>2.4811460273972605E-2</v>
      </c>
      <c r="S28" s="256">
        <v>2.0135279452054792E-2</v>
      </c>
      <c r="T28" s="300">
        <v>1.5306830136986301E-2</v>
      </c>
      <c r="U28" s="279" t="s">
        <v>134</v>
      </c>
      <c r="V28" s="267">
        <v>6.1772561643835613E-2</v>
      </c>
      <c r="W28" s="256">
        <v>4.5840873972602746E-2</v>
      </c>
      <c r="X28" s="256">
        <v>2.7275024657534248E-2</v>
      </c>
      <c r="Y28" s="256">
        <v>2.4811460273972605E-2</v>
      </c>
      <c r="Z28" s="256">
        <v>2.0135279452054792E-2</v>
      </c>
      <c r="AA28" s="300">
        <v>1.5306830136986301E-2</v>
      </c>
      <c r="AB28" s="279" t="s">
        <v>134</v>
      </c>
      <c r="AC28" s="267">
        <v>6.1772561643835613E-2</v>
      </c>
      <c r="AD28" s="256">
        <v>4.5840873972602746E-2</v>
      </c>
      <c r="AE28" s="256">
        <v>2.7275024657534248E-2</v>
      </c>
      <c r="AF28" s="256">
        <v>2.4811460273972605E-2</v>
      </c>
      <c r="AG28" s="256">
        <v>2.0135279452054792E-2</v>
      </c>
      <c r="AH28" s="300">
        <v>1.5306830136986301E-2</v>
      </c>
      <c r="AI28" s="279" t="s">
        <v>134</v>
      </c>
      <c r="AJ28" s="267">
        <v>6.1772561643835613E-2</v>
      </c>
      <c r="AK28" s="256">
        <v>4.5840873972602746E-2</v>
      </c>
      <c r="AL28" s="256">
        <v>2.7275024657534248E-2</v>
      </c>
      <c r="AM28" s="256">
        <v>2.4811460273972605E-2</v>
      </c>
      <c r="AN28" s="256">
        <v>2.0135279452054792E-2</v>
      </c>
      <c r="AO28" s="300">
        <v>1.5306830136986301E-2</v>
      </c>
      <c r="AP28" s="279" t="s">
        <v>134</v>
      </c>
      <c r="AQ28" s="267">
        <v>6.1772561643835613E-2</v>
      </c>
      <c r="AR28" s="256">
        <v>4.5840873972602746E-2</v>
      </c>
      <c r="AS28" s="256">
        <v>2.7275024657534248E-2</v>
      </c>
      <c r="AT28" s="256">
        <v>2.4811460273972605E-2</v>
      </c>
      <c r="AU28" s="256">
        <v>2.0135279452054792E-2</v>
      </c>
      <c r="AV28" s="300">
        <v>1.5306830136986301E-2</v>
      </c>
      <c r="AW28" s="279" t="s">
        <v>134</v>
      </c>
      <c r="AX28" s="267">
        <v>6.1772561643835613E-2</v>
      </c>
      <c r="AY28" s="256">
        <v>4.5840873972602746E-2</v>
      </c>
      <c r="AZ28" s="256">
        <v>2.7275024657534248E-2</v>
      </c>
      <c r="BA28" s="256">
        <v>2.4811460273972605E-2</v>
      </c>
      <c r="BB28" s="256">
        <v>2.0135279452054792E-2</v>
      </c>
      <c r="BC28" s="300">
        <v>1.5306830136986301E-2</v>
      </c>
      <c r="BD28" s="279" t="s">
        <v>134</v>
      </c>
      <c r="BE28" s="267">
        <v>6.1772561643835613E-2</v>
      </c>
      <c r="BF28" s="256">
        <v>4.5840873972602746E-2</v>
      </c>
      <c r="BG28" s="256">
        <v>2.7275024657534248E-2</v>
      </c>
      <c r="BH28" s="256">
        <v>2.4811460273972605E-2</v>
      </c>
      <c r="BI28" s="256">
        <v>2.0135279452054792E-2</v>
      </c>
      <c r="BJ28" s="300">
        <v>1.5306830136986301E-2</v>
      </c>
      <c r="BK28" s="279" t="s">
        <v>134</v>
      </c>
      <c r="BL28" s="267">
        <v>6.1772561643835613E-2</v>
      </c>
      <c r="BM28" s="256">
        <v>4.5840873972602746E-2</v>
      </c>
      <c r="BN28" s="256">
        <v>2.7275024657534248E-2</v>
      </c>
      <c r="BO28" s="256">
        <v>2.4811460273972605E-2</v>
      </c>
      <c r="BP28" s="256">
        <v>2.0135279452054792E-2</v>
      </c>
      <c r="BQ28" s="300">
        <v>1.5306830136986301E-2</v>
      </c>
      <c r="BR28" s="279" t="s">
        <v>134</v>
      </c>
      <c r="BS28" s="267">
        <v>6.1772561643835613E-2</v>
      </c>
      <c r="BT28" s="256">
        <v>4.5840873972602746E-2</v>
      </c>
      <c r="BU28" s="256">
        <v>2.7275024657534248E-2</v>
      </c>
      <c r="BV28" s="256">
        <v>2.4811460273972605E-2</v>
      </c>
      <c r="BW28" s="256">
        <v>2.0135279452054792E-2</v>
      </c>
      <c r="BX28" s="300">
        <v>1.5306830136986301E-2</v>
      </c>
      <c r="BY28" s="279" t="s">
        <v>134</v>
      </c>
      <c r="BZ28" s="267">
        <v>6.1772561643835613E-2</v>
      </c>
      <c r="CA28" s="256">
        <v>4.5840873972602746E-2</v>
      </c>
      <c r="CB28" s="256">
        <v>2.7275024657534248E-2</v>
      </c>
      <c r="CC28" s="256">
        <v>2.4811460273972605E-2</v>
      </c>
      <c r="CD28" s="256">
        <v>2.0135279452054792E-2</v>
      </c>
      <c r="CE28" s="300">
        <v>1.5306830136986301E-2</v>
      </c>
      <c r="CF28" s="279" t="s">
        <v>134</v>
      </c>
      <c r="CG28" s="267">
        <v>6.1772561643835613E-2</v>
      </c>
      <c r="CH28" s="256">
        <v>4.5840873972602746E-2</v>
      </c>
      <c r="CI28" s="256">
        <v>2.7275024657534248E-2</v>
      </c>
      <c r="CJ28" s="256">
        <v>2.4811460273972605E-2</v>
      </c>
      <c r="CK28" s="256">
        <v>2.0135279452054792E-2</v>
      </c>
      <c r="CL28" s="300">
        <v>1.5306830136986301E-2</v>
      </c>
      <c r="CM28" s="279" t="s">
        <v>134</v>
      </c>
      <c r="CN28" s="267">
        <v>6.1772561643835613E-2</v>
      </c>
      <c r="CO28" s="256">
        <v>4.5840873972602746E-2</v>
      </c>
      <c r="CP28" s="256">
        <v>2.7275024657534248E-2</v>
      </c>
      <c r="CQ28" s="256">
        <v>2.4811460273972605E-2</v>
      </c>
      <c r="CR28" s="256">
        <v>2.0135279452054792E-2</v>
      </c>
      <c r="CS28" s="300">
        <v>1.5306830136986301E-2</v>
      </c>
    </row>
    <row r="29" spans="1:97">
      <c r="A29" s="41" t="s">
        <v>17</v>
      </c>
      <c r="B29" s="40" t="s">
        <v>27</v>
      </c>
      <c r="C29" s="335" t="s">
        <v>139</v>
      </c>
      <c r="D29" s="278" t="s">
        <v>136</v>
      </c>
      <c r="E29" s="266" t="b">
        <f>IF('INTRODUCIR DATOS'!$D$20="ENERO",'RESULTADO INDEXADO'!O29,IF('INTRODUCIR DATOS'!$D$20="FEBRERO",'RESULTADO INDEXADO'!V29,IF('INTRODUCIR DATOS'!$D$20="MARZO",'RESULTADO INDEXADO'!AC29,IF('INTRODUCIR DATOS'!$D$20="ABRIL",'RESULTADO INDEXADO'!AJ29,IF('INTRODUCIR DATOS'!$D$20="MAYO",'RESULTADO INDEXADO'!AQ29,IF('INTRODUCIR DATOS'!$D$20="JUNIO",'RESULTADO INDEXADO'!AX29,IF('INTRODUCIR DATOS'!$D$20="JULIO",'RESULTADO INDEXADO'!BE29,IF('INTRODUCIR DATOS'!$D$20="AGOSTO",'RESULTADO INDEXADO'!BL29,IF('INTRODUCIR DATOS'!$D$20="SEPTIEMBRE",'RESULTADO INDEXADO'!BS29,IF('INTRODUCIR DATOS'!$D$20="OCTUBRE",'RESULTADO INDEXADO'!BZ29,IF('INTRODUCIR DATOS'!$D$20="NOVIEMBRE",'RESULTADO INDEXADO'!CG29,IF('INTRODUCIR DATOS'!$D$20="DICIEMBRE",'RESULTADO INDEXADO'!CN29))))))))))))</f>
        <v>0</v>
      </c>
      <c r="F29" s="253" t="b">
        <f>IF('INTRODUCIR DATOS'!$D$20="ENERO",'RESULTADO INDEXADO'!P29,IF('INTRODUCIR DATOS'!$D$20="FEBRERO",'RESULTADO INDEXADO'!W29,IF('INTRODUCIR DATOS'!$D$20="MARZO",'RESULTADO INDEXADO'!AD29,IF('INTRODUCIR DATOS'!$D$20="ABRIL",'RESULTADO INDEXADO'!AK29,IF('INTRODUCIR DATOS'!$D$20="MAYO",'RESULTADO INDEXADO'!AR29,IF('INTRODUCIR DATOS'!$D$20="JUNIO",'RESULTADO INDEXADO'!AY29,IF('INTRODUCIR DATOS'!$D$20="JULIO",'RESULTADO INDEXADO'!BF29,IF('INTRODUCIR DATOS'!$D$20="AGOSTO",'RESULTADO INDEXADO'!BM29,IF('INTRODUCIR DATOS'!$D$20="SEPTIEMBRE",'RESULTADO INDEXADO'!BT29,IF('INTRODUCIR DATOS'!$D$20="OCTUBRE",'RESULTADO INDEXADO'!CA29,IF('INTRODUCIR DATOS'!$D$20="NOVIEMBRE",'RESULTADO INDEXADO'!CH29,IF('INTRODUCIR DATOS'!$D$20="DICIEMBRE",'RESULTADO INDEXADO'!CO29))))))))))))</f>
        <v>0</v>
      </c>
      <c r="G29" s="253" t="b">
        <f>IF('INTRODUCIR DATOS'!$D$20="ENERO",'RESULTADO INDEXADO'!Q29,IF('INTRODUCIR DATOS'!$D$20="FEBRERO",'RESULTADO INDEXADO'!X29,IF('INTRODUCIR DATOS'!$D$20="MARZO",'RESULTADO INDEXADO'!AE29,IF('INTRODUCIR DATOS'!$D$20="ABRIL",'RESULTADO INDEXADO'!AL29,IF('INTRODUCIR DATOS'!$D$20="MAYO",'RESULTADO INDEXADO'!AS29,IF('INTRODUCIR DATOS'!$D$20="JUNIO",'RESULTADO INDEXADO'!AZ29,IF('INTRODUCIR DATOS'!$D$20="JULIO",'RESULTADO INDEXADO'!BG29,IF('INTRODUCIR DATOS'!$D$20="AGOSTO",'RESULTADO INDEXADO'!BN29,IF('INTRODUCIR DATOS'!$D$20="SEPTIEMBRE",'RESULTADO INDEXADO'!BU29,IF('INTRODUCIR DATOS'!$D$20="OCTUBRE",'RESULTADO INDEXADO'!CB29,IF('INTRODUCIR DATOS'!$D$20="NOVIEMBRE",'RESULTADO INDEXADO'!CI29,IF('INTRODUCIR DATOS'!$D$20="DICIEMBRE",'RESULTADO INDEXADO'!CP29))))))))))))</f>
        <v>0</v>
      </c>
      <c r="H29" s="254" t="b">
        <f>IF('INTRODUCIR DATOS'!$D$20="ENERO",'RESULTADO INDEXADO'!R29,IF('INTRODUCIR DATOS'!$D$20="FEBRERO",'RESULTADO INDEXADO'!Y29,IF('INTRODUCIR DATOS'!$D$20="MARZO",'RESULTADO INDEXADO'!AF29,IF('INTRODUCIR DATOS'!$D$20="ABRIL",'RESULTADO INDEXADO'!AM29,IF('INTRODUCIR DATOS'!$D$20="MAYO",'RESULTADO INDEXADO'!AT29,IF('INTRODUCIR DATOS'!$D$20="JUNIO",'RESULTADO INDEXADO'!BA29,IF('INTRODUCIR DATOS'!$D$20="JULIO",'RESULTADO INDEXADO'!BH29,IF('INTRODUCIR DATOS'!$D$20="AGOSTO",'RESULTADO INDEXADO'!BO29,IF('INTRODUCIR DATOS'!$D$20="SEPTIEMBRE",'RESULTADO INDEXADO'!BV29,IF('INTRODUCIR DATOS'!$D$20="OCTUBRE",'RESULTADO INDEXADO'!CC29,IF('INTRODUCIR DATOS'!$D$20="NOVIEMBRE",'RESULTADO INDEXADO'!CJ29,IF('INTRODUCIR DATOS'!$D$20="DICIEMBRE",'RESULTADO INDEXADO'!CQ29))))))))))))</f>
        <v>0</v>
      </c>
      <c r="I29" s="254" t="b">
        <f>IF('INTRODUCIR DATOS'!$D$20="ENERO",'RESULTADO INDEXADO'!S29,IF('INTRODUCIR DATOS'!$D$20="FEBRERO",'RESULTADO INDEXADO'!Z29,IF('INTRODUCIR DATOS'!$D$20="MARZO",'RESULTADO INDEXADO'!AG29,IF('INTRODUCIR DATOS'!$D$20="ABRIL",'RESULTADO INDEXADO'!AN29,IF('INTRODUCIR DATOS'!$D$20="MAYO",'RESULTADO INDEXADO'!AU29,IF('INTRODUCIR DATOS'!$D$20="JUNIO",'RESULTADO INDEXADO'!BB29,IF('INTRODUCIR DATOS'!$D$20="JULIO",'RESULTADO INDEXADO'!BI29,IF('INTRODUCIR DATOS'!$D$20="AGOSTO",'RESULTADO INDEXADO'!BP29,IF('INTRODUCIR DATOS'!$D$20="SEPTIEMBRE",'RESULTADO INDEXADO'!BW29,IF('INTRODUCIR DATOS'!$D$20="OCTUBRE",'RESULTADO INDEXADO'!CD29,IF('INTRODUCIR DATOS'!$D$20="NOVIEMBRE",'RESULTADO INDEXADO'!CK29,IF('INTRODUCIR DATOS'!$D$20="DICIEMBRE",'RESULTADO INDEXADO'!CR29))))))))))))</f>
        <v>0</v>
      </c>
      <c r="J29" s="295" t="b">
        <f>IF('INTRODUCIR DATOS'!$D$20="ENERO",'RESULTADO INDEXADO'!T29,IF('INTRODUCIR DATOS'!$D$20="FEBRERO",'RESULTADO INDEXADO'!AA29,IF('INTRODUCIR DATOS'!$D$20="MARZO",'RESULTADO INDEXADO'!AH29,IF('INTRODUCIR DATOS'!$D$20="ABRIL",'RESULTADO INDEXADO'!AO29,IF('INTRODUCIR DATOS'!$D$20="MAYO",'RESULTADO INDEXADO'!AV29,IF('INTRODUCIR DATOS'!$D$20="JUNIO",'RESULTADO INDEXADO'!BC29,IF('INTRODUCIR DATOS'!$D$20="JULIO",'RESULTADO INDEXADO'!BJ29,IF('INTRODUCIR DATOS'!$D$20="AGOSTO",'RESULTADO INDEXADO'!BQ29,IF('INTRODUCIR DATOS'!$D$20="SEPTIEMBRE",'RESULTADO INDEXADO'!BX29,IF('INTRODUCIR DATOS'!$D$20="OCTUBRE",'RESULTADO INDEXADO'!CE29,IF('INTRODUCIR DATOS'!$D$20="NOVIEMBRE",'RESULTADO INDEXADO'!CL29,IF('INTRODUCIR DATOS'!$D$20="DICIEMBRE",'RESULTADO INDEXADO'!CS29))))))))))))</f>
        <v>0</v>
      </c>
      <c r="K29" s="290">
        <f>('INTRODUCIR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DATOS'!$D$17)+'INTRODUCIR DATOS'!$D$15+'INTRODUCIR DATOS'!$D$16+IF('INTRODUCIR DATOS'!$D$21=21%,(('INTRODUCIR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DATOS'!$D$17)+'INTRODUCIR DATOS'!$D$16)*21/100,IF('INTRODUCIR DATOS'!$D$21=10%,(('INTRODUCIR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DATOS'!$D$17)+'INTRODUCIR DATOS'!$D$16)*10/100))</f>
        <v>1.0285</v>
      </c>
      <c r="L29" s="292">
        <f>IF(K29=0,"",'INTRODUCIR DATOS'!$D$14-K29)</f>
        <v>113.12150000000001</v>
      </c>
      <c r="M29" s="271">
        <f>IF(K29=0,"",('INTRODUCIR DATOS'!$D$14-K29)/'INTRODUCIR DATOS'!$D$14)</f>
        <v>0.99098992553657472</v>
      </c>
      <c r="N29" s="310" t="s">
        <v>136</v>
      </c>
      <c r="O29" s="266">
        <v>0.18759500000000001</v>
      </c>
      <c r="P29" s="253">
        <v>0.156971</v>
      </c>
      <c r="Q29" s="253"/>
      <c r="R29" s="254"/>
      <c r="S29" s="254"/>
      <c r="T29" s="255">
        <v>7.8868999999999995E-2</v>
      </c>
      <c r="U29" s="278" t="s">
        <v>136</v>
      </c>
      <c r="V29" s="266">
        <v>0.14149700000000001</v>
      </c>
      <c r="W29" s="253">
        <v>0.110886</v>
      </c>
      <c r="X29" s="253"/>
      <c r="Y29" s="254"/>
      <c r="Z29" s="254"/>
      <c r="AA29" s="255">
        <v>4.2022999999999998E-2</v>
      </c>
      <c r="AB29" s="278" t="s">
        <v>136</v>
      </c>
      <c r="AC29" s="266"/>
      <c r="AD29" s="253">
        <v>0.135847</v>
      </c>
      <c r="AE29" s="253">
        <v>0.10086100000000001</v>
      </c>
      <c r="AF29" s="254"/>
      <c r="AG29" s="254"/>
      <c r="AH29" s="255">
        <v>6.4381999999999995E-2</v>
      </c>
      <c r="AI29" s="278" t="s">
        <v>136</v>
      </c>
      <c r="AJ29" s="266"/>
      <c r="AK29" s="253"/>
      <c r="AL29" s="253"/>
      <c r="AM29" s="254">
        <v>0.113264</v>
      </c>
      <c r="AN29" s="254">
        <v>9.6501000000000003E-2</v>
      </c>
      <c r="AO29" s="255">
        <v>8.8575000000000001E-2</v>
      </c>
      <c r="AP29" s="278" t="s">
        <v>136</v>
      </c>
      <c r="AQ29" s="266"/>
      <c r="AR29" s="253"/>
      <c r="AS29" s="253"/>
      <c r="AT29" s="254">
        <v>0.116078</v>
      </c>
      <c r="AU29" s="254">
        <v>0.10055500000000001</v>
      </c>
      <c r="AV29" s="255">
        <v>0.89387000000000005</v>
      </c>
      <c r="AW29" s="278" t="s">
        <v>136</v>
      </c>
      <c r="AX29" s="266"/>
      <c r="AY29" s="253"/>
      <c r="AZ29" s="253">
        <v>0.14636299999999999</v>
      </c>
      <c r="BA29" s="254">
        <v>0.12795999999999999</v>
      </c>
      <c r="BB29" s="254"/>
      <c r="BC29" s="255">
        <v>0.107712</v>
      </c>
      <c r="BD29" s="278" t="s">
        <v>136</v>
      </c>
      <c r="BE29" s="266">
        <v>0.20432900000000001</v>
      </c>
      <c r="BF29" s="253">
        <v>0.18182599999999999</v>
      </c>
      <c r="BG29" s="253"/>
      <c r="BH29" s="254"/>
      <c r="BI29" s="254"/>
      <c r="BJ29" s="255">
        <v>0.12259100000000001</v>
      </c>
      <c r="BK29" s="278" t="s">
        <v>136</v>
      </c>
      <c r="BL29" s="266"/>
      <c r="BM29" s="253"/>
      <c r="BN29" s="253">
        <v>0.174238</v>
      </c>
      <c r="BO29" s="254">
        <v>0.15689800000000001</v>
      </c>
      <c r="BP29" s="254"/>
      <c r="BQ29" s="255">
        <v>0.137374</v>
      </c>
      <c r="BR29" s="278" t="s">
        <v>136</v>
      </c>
      <c r="BS29" s="266"/>
      <c r="BT29" s="253"/>
      <c r="BU29" s="253"/>
      <c r="BV29" s="254"/>
      <c r="BW29" s="254"/>
      <c r="BX29" s="255"/>
      <c r="BY29" s="278" t="s">
        <v>136</v>
      </c>
      <c r="BZ29" s="266"/>
      <c r="CA29" s="253"/>
      <c r="CB29" s="253"/>
      <c r="CC29" s="254"/>
      <c r="CD29" s="254"/>
      <c r="CE29" s="255"/>
      <c r="CF29" s="278" t="s">
        <v>136</v>
      </c>
      <c r="CG29" s="266"/>
      <c r="CH29" s="253"/>
      <c r="CI29" s="253"/>
      <c r="CJ29" s="254"/>
      <c r="CK29" s="254"/>
      <c r="CL29" s="255"/>
      <c r="CM29" s="278" t="s">
        <v>136</v>
      </c>
      <c r="CN29" s="266"/>
      <c r="CO29" s="253"/>
      <c r="CP29" s="253"/>
      <c r="CQ29" s="254"/>
      <c r="CR29" s="254"/>
      <c r="CS29" s="255"/>
    </row>
    <row r="30" spans="1:97">
      <c r="A30" s="41" t="s">
        <v>17</v>
      </c>
      <c r="B30" s="40" t="s">
        <v>29</v>
      </c>
      <c r="C30" s="335" t="s">
        <v>139</v>
      </c>
      <c r="D30" s="279" t="s">
        <v>134</v>
      </c>
      <c r="E30" s="267" t="b">
        <f>IF('INTRODUCIR DATOS'!$D$20="ENERO",'RESULTADO INDEXADO'!O30,IF('INTRODUCIR DATOS'!$D$20="FEBRERO",'RESULTADO INDEXADO'!V30,IF('INTRODUCIR DATOS'!$D$20="MARZO",'RESULTADO INDEXADO'!AC30,IF('INTRODUCIR DATOS'!$D$20="ABRIL",'RESULTADO INDEXADO'!AJ30,IF('INTRODUCIR DATOS'!$D$20="MAYO",'RESULTADO INDEXADO'!AQ30,IF('INTRODUCIR DATOS'!$D$20="JUNIO",'RESULTADO INDEXADO'!AX30,IF('INTRODUCIR DATOS'!$D$20="JULIO",'RESULTADO INDEXADO'!BE30,IF('INTRODUCIR DATOS'!$D$20="AGOSTO",'RESULTADO INDEXADO'!BL30,IF('INTRODUCIR DATOS'!$D$20="SEPTIEMBRE",'RESULTADO INDEXADO'!BS30,IF('INTRODUCIR DATOS'!$D$20="OCTUBRE",'RESULTADO INDEXADO'!BZ30,IF('INTRODUCIR DATOS'!$D$20="NOVIEMBRE",'RESULTADO INDEXADO'!CG30,IF('INTRODUCIR DATOS'!$D$20="DICIEMBRE",'RESULTADO INDEXADO'!CN30))))))))))))</f>
        <v>0</v>
      </c>
      <c r="F30" s="256" t="b">
        <f>IF('INTRODUCIR DATOS'!$D$20="ENERO",'RESULTADO INDEXADO'!P30,IF('INTRODUCIR DATOS'!$D$20="FEBRERO",'RESULTADO INDEXADO'!W30,IF('INTRODUCIR DATOS'!$D$20="MARZO",'RESULTADO INDEXADO'!AD30,IF('INTRODUCIR DATOS'!$D$20="ABRIL",'RESULTADO INDEXADO'!AK30,IF('INTRODUCIR DATOS'!$D$20="MAYO",'RESULTADO INDEXADO'!AR30,IF('INTRODUCIR DATOS'!$D$20="JUNIO",'RESULTADO INDEXADO'!AY30,IF('INTRODUCIR DATOS'!$D$20="JULIO",'RESULTADO INDEXADO'!BF30,IF('INTRODUCIR DATOS'!$D$20="AGOSTO",'RESULTADO INDEXADO'!BM30,IF('INTRODUCIR DATOS'!$D$20="SEPTIEMBRE",'RESULTADO INDEXADO'!BT30,IF('INTRODUCIR DATOS'!$D$20="OCTUBRE",'RESULTADO INDEXADO'!CA30,IF('INTRODUCIR DATOS'!$D$20="NOVIEMBRE",'RESULTADO INDEXADO'!CH30,IF('INTRODUCIR DATOS'!$D$20="DICIEMBRE",'RESULTADO INDEXADO'!CO30))))))))))))</f>
        <v>0</v>
      </c>
      <c r="G30" s="257" t="b">
        <f>IF('INTRODUCIR DATOS'!$D$20="ENERO",'RESULTADO INDEXADO'!Q30,IF('INTRODUCIR DATOS'!$D$20="FEBRERO",'RESULTADO INDEXADO'!X30,IF('INTRODUCIR DATOS'!$D$20="MARZO",'RESULTADO INDEXADO'!AE30,IF('INTRODUCIR DATOS'!$D$20="ABRIL",'RESULTADO INDEXADO'!AL30,IF('INTRODUCIR DATOS'!$D$20="MAYO",'RESULTADO INDEXADO'!AS30,IF('INTRODUCIR DATOS'!$D$20="JUNIO",'RESULTADO INDEXADO'!AZ30,IF('INTRODUCIR DATOS'!$D$20="JULIO",'RESULTADO INDEXADO'!BG30,IF('INTRODUCIR DATOS'!$D$20="AGOSTO",'RESULTADO INDEXADO'!BN30,IF('INTRODUCIR DATOS'!$D$20="SEPTIEMBRE",'RESULTADO INDEXADO'!BU30,IF('INTRODUCIR DATOS'!$D$20="OCTUBRE",'RESULTADO INDEXADO'!CB30,IF('INTRODUCIR DATOS'!$D$20="NOVIEMBRE",'RESULTADO INDEXADO'!CI30,IF('INTRODUCIR DATOS'!$D$20="DICIEMBRE",'RESULTADO INDEXADO'!CP30))))))))))))</f>
        <v>0</v>
      </c>
      <c r="H30" s="257" t="b">
        <f>IF('INTRODUCIR DATOS'!$D$20="ENERO",'RESULTADO INDEXADO'!R30,IF('INTRODUCIR DATOS'!$D$20="FEBRERO",'RESULTADO INDEXADO'!Y30,IF('INTRODUCIR DATOS'!$D$20="MARZO",'RESULTADO INDEXADO'!AF30,IF('INTRODUCIR DATOS'!$D$20="ABRIL",'RESULTADO INDEXADO'!AM30,IF('INTRODUCIR DATOS'!$D$20="MAYO",'RESULTADO INDEXADO'!AT30,IF('INTRODUCIR DATOS'!$D$20="JUNIO",'RESULTADO INDEXADO'!BA30,IF('INTRODUCIR DATOS'!$D$20="JULIO",'RESULTADO INDEXADO'!BH30,IF('INTRODUCIR DATOS'!$D$20="AGOSTO",'RESULTADO INDEXADO'!BO30,IF('INTRODUCIR DATOS'!$D$20="SEPTIEMBRE",'RESULTADO INDEXADO'!BV30,IF('INTRODUCIR DATOS'!$D$20="OCTUBRE",'RESULTADO INDEXADO'!CC30,IF('INTRODUCIR DATOS'!$D$20="NOVIEMBRE",'RESULTADO INDEXADO'!CJ30,IF('INTRODUCIR DATOS'!$D$20="DICIEMBRE",'RESULTADO INDEXADO'!CQ30))))))))))))</f>
        <v>0</v>
      </c>
      <c r="I30" s="257" t="b">
        <f>IF('INTRODUCIR DATOS'!$D$20="ENERO",'RESULTADO INDEXADO'!S30,IF('INTRODUCIR DATOS'!$D$20="FEBRERO",'RESULTADO INDEXADO'!Z30,IF('INTRODUCIR DATOS'!$D$20="MARZO",'RESULTADO INDEXADO'!AG30,IF('INTRODUCIR DATOS'!$D$20="ABRIL",'RESULTADO INDEXADO'!AN30,IF('INTRODUCIR DATOS'!$D$20="MAYO",'RESULTADO INDEXADO'!AU30,IF('INTRODUCIR DATOS'!$D$20="JUNIO",'RESULTADO INDEXADO'!BB30,IF('INTRODUCIR DATOS'!$D$20="JULIO",'RESULTADO INDEXADO'!BI30,IF('INTRODUCIR DATOS'!$D$20="AGOSTO",'RESULTADO INDEXADO'!BP30,IF('INTRODUCIR DATOS'!$D$20="SEPTIEMBRE",'RESULTADO INDEXADO'!BW30,IF('INTRODUCIR DATOS'!$D$20="OCTUBRE",'RESULTADO INDEXADO'!CD30,IF('INTRODUCIR DATOS'!$D$20="NOVIEMBRE",'RESULTADO INDEXADO'!CK30,IF('INTRODUCIR DATOS'!$D$20="DICIEMBRE",'RESULTADO INDEXADO'!CR30))))))))))))</f>
        <v>0</v>
      </c>
      <c r="J30" s="296" t="b">
        <f>IF('INTRODUCIR DATOS'!$D$20="ENERO",'RESULTADO INDEXADO'!T30,IF('INTRODUCIR DATOS'!$D$20="FEBRERO",'RESULTADO INDEXADO'!AA30,IF('INTRODUCIR DATOS'!$D$20="MARZO",'RESULTADO INDEXADO'!AH30,IF('INTRODUCIR DATOS'!$D$20="ABRIL",'RESULTADO INDEXADO'!AO30,IF('INTRODUCIR DATOS'!$D$20="MAYO",'RESULTADO INDEXADO'!AV30,IF('INTRODUCIR DATOS'!$D$20="JUNIO",'RESULTADO INDEXADO'!BC30,IF('INTRODUCIR DATOS'!$D$20="JULIO",'RESULTADO INDEXADO'!BJ30,IF('INTRODUCIR DATOS'!$D$20="AGOSTO",'RESULTADO INDEXADO'!BQ30,IF('INTRODUCIR DATOS'!$D$20="SEPTIEMBRE",'RESULTADO INDEXADO'!BX30,IF('INTRODUCIR DATOS'!$D$20="OCTUBRE",'RESULTADO INDEXADO'!CE30,IF('INTRODUCIR DATOS'!$D$20="NOVIEMBRE",'RESULTADO INDEXADO'!CL30,IF('INTRODUCIR DATOS'!$D$20="DICIEMBRE",'RESULTADO INDEXADO'!CS30))))))))))))</f>
        <v>0</v>
      </c>
      <c r="K30" s="41"/>
      <c r="L30" s="40"/>
      <c r="M30" s="145"/>
      <c r="N30" s="311" t="s">
        <v>134</v>
      </c>
      <c r="O30" s="267">
        <v>5.9169821917808223E-2</v>
      </c>
      <c r="P30" s="256">
        <v>4.3238134246575341E-2</v>
      </c>
      <c r="Q30" s="256">
        <v>2.4672284931506847E-2</v>
      </c>
      <c r="R30" s="256">
        <v>2.2208720547945204E-2</v>
      </c>
      <c r="S30" s="256">
        <v>1.7532539726027398E-2</v>
      </c>
      <c r="T30" s="300">
        <v>1.2704090410958905E-2</v>
      </c>
      <c r="U30" s="279" t="s">
        <v>134</v>
      </c>
      <c r="V30" s="267">
        <v>5.9169821917808223E-2</v>
      </c>
      <c r="W30" s="256">
        <v>4.3238134246575341E-2</v>
      </c>
      <c r="X30" s="256">
        <v>2.4672284931506847E-2</v>
      </c>
      <c r="Y30" s="256">
        <v>2.2208720547945204E-2</v>
      </c>
      <c r="Z30" s="256">
        <v>1.7532539726027398E-2</v>
      </c>
      <c r="AA30" s="300">
        <v>1.2704090410958905E-2</v>
      </c>
      <c r="AB30" s="279" t="s">
        <v>134</v>
      </c>
      <c r="AC30" s="267">
        <v>5.9169821917808223E-2</v>
      </c>
      <c r="AD30" s="256">
        <v>4.3238134246575341E-2</v>
      </c>
      <c r="AE30" s="256">
        <v>2.4672284931506847E-2</v>
      </c>
      <c r="AF30" s="256">
        <v>2.2208720547945204E-2</v>
      </c>
      <c r="AG30" s="256">
        <v>1.7532539726027398E-2</v>
      </c>
      <c r="AH30" s="300">
        <v>1.2704090410958905E-2</v>
      </c>
      <c r="AI30" s="279" t="s">
        <v>134</v>
      </c>
      <c r="AJ30" s="267">
        <v>5.9169821917808223E-2</v>
      </c>
      <c r="AK30" s="256">
        <v>4.3238134246575341E-2</v>
      </c>
      <c r="AL30" s="256">
        <v>2.4672284931506847E-2</v>
      </c>
      <c r="AM30" s="256">
        <v>2.2208720547945204E-2</v>
      </c>
      <c r="AN30" s="256">
        <v>1.7532539726027398E-2</v>
      </c>
      <c r="AO30" s="300">
        <v>1.2704090410958905E-2</v>
      </c>
      <c r="AP30" s="279" t="s">
        <v>134</v>
      </c>
      <c r="AQ30" s="267">
        <v>5.9169821917808223E-2</v>
      </c>
      <c r="AR30" s="256">
        <v>4.3238134246575341E-2</v>
      </c>
      <c r="AS30" s="256">
        <v>2.4672284931506847E-2</v>
      </c>
      <c r="AT30" s="256">
        <v>2.2208720547945204E-2</v>
      </c>
      <c r="AU30" s="256">
        <v>1.7532539726027398E-2</v>
      </c>
      <c r="AV30" s="300">
        <v>1.2704090410958905E-2</v>
      </c>
      <c r="AW30" s="279" t="s">
        <v>134</v>
      </c>
      <c r="AX30" s="267">
        <v>5.9169821917808223E-2</v>
      </c>
      <c r="AY30" s="256">
        <v>4.3238134246575341E-2</v>
      </c>
      <c r="AZ30" s="256">
        <v>2.4672284931506847E-2</v>
      </c>
      <c r="BA30" s="256">
        <v>2.2208720547945204E-2</v>
      </c>
      <c r="BB30" s="256">
        <v>1.7532539726027398E-2</v>
      </c>
      <c r="BC30" s="300">
        <v>1.2704090410958905E-2</v>
      </c>
      <c r="BD30" s="279" t="s">
        <v>134</v>
      </c>
      <c r="BE30" s="267">
        <v>5.9169821917808223E-2</v>
      </c>
      <c r="BF30" s="256">
        <v>4.3238134246575341E-2</v>
      </c>
      <c r="BG30" s="256">
        <v>2.4672284931506847E-2</v>
      </c>
      <c r="BH30" s="256">
        <v>2.2208720547945204E-2</v>
      </c>
      <c r="BI30" s="256">
        <v>1.7532539726027398E-2</v>
      </c>
      <c r="BJ30" s="300">
        <v>1.2704090410958905E-2</v>
      </c>
      <c r="BK30" s="279" t="s">
        <v>134</v>
      </c>
      <c r="BL30" s="267">
        <v>5.9169821917808223E-2</v>
      </c>
      <c r="BM30" s="256">
        <v>4.3238134246575341E-2</v>
      </c>
      <c r="BN30" s="256">
        <v>2.4672284931506847E-2</v>
      </c>
      <c r="BO30" s="256">
        <v>2.2208720547945204E-2</v>
      </c>
      <c r="BP30" s="256">
        <v>1.7532539726027398E-2</v>
      </c>
      <c r="BQ30" s="300">
        <v>1.2704090410958905E-2</v>
      </c>
      <c r="BR30" s="279" t="s">
        <v>134</v>
      </c>
      <c r="BS30" s="267">
        <v>5.9169821917808223E-2</v>
      </c>
      <c r="BT30" s="256">
        <v>4.3238134246575341E-2</v>
      </c>
      <c r="BU30" s="256">
        <v>2.4672284931506847E-2</v>
      </c>
      <c r="BV30" s="256">
        <v>2.2208720547945204E-2</v>
      </c>
      <c r="BW30" s="256">
        <v>1.7532539726027398E-2</v>
      </c>
      <c r="BX30" s="300">
        <v>1.2704090410958905E-2</v>
      </c>
      <c r="BY30" s="279" t="s">
        <v>134</v>
      </c>
      <c r="BZ30" s="267">
        <v>5.9169821917808223E-2</v>
      </c>
      <c r="CA30" s="256">
        <v>4.3238134246575341E-2</v>
      </c>
      <c r="CB30" s="256">
        <v>2.4672284931506847E-2</v>
      </c>
      <c r="CC30" s="256">
        <v>2.2208720547945204E-2</v>
      </c>
      <c r="CD30" s="256">
        <v>1.7532539726027398E-2</v>
      </c>
      <c r="CE30" s="300">
        <v>1.2704090410958905E-2</v>
      </c>
      <c r="CF30" s="279" t="s">
        <v>134</v>
      </c>
      <c r="CG30" s="267">
        <v>5.9169821917808223E-2</v>
      </c>
      <c r="CH30" s="256">
        <v>4.3238134246575341E-2</v>
      </c>
      <c r="CI30" s="256">
        <v>2.4672284931506847E-2</v>
      </c>
      <c r="CJ30" s="256">
        <v>2.2208720547945204E-2</v>
      </c>
      <c r="CK30" s="256">
        <v>1.7532539726027398E-2</v>
      </c>
      <c r="CL30" s="300">
        <v>1.2704090410958905E-2</v>
      </c>
      <c r="CM30" s="279" t="s">
        <v>134</v>
      </c>
      <c r="CN30" s="267">
        <v>5.9169821917808223E-2</v>
      </c>
      <c r="CO30" s="256">
        <v>4.3238134246575341E-2</v>
      </c>
      <c r="CP30" s="256">
        <v>2.4672284931506847E-2</v>
      </c>
      <c r="CQ30" s="256">
        <v>2.2208720547945204E-2</v>
      </c>
      <c r="CR30" s="256">
        <v>1.7532539726027398E-2</v>
      </c>
      <c r="CS30" s="300">
        <v>1.2704090410958905E-2</v>
      </c>
    </row>
    <row r="31" spans="1:97">
      <c r="A31" s="41" t="s">
        <v>17</v>
      </c>
      <c r="B31" s="40" t="s">
        <v>29</v>
      </c>
      <c r="C31" s="335" t="s">
        <v>139</v>
      </c>
      <c r="D31" s="278" t="s">
        <v>136</v>
      </c>
      <c r="E31" s="266" t="b">
        <f>IF('INTRODUCIR DATOS'!$D$20="ENERO",'RESULTADO INDEXADO'!O31,IF('INTRODUCIR DATOS'!$D$20="FEBRERO",'RESULTADO INDEXADO'!V31,IF('INTRODUCIR DATOS'!$D$20="MARZO",'RESULTADO INDEXADO'!AC31,IF('INTRODUCIR DATOS'!$D$20="ABRIL",'RESULTADO INDEXADO'!AJ31,IF('INTRODUCIR DATOS'!$D$20="MAYO",'RESULTADO INDEXADO'!AQ31,IF('INTRODUCIR DATOS'!$D$20="JUNIO",'RESULTADO INDEXADO'!AX31,IF('INTRODUCIR DATOS'!$D$20="JULIO",'RESULTADO INDEXADO'!BE31,IF('INTRODUCIR DATOS'!$D$20="AGOSTO",'RESULTADO INDEXADO'!BL31,IF('INTRODUCIR DATOS'!$D$20="SEPTIEMBRE",'RESULTADO INDEXADO'!BS31,IF('INTRODUCIR DATOS'!$D$20="OCTUBRE",'RESULTADO INDEXADO'!BZ31,IF('INTRODUCIR DATOS'!$D$20="NOVIEMBRE",'RESULTADO INDEXADO'!CG31,IF('INTRODUCIR DATOS'!$D$20="DICIEMBRE",'RESULTADO INDEXADO'!CN31))))))))))))</f>
        <v>0</v>
      </c>
      <c r="F31" s="253" t="b">
        <f>IF('INTRODUCIR DATOS'!$D$20="ENERO",'RESULTADO INDEXADO'!P31,IF('INTRODUCIR DATOS'!$D$20="FEBRERO",'RESULTADO INDEXADO'!W31,IF('INTRODUCIR DATOS'!$D$20="MARZO",'RESULTADO INDEXADO'!AD31,IF('INTRODUCIR DATOS'!$D$20="ABRIL",'RESULTADO INDEXADO'!AK31,IF('INTRODUCIR DATOS'!$D$20="MAYO",'RESULTADO INDEXADO'!AR31,IF('INTRODUCIR DATOS'!$D$20="JUNIO",'RESULTADO INDEXADO'!AY31,IF('INTRODUCIR DATOS'!$D$20="JULIO",'RESULTADO INDEXADO'!BF31,IF('INTRODUCIR DATOS'!$D$20="AGOSTO",'RESULTADO INDEXADO'!BM31,IF('INTRODUCIR DATOS'!$D$20="SEPTIEMBRE",'RESULTADO INDEXADO'!BT31,IF('INTRODUCIR DATOS'!$D$20="OCTUBRE",'RESULTADO INDEXADO'!CA31,IF('INTRODUCIR DATOS'!$D$20="NOVIEMBRE",'RESULTADO INDEXADO'!CH31,IF('INTRODUCIR DATOS'!$D$20="DICIEMBRE",'RESULTADO INDEXADO'!CO31))))))))))))</f>
        <v>0</v>
      </c>
      <c r="G31" s="253" t="b">
        <f>IF('INTRODUCIR DATOS'!$D$20="ENERO",'RESULTADO INDEXADO'!Q31,IF('INTRODUCIR DATOS'!$D$20="FEBRERO",'RESULTADO INDEXADO'!X31,IF('INTRODUCIR DATOS'!$D$20="MARZO",'RESULTADO INDEXADO'!AE31,IF('INTRODUCIR DATOS'!$D$20="ABRIL",'RESULTADO INDEXADO'!AL31,IF('INTRODUCIR DATOS'!$D$20="MAYO",'RESULTADO INDEXADO'!AS31,IF('INTRODUCIR DATOS'!$D$20="JUNIO",'RESULTADO INDEXADO'!AZ31,IF('INTRODUCIR DATOS'!$D$20="JULIO",'RESULTADO INDEXADO'!BG31,IF('INTRODUCIR DATOS'!$D$20="AGOSTO",'RESULTADO INDEXADO'!BN31,IF('INTRODUCIR DATOS'!$D$20="SEPTIEMBRE",'RESULTADO INDEXADO'!BU31,IF('INTRODUCIR DATOS'!$D$20="OCTUBRE",'RESULTADO INDEXADO'!CB31,IF('INTRODUCIR DATOS'!$D$20="NOVIEMBRE",'RESULTADO INDEXADO'!CI31,IF('INTRODUCIR DATOS'!$D$20="DICIEMBRE",'RESULTADO INDEXADO'!CP31))))))))))))</f>
        <v>0</v>
      </c>
      <c r="H31" s="254" t="b">
        <f>IF('INTRODUCIR DATOS'!$D$20="ENERO",'RESULTADO INDEXADO'!R31,IF('INTRODUCIR DATOS'!$D$20="FEBRERO",'RESULTADO INDEXADO'!Y31,IF('INTRODUCIR DATOS'!$D$20="MARZO",'RESULTADO INDEXADO'!AF31,IF('INTRODUCIR DATOS'!$D$20="ABRIL",'RESULTADO INDEXADO'!AM31,IF('INTRODUCIR DATOS'!$D$20="MAYO",'RESULTADO INDEXADO'!AT31,IF('INTRODUCIR DATOS'!$D$20="JUNIO",'RESULTADO INDEXADO'!BA31,IF('INTRODUCIR DATOS'!$D$20="JULIO",'RESULTADO INDEXADO'!BH31,IF('INTRODUCIR DATOS'!$D$20="AGOSTO",'RESULTADO INDEXADO'!BO31,IF('INTRODUCIR DATOS'!$D$20="SEPTIEMBRE",'RESULTADO INDEXADO'!BV31,IF('INTRODUCIR DATOS'!$D$20="OCTUBRE",'RESULTADO INDEXADO'!CC31,IF('INTRODUCIR DATOS'!$D$20="NOVIEMBRE",'RESULTADO INDEXADO'!CJ31,IF('INTRODUCIR DATOS'!$D$20="DICIEMBRE",'RESULTADO INDEXADO'!CQ31))))))))))))</f>
        <v>0</v>
      </c>
      <c r="I31" s="254" t="b">
        <f>IF('INTRODUCIR DATOS'!$D$20="ENERO",'RESULTADO INDEXADO'!S31,IF('INTRODUCIR DATOS'!$D$20="FEBRERO",'RESULTADO INDEXADO'!Z31,IF('INTRODUCIR DATOS'!$D$20="MARZO",'RESULTADO INDEXADO'!AG31,IF('INTRODUCIR DATOS'!$D$20="ABRIL",'RESULTADO INDEXADO'!AN31,IF('INTRODUCIR DATOS'!$D$20="MAYO",'RESULTADO INDEXADO'!AU31,IF('INTRODUCIR DATOS'!$D$20="JUNIO",'RESULTADO INDEXADO'!BB31,IF('INTRODUCIR DATOS'!$D$20="JULIO",'RESULTADO INDEXADO'!BI31,IF('INTRODUCIR DATOS'!$D$20="AGOSTO",'RESULTADO INDEXADO'!BP31,IF('INTRODUCIR DATOS'!$D$20="SEPTIEMBRE",'RESULTADO INDEXADO'!BW31,IF('INTRODUCIR DATOS'!$D$20="OCTUBRE",'RESULTADO INDEXADO'!CD31,IF('INTRODUCIR DATOS'!$D$20="NOVIEMBRE",'RESULTADO INDEXADO'!CK31,IF('INTRODUCIR DATOS'!$D$20="DICIEMBRE",'RESULTADO INDEXADO'!CR31))))))))))))</f>
        <v>0</v>
      </c>
      <c r="J31" s="295" t="b">
        <f>IF('INTRODUCIR DATOS'!$D$20="ENERO",'RESULTADO INDEXADO'!T31,IF('INTRODUCIR DATOS'!$D$20="FEBRERO",'RESULTADO INDEXADO'!AA31,IF('INTRODUCIR DATOS'!$D$20="MARZO",'RESULTADO INDEXADO'!AH31,IF('INTRODUCIR DATOS'!$D$20="ABRIL",'RESULTADO INDEXADO'!AO31,IF('INTRODUCIR DATOS'!$D$20="MAYO",'RESULTADO INDEXADO'!AV31,IF('INTRODUCIR DATOS'!$D$20="JUNIO",'RESULTADO INDEXADO'!BC31,IF('INTRODUCIR DATOS'!$D$20="JULIO",'RESULTADO INDEXADO'!BJ31,IF('INTRODUCIR DATOS'!$D$20="AGOSTO",'RESULTADO INDEXADO'!BQ31,IF('INTRODUCIR DATOS'!$D$20="SEPTIEMBRE",'RESULTADO INDEXADO'!BX31,IF('INTRODUCIR DATOS'!$D$20="OCTUBRE",'RESULTADO INDEXADO'!CE31,IF('INTRODUCIR DATOS'!$D$20="NOVIEMBRE",'RESULTADO INDEXADO'!CL31,IF('INTRODUCIR DATOS'!$D$20="DICIEMBRE",'RESULTADO INDEXADO'!CS31))))))))))))</f>
        <v>0</v>
      </c>
      <c r="K31" s="290">
        <f>('INTRODUCIR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DATOS'!$D$17)+'INTRODUCIR DATOS'!$D$15+'INTRODUCIR DATOS'!$D$16+IF('INTRODUCIR DATOS'!$D$21=21%,(('INTRODUCIR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DATOS'!$D$17)+'INTRODUCIR DATOS'!$D$16)*21/100,IF('INTRODUCIR DATOS'!$D$21=10%,(('INTRODUCIR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DATOS'!$D$17)+'INTRODUCIR DATOS'!$D$16)*10/100))</f>
        <v>1.0285</v>
      </c>
      <c r="L31" s="292">
        <f>IF(K31=0,"",'INTRODUCIR DATOS'!$D$14-K31)</f>
        <v>113.12150000000001</v>
      </c>
      <c r="M31" s="271">
        <f>IF(K31=0,"",('INTRODUCIR DATOS'!$D$14-K31)/'INTRODUCIR DATOS'!$D$14)</f>
        <v>0.99098992553657472</v>
      </c>
      <c r="N31" s="310" t="s">
        <v>136</v>
      </c>
      <c r="O31" s="266">
        <v>0.18459500000000001</v>
      </c>
      <c r="P31" s="253">
        <v>0.153971</v>
      </c>
      <c r="Q31" s="253"/>
      <c r="R31" s="254"/>
      <c r="S31" s="254"/>
      <c r="T31" s="255">
        <v>7.5869000000000006E-2</v>
      </c>
      <c r="U31" s="278" t="s">
        <v>136</v>
      </c>
      <c r="V31" s="266">
        <v>0.13849700000000001</v>
      </c>
      <c r="W31" s="253">
        <v>0.107886</v>
      </c>
      <c r="X31" s="253"/>
      <c r="Y31" s="254"/>
      <c r="Z31" s="254"/>
      <c r="AA31" s="255">
        <v>3.9023000000000002E-2</v>
      </c>
      <c r="AB31" s="278" t="s">
        <v>136</v>
      </c>
      <c r="AC31" s="266"/>
      <c r="AD31" s="253">
        <v>0.13284699999999999</v>
      </c>
      <c r="AE31" s="253">
        <v>9.7861000000000004E-2</v>
      </c>
      <c r="AF31" s="254"/>
      <c r="AG31" s="254"/>
      <c r="AH31" s="255">
        <v>6.1381999999999999E-2</v>
      </c>
      <c r="AI31" s="278" t="s">
        <v>136</v>
      </c>
      <c r="AJ31" s="266"/>
      <c r="AK31" s="253"/>
      <c r="AL31" s="253"/>
      <c r="AM31" s="254">
        <v>0.110264</v>
      </c>
      <c r="AN31" s="254">
        <v>9.3501000000000001E-2</v>
      </c>
      <c r="AO31" s="255">
        <v>8.5574999999999998E-2</v>
      </c>
      <c r="AP31" s="278" t="s">
        <v>136</v>
      </c>
      <c r="AQ31" s="266"/>
      <c r="AR31" s="253"/>
      <c r="AS31" s="253"/>
      <c r="AT31" s="254">
        <v>0.113078</v>
      </c>
      <c r="AU31" s="254">
        <v>9.7555000000000003E-2</v>
      </c>
      <c r="AV31" s="255">
        <v>8.6387000000000005E-2</v>
      </c>
      <c r="AW31" s="278" t="s">
        <v>136</v>
      </c>
      <c r="AX31" s="266"/>
      <c r="AY31" s="253"/>
      <c r="AZ31" s="253">
        <v>0.14336299999999999</v>
      </c>
      <c r="BA31" s="254">
        <v>0.124796</v>
      </c>
      <c r="BB31" s="254"/>
      <c r="BC31" s="255">
        <v>0.104712</v>
      </c>
      <c r="BD31" s="278" t="s">
        <v>136</v>
      </c>
      <c r="BE31" s="266">
        <v>0.20132900000000001</v>
      </c>
      <c r="BF31" s="253">
        <v>0.17882600000000001</v>
      </c>
      <c r="BG31" s="253"/>
      <c r="BH31" s="254"/>
      <c r="BI31" s="254"/>
      <c r="BJ31" s="255">
        <v>0.119591</v>
      </c>
      <c r="BK31" s="278" t="s">
        <v>136</v>
      </c>
      <c r="BL31" s="266"/>
      <c r="BM31" s="253"/>
      <c r="BN31" s="253">
        <v>0.171238</v>
      </c>
      <c r="BO31" s="254">
        <v>0.15389800000000001</v>
      </c>
      <c r="BP31" s="254"/>
      <c r="BQ31" s="255">
        <v>0.13437399999999999</v>
      </c>
      <c r="BR31" s="278" t="s">
        <v>136</v>
      </c>
      <c r="BS31" s="266"/>
      <c r="BT31" s="253"/>
      <c r="BU31" s="253"/>
      <c r="BV31" s="254"/>
      <c r="BW31" s="254"/>
      <c r="BX31" s="255"/>
      <c r="BY31" s="278" t="s">
        <v>136</v>
      </c>
      <c r="BZ31" s="266"/>
      <c r="CA31" s="253"/>
      <c r="CB31" s="253"/>
      <c r="CC31" s="254"/>
      <c r="CD31" s="254"/>
      <c r="CE31" s="255"/>
      <c r="CF31" s="278" t="s">
        <v>136</v>
      </c>
      <c r="CG31" s="266"/>
      <c r="CH31" s="253"/>
      <c r="CI31" s="253"/>
      <c r="CJ31" s="254"/>
      <c r="CK31" s="254"/>
      <c r="CL31" s="255"/>
      <c r="CM31" s="278" t="s">
        <v>136</v>
      </c>
      <c r="CN31" s="266"/>
      <c r="CO31" s="253"/>
      <c r="CP31" s="253"/>
      <c r="CQ31" s="254"/>
      <c r="CR31" s="254"/>
      <c r="CS31" s="255"/>
    </row>
    <row r="32" spans="1:97">
      <c r="A32" s="41" t="s">
        <v>17</v>
      </c>
      <c r="B32" s="40"/>
      <c r="C32" s="335"/>
      <c r="D32" s="279" t="s">
        <v>134</v>
      </c>
      <c r="E32" s="267" t="b">
        <f>IF('INTRODUCIR DATOS'!$D$20="ENERO",'RESULTADO INDEXADO'!O32,IF('INTRODUCIR DATOS'!$D$20="FEBRERO",'RESULTADO INDEXADO'!V32,IF('INTRODUCIR DATOS'!$D$20="MARZO",'RESULTADO INDEXADO'!AC32,IF('INTRODUCIR DATOS'!$D$20="ABRIL",'RESULTADO INDEXADO'!AJ32,IF('INTRODUCIR DATOS'!$D$20="MAYO",'RESULTADO INDEXADO'!AQ32,IF('INTRODUCIR DATOS'!$D$20="JUNIO",'RESULTADO INDEXADO'!AX32,IF('INTRODUCIR DATOS'!$D$20="JULIO",'RESULTADO INDEXADO'!BE32,IF('INTRODUCIR DATOS'!$D$20="AGOSTO",'RESULTADO INDEXADO'!BL32,IF('INTRODUCIR DATOS'!$D$20="SEPTIEMBRE",'RESULTADO INDEXADO'!BS32,IF('INTRODUCIR DATOS'!$D$20="OCTUBRE",'RESULTADO INDEXADO'!BZ32,IF('INTRODUCIR DATOS'!$D$20="NOVIEMBRE",'RESULTADO INDEXADO'!CG32,IF('INTRODUCIR DATOS'!$D$20="DICIEMBRE",'RESULTADO INDEXADO'!CN32))))))))))))</f>
        <v>0</v>
      </c>
      <c r="F32" s="256" t="b">
        <f>IF('INTRODUCIR DATOS'!$D$20="ENERO",'RESULTADO INDEXADO'!P32,IF('INTRODUCIR DATOS'!$D$20="FEBRERO",'RESULTADO INDEXADO'!W32,IF('INTRODUCIR DATOS'!$D$20="MARZO",'RESULTADO INDEXADO'!AD32,IF('INTRODUCIR DATOS'!$D$20="ABRIL",'RESULTADO INDEXADO'!AK32,IF('INTRODUCIR DATOS'!$D$20="MAYO",'RESULTADO INDEXADO'!AR32,IF('INTRODUCIR DATOS'!$D$20="JUNIO",'RESULTADO INDEXADO'!AY32,IF('INTRODUCIR DATOS'!$D$20="JULIO",'RESULTADO INDEXADO'!BF32,IF('INTRODUCIR DATOS'!$D$20="AGOSTO",'RESULTADO INDEXADO'!BM32,IF('INTRODUCIR DATOS'!$D$20="SEPTIEMBRE",'RESULTADO INDEXADO'!BT32,IF('INTRODUCIR DATOS'!$D$20="OCTUBRE",'RESULTADO INDEXADO'!CA32,IF('INTRODUCIR DATOS'!$D$20="NOVIEMBRE",'RESULTADO INDEXADO'!CH32,IF('INTRODUCIR DATOS'!$D$20="DICIEMBRE",'RESULTADO INDEXADO'!CO32))))))))))))</f>
        <v>0</v>
      </c>
      <c r="G32" s="257" t="b">
        <f>IF('INTRODUCIR DATOS'!$D$20="ENERO",'RESULTADO INDEXADO'!Q32,IF('INTRODUCIR DATOS'!$D$20="FEBRERO",'RESULTADO INDEXADO'!X32,IF('INTRODUCIR DATOS'!$D$20="MARZO",'RESULTADO INDEXADO'!AE32,IF('INTRODUCIR DATOS'!$D$20="ABRIL",'RESULTADO INDEXADO'!AL32,IF('INTRODUCIR DATOS'!$D$20="MAYO",'RESULTADO INDEXADO'!AS32,IF('INTRODUCIR DATOS'!$D$20="JUNIO",'RESULTADO INDEXADO'!AZ32,IF('INTRODUCIR DATOS'!$D$20="JULIO",'RESULTADO INDEXADO'!BG32,IF('INTRODUCIR DATOS'!$D$20="AGOSTO",'RESULTADO INDEXADO'!BN32,IF('INTRODUCIR DATOS'!$D$20="SEPTIEMBRE",'RESULTADO INDEXADO'!BU32,IF('INTRODUCIR DATOS'!$D$20="OCTUBRE",'RESULTADO INDEXADO'!CB32,IF('INTRODUCIR DATOS'!$D$20="NOVIEMBRE",'RESULTADO INDEXADO'!CI32,IF('INTRODUCIR DATOS'!$D$20="DICIEMBRE",'RESULTADO INDEXADO'!CP32))))))))))))</f>
        <v>0</v>
      </c>
      <c r="H32" s="257" t="b">
        <f>IF('INTRODUCIR DATOS'!$D$20="ENERO",'RESULTADO INDEXADO'!R32,IF('INTRODUCIR DATOS'!$D$20="FEBRERO",'RESULTADO INDEXADO'!Y32,IF('INTRODUCIR DATOS'!$D$20="MARZO",'RESULTADO INDEXADO'!AF32,IF('INTRODUCIR DATOS'!$D$20="ABRIL",'RESULTADO INDEXADO'!AM32,IF('INTRODUCIR DATOS'!$D$20="MAYO",'RESULTADO INDEXADO'!AT32,IF('INTRODUCIR DATOS'!$D$20="JUNIO",'RESULTADO INDEXADO'!BA32,IF('INTRODUCIR DATOS'!$D$20="JULIO",'RESULTADO INDEXADO'!BH32,IF('INTRODUCIR DATOS'!$D$20="AGOSTO",'RESULTADO INDEXADO'!BO32,IF('INTRODUCIR DATOS'!$D$20="SEPTIEMBRE",'RESULTADO INDEXADO'!BV32,IF('INTRODUCIR DATOS'!$D$20="OCTUBRE",'RESULTADO INDEXADO'!CC32,IF('INTRODUCIR DATOS'!$D$20="NOVIEMBRE",'RESULTADO INDEXADO'!CJ32,IF('INTRODUCIR DATOS'!$D$20="DICIEMBRE",'RESULTADO INDEXADO'!CQ32))))))))))))</f>
        <v>0</v>
      </c>
      <c r="I32" s="257" t="b">
        <f>IF('INTRODUCIR DATOS'!$D$20="ENERO",'RESULTADO INDEXADO'!S32,IF('INTRODUCIR DATOS'!$D$20="FEBRERO",'RESULTADO INDEXADO'!Z32,IF('INTRODUCIR DATOS'!$D$20="MARZO",'RESULTADO INDEXADO'!AG32,IF('INTRODUCIR DATOS'!$D$20="ABRIL",'RESULTADO INDEXADO'!AN32,IF('INTRODUCIR DATOS'!$D$20="MAYO",'RESULTADO INDEXADO'!AU32,IF('INTRODUCIR DATOS'!$D$20="JUNIO",'RESULTADO INDEXADO'!BB32,IF('INTRODUCIR DATOS'!$D$20="JULIO",'RESULTADO INDEXADO'!BI32,IF('INTRODUCIR DATOS'!$D$20="AGOSTO",'RESULTADO INDEXADO'!BP32,IF('INTRODUCIR DATOS'!$D$20="SEPTIEMBRE",'RESULTADO INDEXADO'!BW32,IF('INTRODUCIR DATOS'!$D$20="OCTUBRE",'RESULTADO INDEXADO'!CD32,IF('INTRODUCIR DATOS'!$D$20="NOVIEMBRE",'RESULTADO INDEXADO'!CK32,IF('INTRODUCIR DATOS'!$D$20="DICIEMBRE",'RESULTADO INDEXADO'!CR32))))))))))))</f>
        <v>0</v>
      </c>
      <c r="J32" s="296" t="b">
        <f>IF('INTRODUCIR DATOS'!$D$20="ENERO",'RESULTADO INDEXADO'!T32,IF('INTRODUCIR DATOS'!$D$20="FEBRERO",'RESULTADO INDEXADO'!AA32,IF('INTRODUCIR DATOS'!$D$20="MARZO",'RESULTADO INDEXADO'!AH32,IF('INTRODUCIR DATOS'!$D$20="ABRIL",'RESULTADO INDEXADO'!AO32,IF('INTRODUCIR DATOS'!$D$20="MAYO",'RESULTADO INDEXADO'!AV32,IF('INTRODUCIR DATOS'!$D$20="JUNIO",'RESULTADO INDEXADO'!BC32,IF('INTRODUCIR DATOS'!$D$20="JULIO",'RESULTADO INDEXADO'!BJ32,IF('INTRODUCIR DATOS'!$D$20="AGOSTO",'RESULTADO INDEXADO'!BQ32,IF('INTRODUCIR DATOS'!$D$20="SEPTIEMBRE",'RESULTADO INDEXADO'!BX32,IF('INTRODUCIR DATOS'!$D$20="OCTUBRE",'RESULTADO INDEXADO'!CE32,IF('INTRODUCIR DATOS'!$D$20="NOVIEMBRE",'RESULTADO INDEXADO'!CL32,IF('INTRODUCIR DATOS'!$D$20="DICIEMBRE",'RESULTADO INDEXADO'!CS32))))))))))))</f>
        <v>0</v>
      </c>
      <c r="K32" s="41"/>
      <c r="L32" s="40"/>
      <c r="M32" s="145"/>
      <c r="N32" s="311" t="s">
        <v>134</v>
      </c>
      <c r="O32" s="267"/>
      <c r="P32" s="256"/>
      <c r="Q32" s="256"/>
      <c r="R32" s="256"/>
      <c r="S32" s="256"/>
      <c r="T32" s="300"/>
      <c r="U32" s="279" t="s">
        <v>134</v>
      </c>
      <c r="V32" s="267"/>
      <c r="W32" s="256"/>
      <c r="X32" s="256"/>
      <c r="Y32" s="256"/>
      <c r="Z32" s="256"/>
      <c r="AA32" s="300"/>
      <c r="AB32" s="279" t="s">
        <v>134</v>
      </c>
      <c r="AC32" s="267"/>
      <c r="AD32" s="256"/>
      <c r="AE32" s="256"/>
      <c r="AF32" s="256"/>
      <c r="AG32" s="256"/>
      <c r="AH32" s="300"/>
      <c r="AI32" s="279" t="s">
        <v>134</v>
      </c>
      <c r="AJ32" s="267"/>
      <c r="AK32" s="256"/>
      <c r="AL32" s="256"/>
      <c r="AM32" s="256"/>
      <c r="AN32" s="256"/>
      <c r="AO32" s="300"/>
      <c r="AP32" s="279" t="s">
        <v>134</v>
      </c>
      <c r="AQ32" s="267"/>
      <c r="AR32" s="256"/>
      <c r="AS32" s="256"/>
      <c r="AT32" s="256"/>
      <c r="AU32" s="256"/>
      <c r="AV32" s="300"/>
      <c r="AW32" s="279" t="s">
        <v>134</v>
      </c>
      <c r="AX32" s="267"/>
      <c r="AY32" s="256"/>
      <c r="AZ32" s="256"/>
      <c r="BA32" s="256"/>
      <c r="BB32" s="256"/>
      <c r="BC32" s="300"/>
      <c r="BD32" s="279" t="s">
        <v>134</v>
      </c>
      <c r="BE32" s="267"/>
      <c r="BF32" s="256"/>
      <c r="BG32" s="256"/>
      <c r="BH32" s="256"/>
      <c r="BI32" s="256"/>
      <c r="BJ32" s="300"/>
      <c r="BK32" s="279" t="s">
        <v>134</v>
      </c>
      <c r="BL32" s="267"/>
      <c r="BM32" s="256"/>
      <c r="BN32" s="256"/>
      <c r="BO32" s="256"/>
      <c r="BP32" s="256"/>
      <c r="BQ32" s="300"/>
      <c r="BR32" s="279" t="s">
        <v>134</v>
      </c>
      <c r="BS32" s="267"/>
      <c r="BT32" s="256"/>
      <c r="BU32" s="256"/>
      <c r="BV32" s="256"/>
      <c r="BW32" s="256"/>
      <c r="BX32" s="300"/>
      <c r="BY32" s="279" t="s">
        <v>134</v>
      </c>
      <c r="BZ32" s="267"/>
      <c r="CA32" s="256"/>
      <c r="CB32" s="256"/>
      <c r="CC32" s="256"/>
      <c r="CD32" s="256"/>
      <c r="CE32" s="300"/>
      <c r="CF32" s="279" t="s">
        <v>134</v>
      </c>
      <c r="CG32" s="267"/>
      <c r="CH32" s="256"/>
      <c r="CI32" s="256"/>
      <c r="CJ32" s="256"/>
      <c r="CK32" s="256"/>
      <c r="CL32" s="300"/>
      <c r="CM32" s="279" t="s">
        <v>134</v>
      </c>
      <c r="CN32" s="267"/>
      <c r="CO32" s="256"/>
      <c r="CP32" s="256"/>
      <c r="CQ32" s="256"/>
      <c r="CR32" s="256"/>
      <c r="CS32" s="300"/>
    </row>
    <row r="33" spans="1:97">
      <c r="A33" s="41" t="s">
        <v>17</v>
      </c>
      <c r="B33" s="40"/>
      <c r="C33" s="335"/>
      <c r="D33" s="278" t="s">
        <v>136</v>
      </c>
      <c r="E33" s="266" t="b">
        <f>IF('INTRODUCIR DATOS'!$D$20="ENERO",'RESULTADO INDEXADO'!O33,IF('INTRODUCIR DATOS'!$D$20="FEBRERO",'RESULTADO INDEXADO'!V33,IF('INTRODUCIR DATOS'!$D$20="MARZO",'RESULTADO INDEXADO'!AC33,IF('INTRODUCIR DATOS'!$D$20="ABRIL",'RESULTADO INDEXADO'!AJ33,IF('INTRODUCIR DATOS'!$D$20="MAYO",'RESULTADO INDEXADO'!AQ33,IF('INTRODUCIR DATOS'!$D$20="JUNIO",'RESULTADO INDEXADO'!AX33,IF('INTRODUCIR DATOS'!$D$20="JULIO",'RESULTADO INDEXADO'!BE33,IF('INTRODUCIR DATOS'!$D$20="AGOSTO",'RESULTADO INDEXADO'!BL33,IF('INTRODUCIR DATOS'!$D$20="SEPTIEMBRE",'RESULTADO INDEXADO'!BS33,IF('INTRODUCIR DATOS'!$D$20="OCTUBRE",'RESULTADO INDEXADO'!BZ33,IF('INTRODUCIR DATOS'!$D$20="NOVIEMBRE",'RESULTADO INDEXADO'!CG33,IF('INTRODUCIR DATOS'!$D$20="DICIEMBRE",'RESULTADO INDEXADO'!CN33))))))))))))</f>
        <v>0</v>
      </c>
      <c r="F33" s="253" t="b">
        <f>IF('INTRODUCIR DATOS'!$D$20="ENERO",'RESULTADO INDEXADO'!P33,IF('INTRODUCIR DATOS'!$D$20="FEBRERO",'RESULTADO INDEXADO'!W33,IF('INTRODUCIR DATOS'!$D$20="MARZO",'RESULTADO INDEXADO'!AD33,IF('INTRODUCIR DATOS'!$D$20="ABRIL",'RESULTADO INDEXADO'!AK33,IF('INTRODUCIR DATOS'!$D$20="MAYO",'RESULTADO INDEXADO'!AR33,IF('INTRODUCIR DATOS'!$D$20="JUNIO",'RESULTADO INDEXADO'!AY33,IF('INTRODUCIR DATOS'!$D$20="JULIO",'RESULTADO INDEXADO'!BF33,IF('INTRODUCIR DATOS'!$D$20="AGOSTO",'RESULTADO INDEXADO'!BM33,IF('INTRODUCIR DATOS'!$D$20="SEPTIEMBRE",'RESULTADO INDEXADO'!BT33,IF('INTRODUCIR DATOS'!$D$20="OCTUBRE",'RESULTADO INDEXADO'!CA33,IF('INTRODUCIR DATOS'!$D$20="NOVIEMBRE",'RESULTADO INDEXADO'!CH33,IF('INTRODUCIR DATOS'!$D$20="DICIEMBRE",'RESULTADO INDEXADO'!CO33))))))))))))</f>
        <v>0</v>
      </c>
      <c r="G33" s="253" t="b">
        <f>IF('INTRODUCIR DATOS'!$D$20="ENERO",'RESULTADO INDEXADO'!Q33,IF('INTRODUCIR DATOS'!$D$20="FEBRERO",'RESULTADO INDEXADO'!X33,IF('INTRODUCIR DATOS'!$D$20="MARZO",'RESULTADO INDEXADO'!AE33,IF('INTRODUCIR DATOS'!$D$20="ABRIL",'RESULTADO INDEXADO'!AL33,IF('INTRODUCIR DATOS'!$D$20="MAYO",'RESULTADO INDEXADO'!AS33,IF('INTRODUCIR DATOS'!$D$20="JUNIO",'RESULTADO INDEXADO'!AZ33,IF('INTRODUCIR DATOS'!$D$20="JULIO",'RESULTADO INDEXADO'!BG33,IF('INTRODUCIR DATOS'!$D$20="AGOSTO",'RESULTADO INDEXADO'!BN33,IF('INTRODUCIR DATOS'!$D$20="SEPTIEMBRE",'RESULTADO INDEXADO'!BU33,IF('INTRODUCIR DATOS'!$D$20="OCTUBRE",'RESULTADO INDEXADO'!CB33,IF('INTRODUCIR DATOS'!$D$20="NOVIEMBRE",'RESULTADO INDEXADO'!CI33,IF('INTRODUCIR DATOS'!$D$20="DICIEMBRE",'RESULTADO INDEXADO'!CP33))))))))))))</f>
        <v>0</v>
      </c>
      <c r="H33" s="254" t="b">
        <f>IF('INTRODUCIR DATOS'!$D$20="ENERO",'RESULTADO INDEXADO'!R33,IF('INTRODUCIR DATOS'!$D$20="FEBRERO",'RESULTADO INDEXADO'!Y33,IF('INTRODUCIR DATOS'!$D$20="MARZO",'RESULTADO INDEXADO'!AF33,IF('INTRODUCIR DATOS'!$D$20="ABRIL",'RESULTADO INDEXADO'!AM33,IF('INTRODUCIR DATOS'!$D$20="MAYO",'RESULTADO INDEXADO'!AT33,IF('INTRODUCIR DATOS'!$D$20="JUNIO",'RESULTADO INDEXADO'!BA33,IF('INTRODUCIR DATOS'!$D$20="JULIO",'RESULTADO INDEXADO'!BH33,IF('INTRODUCIR DATOS'!$D$20="AGOSTO",'RESULTADO INDEXADO'!BO33,IF('INTRODUCIR DATOS'!$D$20="SEPTIEMBRE",'RESULTADO INDEXADO'!BV33,IF('INTRODUCIR DATOS'!$D$20="OCTUBRE",'RESULTADO INDEXADO'!CC33,IF('INTRODUCIR DATOS'!$D$20="NOVIEMBRE",'RESULTADO INDEXADO'!CJ33,IF('INTRODUCIR DATOS'!$D$20="DICIEMBRE",'RESULTADO INDEXADO'!CQ33))))))))))))</f>
        <v>0</v>
      </c>
      <c r="I33" s="254" t="b">
        <f>IF('INTRODUCIR DATOS'!$D$20="ENERO",'RESULTADO INDEXADO'!S33,IF('INTRODUCIR DATOS'!$D$20="FEBRERO",'RESULTADO INDEXADO'!Z33,IF('INTRODUCIR DATOS'!$D$20="MARZO",'RESULTADO INDEXADO'!AG33,IF('INTRODUCIR DATOS'!$D$20="ABRIL",'RESULTADO INDEXADO'!AN33,IF('INTRODUCIR DATOS'!$D$20="MAYO",'RESULTADO INDEXADO'!AU33,IF('INTRODUCIR DATOS'!$D$20="JUNIO",'RESULTADO INDEXADO'!BB33,IF('INTRODUCIR DATOS'!$D$20="JULIO",'RESULTADO INDEXADO'!BI33,IF('INTRODUCIR DATOS'!$D$20="AGOSTO",'RESULTADO INDEXADO'!BP33,IF('INTRODUCIR DATOS'!$D$20="SEPTIEMBRE",'RESULTADO INDEXADO'!BW33,IF('INTRODUCIR DATOS'!$D$20="OCTUBRE",'RESULTADO INDEXADO'!CD33,IF('INTRODUCIR DATOS'!$D$20="NOVIEMBRE",'RESULTADO INDEXADO'!CK33,IF('INTRODUCIR DATOS'!$D$20="DICIEMBRE",'RESULTADO INDEXADO'!CR33))))))))))))</f>
        <v>0</v>
      </c>
      <c r="J33" s="295" t="b">
        <f>IF('INTRODUCIR DATOS'!$D$20="ENERO",'RESULTADO INDEXADO'!T33,IF('INTRODUCIR DATOS'!$D$20="FEBRERO",'RESULTADO INDEXADO'!AA33,IF('INTRODUCIR DATOS'!$D$20="MARZO",'RESULTADO INDEXADO'!AH33,IF('INTRODUCIR DATOS'!$D$20="ABRIL",'RESULTADO INDEXADO'!AO33,IF('INTRODUCIR DATOS'!$D$20="MAYO",'RESULTADO INDEXADO'!AV33,IF('INTRODUCIR DATOS'!$D$20="JUNIO",'RESULTADO INDEXADO'!BC33,IF('INTRODUCIR DATOS'!$D$20="JULIO",'RESULTADO INDEXADO'!BJ33,IF('INTRODUCIR DATOS'!$D$20="AGOSTO",'RESULTADO INDEXADO'!BQ33,IF('INTRODUCIR DATOS'!$D$20="SEPTIEMBRE",'RESULTADO INDEXADO'!BX33,IF('INTRODUCIR DATOS'!$D$20="OCTUBRE",'RESULTADO INDEXADO'!CE33,IF('INTRODUCIR DATOS'!$D$20="NOVIEMBRE",'RESULTADO INDEXADO'!CL33,IF('INTRODUCIR DATOS'!$D$20="DICIEMBRE",'RESULTADO INDEXADO'!CS33))))))))))))</f>
        <v>0</v>
      </c>
      <c r="K33" s="290">
        <f>('INTRODUCIR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DATOS'!$D$17)+'INTRODUCIR DATOS'!$D$15+'INTRODUCIR DATOS'!$D$16+IF('INTRODUCIR DATOS'!$D$21=21%,(('INTRODUCIR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DATOS'!$D$17)+'INTRODUCIR DATOS'!$D$16)*21/100,IF('INTRODUCIR DATOS'!$D$21=10%,(('INTRODUCIR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DATOS'!$D$17)+'INTRODUCIR DATOS'!$D$16)*10/100))</f>
        <v>1.0285</v>
      </c>
      <c r="L33" s="292">
        <f>IF(K33=0,"",'INTRODUCIR DATOS'!$D$14-K33)</f>
        <v>113.12150000000001</v>
      </c>
      <c r="M33" s="271">
        <f>IF(K33=0,"",('INTRODUCIR DATOS'!$D$14-K33)/'INTRODUCIR DATOS'!$D$14)</f>
        <v>0.99098992553657472</v>
      </c>
      <c r="N33" s="310" t="s">
        <v>136</v>
      </c>
      <c r="O33" s="266"/>
      <c r="P33" s="253"/>
      <c r="Q33" s="253"/>
      <c r="R33" s="254"/>
      <c r="S33" s="254"/>
      <c r="T33" s="255"/>
      <c r="U33" s="278" t="s">
        <v>136</v>
      </c>
      <c r="V33" s="266"/>
      <c r="W33" s="253"/>
      <c r="X33" s="253"/>
      <c r="Y33" s="254"/>
      <c r="Z33" s="254"/>
      <c r="AA33" s="255"/>
      <c r="AB33" s="278" t="s">
        <v>136</v>
      </c>
      <c r="AC33" s="266"/>
      <c r="AD33" s="253"/>
      <c r="AE33" s="253"/>
      <c r="AF33" s="254"/>
      <c r="AG33" s="254"/>
      <c r="AH33" s="255"/>
      <c r="AI33" s="278" t="s">
        <v>136</v>
      </c>
      <c r="AJ33" s="266"/>
      <c r="AK33" s="253"/>
      <c r="AL33" s="253"/>
      <c r="AM33" s="254"/>
      <c r="AN33" s="254"/>
      <c r="AO33" s="255"/>
      <c r="AP33" s="278" t="s">
        <v>136</v>
      </c>
      <c r="AQ33" s="266"/>
      <c r="AR33" s="253"/>
      <c r="AS33" s="253"/>
      <c r="AT33" s="254"/>
      <c r="AU33" s="254"/>
      <c r="AV33" s="255"/>
      <c r="AW33" s="278" t="s">
        <v>136</v>
      </c>
      <c r="AX33" s="266"/>
      <c r="AY33" s="253"/>
      <c r="AZ33" s="253"/>
      <c r="BA33" s="254"/>
      <c r="BB33" s="254"/>
      <c r="BC33" s="255"/>
      <c r="BD33" s="278" t="s">
        <v>136</v>
      </c>
      <c r="BE33" s="266"/>
      <c r="BF33" s="253"/>
      <c r="BG33" s="253"/>
      <c r="BH33" s="254"/>
      <c r="BI33" s="254"/>
      <c r="BJ33" s="255"/>
      <c r="BK33" s="278" t="s">
        <v>136</v>
      </c>
      <c r="BL33" s="266"/>
      <c r="BM33" s="253"/>
      <c r="BN33" s="253"/>
      <c r="BO33" s="254"/>
      <c r="BP33" s="254"/>
      <c r="BQ33" s="255"/>
      <c r="BR33" s="278" t="s">
        <v>136</v>
      </c>
      <c r="BS33" s="266"/>
      <c r="BT33" s="253"/>
      <c r="BU33" s="253"/>
      <c r="BV33" s="254"/>
      <c r="BW33" s="254"/>
      <c r="BX33" s="255"/>
      <c r="BY33" s="278" t="s">
        <v>136</v>
      </c>
      <c r="BZ33" s="266"/>
      <c r="CA33" s="253"/>
      <c r="CB33" s="253"/>
      <c r="CC33" s="254"/>
      <c r="CD33" s="254"/>
      <c r="CE33" s="255"/>
      <c r="CF33" s="278" t="s">
        <v>136</v>
      </c>
      <c r="CG33" s="266"/>
      <c r="CH33" s="253"/>
      <c r="CI33" s="253"/>
      <c r="CJ33" s="254"/>
      <c r="CK33" s="254"/>
      <c r="CL33" s="255"/>
      <c r="CM33" s="278" t="s">
        <v>136</v>
      </c>
      <c r="CN33" s="266"/>
      <c r="CO33" s="253"/>
      <c r="CP33" s="253"/>
      <c r="CQ33" s="254"/>
      <c r="CR33" s="254"/>
      <c r="CS33" s="255"/>
    </row>
    <row r="34" spans="1:97">
      <c r="A34" s="41" t="s">
        <v>17</v>
      </c>
      <c r="B34" s="40"/>
      <c r="C34" s="335"/>
      <c r="D34" s="279" t="s">
        <v>134</v>
      </c>
      <c r="E34" s="267" t="b">
        <f>IF('INTRODUCIR DATOS'!$D$20="ENERO",'RESULTADO INDEXADO'!O34,IF('INTRODUCIR DATOS'!$D$20="FEBRERO",'RESULTADO INDEXADO'!V34,IF('INTRODUCIR DATOS'!$D$20="MARZO",'RESULTADO INDEXADO'!AC34,IF('INTRODUCIR DATOS'!$D$20="ABRIL",'RESULTADO INDEXADO'!AJ34,IF('INTRODUCIR DATOS'!$D$20="MAYO",'RESULTADO INDEXADO'!AQ34,IF('INTRODUCIR DATOS'!$D$20="JUNIO",'RESULTADO INDEXADO'!AX34,IF('INTRODUCIR DATOS'!$D$20="JULIO",'RESULTADO INDEXADO'!BE34,IF('INTRODUCIR DATOS'!$D$20="AGOSTO",'RESULTADO INDEXADO'!BL34,IF('INTRODUCIR DATOS'!$D$20="SEPTIEMBRE",'RESULTADO INDEXADO'!BS34,IF('INTRODUCIR DATOS'!$D$20="OCTUBRE",'RESULTADO INDEXADO'!BZ34,IF('INTRODUCIR DATOS'!$D$20="NOVIEMBRE",'RESULTADO INDEXADO'!CG34,IF('INTRODUCIR DATOS'!$D$20="DICIEMBRE",'RESULTADO INDEXADO'!CN34))))))))))))</f>
        <v>0</v>
      </c>
      <c r="F34" s="256" t="b">
        <f>IF('INTRODUCIR DATOS'!$D$20="ENERO",'RESULTADO INDEXADO'!P34,IF('INTRODUCIR DATOS'!$D$20="FEBRERO",'RESULTADO INDEXADO'!W34,IF('INTRODUCIR DATOS'!$D$20="MARZO",'RESULTADO INDEXADO'!AD34,IF('INTRODUCIR DATOS'!$D$20="ABRIL",'RESULTADO INDEXADO'!AK34,IF('INTRODUCIR DATOS'!$D$20="MAYO",'RESULTADO INDEXADO'!AR34,IF('INTRODUCIR DATOS'!$D$20="JUNIO",'RESULTADO INDEXADO'!AY34,IF('INTRODUCIR DATOS'!$D$20="JULIO",'RESULTADO INDEXADO'!BF34,IF('INTRODUCIR DATOS'!$D$20="AGOSTO",'RESULTADO INDEXADO'!BM34,IF('INTRODUCIR DATOS'!$D$20="SEPTIEMBRE",'RESULTADO INDEXADO'!BT34,IF('INTRODUCIR DATOS'!$D$20="OCTUBRE",'RESULTADO INDEXADO'!CA34,IF('INTRODUCIR DATOS'!$D$20="NOVIEMBRE",'RESULTADO INDEXADO'!CH34,IF('INTRODUCIR DATOS'!$D$20="DICIEMBRE",'RESULTADO INDEXADO'!CO34))))))))))))</f>
        <v>0</v>
      </c>
      <c r="G34" s="257" t="b">
        <f>IF('INTRODUCIR DATOS'!$D$20="ENERO",'RESULTADO INDEXADO'!Q34,IF('INTRODUCIR DATOS'!$D$20="FEBRERO",'RESULTADO INDEXADO'!X34,IF('INTRODUCIR DATOS'!$D$20="MARZO",'RESULTADO INDEXADO'!AE34,IF('INTRODUCIR DATOS'!$D$20="ABRIL",'RESULTADO INDEXADO'!AL34,IF('INTRODUCIR DATOS'!$D$20="MAYO",'RESULTADO INDEXADO'!AS34,IF('INTRODUCIR DATOS'!$D$20="JUNIO",'RESULTADO INDEXADO'!AZ34,IF('INTRODUCIR DATOS'!$D$20="JULIO",'RESULTADO INDEXADO'!BG34,IF('INTRODUCIR DATOS'!$D$20="AGOSTO",'RESULTADO INDEXADO'!BN34,IF('INTRODUCIR DATOS'!$D$20="SEPTIEMBRE",'RESULTADO INDEXADO'!BU34,IF('INTRODUCIR DATOS'!$D$20="OCTUBRE",'RESULTADO INDEXADO'!CB34,IF('INTRODUCIR DATOS'!$D$20="NOVIEMBRE",'RESULTADO INDEXADO'!CI34,IF('INTRODUCIR DATOS'!$D$20="DICIEMBRE",'RESULTADO INDEXADO'!CP34))))))))))))</f>
        <v>0</v>
      </c>
      <c r="H34" s="257" t="b">
        <f>IF('INTRODUCIR DATOS'!$D$20="ENERO",'RESULTADO INDEXADO'!R34,IF('INTRODUCIR DATOS'!$D$20="FEBRERO",'RESULTADO INDEXADO'!Y34,IF('INTRODUCIR DATOS'!$D$20="MARZO",'RESULTADO INDEXADO'!AF34,IF('INTRODUCIR DATOS'!$D$20="ABRIL",'RESULTADO INDEXADO'!AM34,IF('INTRODUCIR DATOS'!$D$20="MAYO",'RESULTADO INDEXADO'!AT34,IF('INTRODUCIR DATOS'!$D$20="JUNIO",'RESULTADO INDEXADO'!BA34,IF('INTRODUCIR DATOS'!$D$20="JULIO",'RESULTADO INDEXADO'!BH34,IF('INTRODUCIR DATOS'!$D$20="AGOSTO",'RESULTADO INDEXADO'!BO34,IF('INTRODUCIR DATOS'!$D$20="SEPTIEMBRE",'RESULTADO INDEXADO'!BV34,IF('INTRODUCIR DATOS'!$D$20="OCTUBRE",'RESULTADO INDEXADO'!CC34,IF('INTRODUCIR DATOS'!$D$20="NOVIEMBRE",'RESULTADO INDEXADO'!CJ34,IF('INTRODUCIR DATOS'!$D$20="DICIEMBRE",'RESULTADO INDEXADO'!CQ34))))))))))))</f>
        <v>0</v>
      </c>
      <c r="I34" s="257" t="b">
        <f>IF('INTRODUCIR DATOS'!$D$20="ENERO",'RESULTADO INDEXADO'!S34,IF('INTRODUCIR DATOS'!$D$20="FEBRERO",'RESULTADO INDEXADO'!Z34,IF('INTRODUCIR DATOS'!$D$20="MARZO",'RESULTADO INDEXADO'!AG34,IF('INTRODUCIR DATOS'!$D$20="ABRIL",'RESULTADO INDEXADO'!AN34,IF('INTRODUCIR DATOS'!$D$20="MAYO",'RESULTADO INDEXADO'!AU34,IF('INTRODUCIR DATOS'!$D$20="JUNIO",'RESULTADO INDEXADO'!BB34,IF('INTRODUCIR DATOS'!$D$20="JULIO",'RESULTADO INDEXADO'!BI34,IF('INTRODUCIR DATOS'!$D$20="AGOSTO",'RESULTADO INDEXADO'!BP34,IF('INTRODUCIR DATOS'!$D$20="SEPTIEMBRE",'RESULTADO INDEXADO'!BW34,IF('INTRODUCIR DATOS'!$D$20="OCTUBRE",'RESULTADO INDEXADO'!CD34,IF('INTRODUCIR DATOS'!$D$20="NOVIEMBRE",'RESULTADO INDEXADO'!CK34,IF('INTRODUCIR DATOS'!$D$20="DICIEMBRE",'RESULTADO INDEXADO'!CR34))))))))))))</f>
        <v>0</v>
      </c>
      <c r="J34" s="296" t="b">
        <f>IF('INTRODUCIR DATOS'!$D$20="ENERO",'RESULTADO INDEXADO'!T34,IF('INTRODUCIR DATOS'!$D$20="FEBRERO",'RESULTADO INDEXADO'!AA34,IF('INTRODUCIR DATOS'!$D$20="MARZO",'RESULTADO INDEXADO'!AH34,IF('INTRODUCIR DATOS'!$D$20="ABRIL",'RESULTADO INDEXADO'!AO34,IF('INTRODUCIR DATOS'!$D$20="MAYO",'RESULTADO INDEXADO'!AV34,IF('INTRODUCIR DATOS'!$D$20="JUNIO",'RESULTADO INDEXADO'!BC34,IF('INTRODUCIR DATOS'!$D$20="JULIO",'RESULTADO INDEXADO'!BJ34,IF('INTRODUCIR DATOS'!$D$20="AGOSTO",'RESULTADO INDEXADO'!BQ34,IF('INTRODUCIR DATOS'!$D$20="SEPTIEMBRE",'RESULTADO INDEXADO'!BX34,IF('INTRODUCIR DATOS'!$D$20="OCTUBRE",'RESULTADO INDEXADO'!CE34,IF('INTRODUCIR DATOS'!$D$20="NOVIEMBRE",'RESULTADO INDEXADO'!CL34,IF('INTRODUCIR DATOS'!$D$20="DICIEMBRE",'RESULTADO INDEXADO'!CS34))))))))))))</f>
        <v>0</v>
      </c>
      <c r="K34" s="41"/>
      <c r="L34" s="40"/>
      <c r="M34" s="145"/>
      <c r="N34" s="311" t="s">
        <v>134</v>
      </c>
      <c r="O34" s="267"/>
      <c r="P34" s="256"/>
      <c r="Q34" s="256"/>
      <c r="R34" s="256"/>
      <c r="S34" s="256"/>
      <c r="T34" s="300"/>
      <c r="U34" s="279" t="s">
        <v>134</v>
      </c>
      <c r="V34" s="267"/>
      <c r="W34" s="256"/>
      <c r="X34" s="256"/>
      <c r="Y34" s="256"/>
      <c r="Z34" s="256"/>
      <c r="AA34" s="300"/>
      <c r="AB34" s="279" t="s">
        <v>134</v>
      </c>
      <c r="AC34" s="267"/>
      <c r="AD34" s="256"/>
      <c r="AE34" s="256"/>
      <c r="AF34" s="256"/>
      <c r="AG34" s="256"/>
      <c r="AH34" s="300"/>
      <c r="AI34" s="279" t="s">
        <v>134</v>
      </c>
      <c r="AJ34" s="267"/>
      <c r="AK34" s="256"/>
      <c r="AL34" s="256"/>
      <c r="AM34" s="256"/>
      <c r="AN34" s="256"/>
      <c r="AO34" s="300"/>
      <c r="AP34" s="279" t="s">
        <v>134</v>
      </c>
      <c r="AQ34" s="267"/>
      <c r="AR34" s="256"/>
      <c r="AS34" s="256"/>
      <c r="AT34" s="256"/>
      <c r="AU34" s="256"/>
      <c r="AV34" s="300"/>
      <c r="AW34" s="279" t="s">
        <v>134</v>
      </c>
      <c r="AX34" s="267"/>
      <c r="AY34" s="256"/>
      <c r="AZ34" s="256"/>
      <c r="BA34" s="256"/>
      <c r="BB34" s="256"/>
      <c r="BC34" s="300"/>
      <c r="BD34" s="279" t="s">
        <v>134</v>
      </c>
      <c r="BE34" s="267"/>
      <c r="BF34" s="256"/>
      <c r="BG34" s="256"/>
      <c r="BH34" s="256"/>
      <c r="BI34" s="256"/>
      <c r="BJ34" s="300"/>
      <c r="BK34" s="279" t="s">
        <v>134</v>
      </c>
      <c r="BL34" s="267"/>
      <c r="BM34" s="256"/>
      <c r="BN34" s="256"/>
      <c r="BO34" s="256"/>
      <c r="BP34" s="256"/>
      <c r="BQ34" s="300"/>
      <c r="BR34" s="279" t="s">
        <v>134</v>
      </c>
      <c r="BS34" s="267"/>
      <c r="BT34" s="256"/>
      <c r="BU34" s="256"/>
      <c r="BV34" s="256"/>
      <c r="BW34" s="256"/>
      <c r="BX34" s="300"/>
      <c r="BY34" s="279" t="s">
        <v>134</v>
      </c>
      <c r="BZ34" s="267"/>
      <c r="CA34" s="256"/>
      <c r="CB34" s="256"/>
      <c r="CC34" s="256"/>
      <c r="CD34" s="256"/>
      <c r="CE34" s="300"/>
      <c r="CF34" s="279" t="s">
        <v>134</v>
      </c>
      <c r="CG34" s="267"/>
      <c r="CH34" s="256"/>
      <c r="CI34" s="256"/>
      <c r="CJ34" s="256"/>
      <c r="CK34" s="256"/>
      <c r="CL34" s="300"/>
      <c r="CM34" s="279" t="s">
        <v>134</v>
      </c>
      <c r="CN34" s="267"/>
      <c r="CO34" s="256"/>
      <c r="CP34" s="256"/>
      <c r="CQ34" s="256"/>
      <c r="CR34" s="256"/>
      <c r="CS34" s="300"/>
    </row>
    <row r="35" spans="1:97">
      <c r="A35" s="41" t="s">
        <v>17</v>
      </c>
      <c r="B35" s="40"/>
      <c r="C35" s="335"/>
      <c r="D35" s="278" t="s">
        <v>136</v>
      </c>
      <c r="E35" s="266" t="b">
        <f>IF('INTRODUCIR DATOS'!$D$20="ENERO",'RESULTADO INDEXADO'!O35,IF('INTRODUCIR DATOS'!$D$20="FEBRERO",'RESULTADO INDEXADO'!V35,IF('INTRODUCIR DATOS'!$D$20="MARZO",'RESULTADO INDEXADO'!AC35,IF('INTRODUCIR DATOS'!$D$20="ABRIL",'RESULTADO INDEXADO'!AJ35,IF('INTRODUCIR DATOS'!$D$20="MAYO",'RESULTADO INDEXADO'!AQ35,IF('INTRODUCIR DATOS'!$D$20="JUNIO",'RESULTADO INDEXADO'!AX35,IF('INTRODUCIR DATOS'!$D$20="JULIO",'RESULTADO INDEXADO'!BE35,IF('INTRODUCIR DATOS'!$D$20="AGOSTO",'RESULTADO INDEXADO'!BL35,IF('INTRODUCIR DATOS'!$D$20="SEPTIEMBRE",'RESULTADO INDEXADO'!BS35,IF('INTRODUCIR DATOS'!$D$20="OCTUBRE",'RESULTADO INDEXADO'!BZ35,IF('INTRODUCIR DATOS'!$D$20="NOVIEMBRE",'RESULTADO INDEXADO'!CG35,IF('INTRODUCIR DATOS'!$D$20="DICIEMBRE",'RESULTADO INDEXADO'!CN35))))))))))))</f>
        <v>0</v>
      </c>
      <c r="F35" s="253" t="b">
        <f>IF('INTRODUCIR DATOS'!$D$20="ENERO",'RESULTADO INDEXADO'!P35,IF('INTRODUCIR DATOS'!$D$20="FEBRERO",'RESULTADO INDEXADO'!W35,IF('INTRODUCIR DATOS'!$D$20="MARZO",'RESULTADO INDEXADO'!AD35,IF('INTRODUCIR DATOS'!$D$20="ABRIL",'RESULTADO INDEXADO'!AK35,IF('INTRODUCIR DATOS'!$D$20="MAYO",'RESULTADO INDEXADO'!AR35,IF('INTRODUCIR DATOS'!$D$20="JUNIO",'RESULTADO INDEXADO'!AY35,IF('INTRODUCIR DATOS'!$D$20="JULIO",'RESULTADO INDEXADO'!BF35,IF('INTRODUCIR DATOS'!$D$20="AGOSTO",'RESULTADO INDEXADO'!BM35,IF('INTRODUCIR DATOS'!$D$20="SEPTIEMBRE",'RESULTADO INDEXADO'!BT35,IF('INTRODUCIR DATOS'!$D$20="OCTUBRE",'RESULTADO INDEXADO'!CA35,IF('INTRODUCIR DATOS'!$D$20="NOVIEMBRE",'RESULTADO INDEXADO'!CH35,IF('INTRODUCIR DATOS'!$D$20="DICIEMBRE",'RESULTADO INDEXADO'!CO35))))))))))))</f>
        <v>0</v>
      </c>
      <c r="G35" s="253" t="b">
        <f>IF('INTRODUCIR DATOS'!$D$20="ENERO",'RESULTADO INDEXADO'!Q35,IF('INTRODUCIR DATOS'!$D$20="FEBRERO",'RESULTADO INDEXADO'!X35,IF('INTRODUCIR DATOS'!$D$20="MARZO",'RESULTADO INDEXADO'!AE35,IF('INTRODUCIR DATOS'!$D$20="ABRIL",'RESULTADO INDEXADO'!AL35,IF('INTRODUCIR DATOS'!$D$20="MAYO",'RESULTADO INDEXADO'!AS35,IF('INTRODUCIR DATOS'!$D$20="JUNIO",'RESULTADO INDEXADO'!AZ35,IF('INTRODUCIR DATOS'!$D$20="JULIO",'RESULTADO INDEXADO'!BG35,IF('INTRODUCIR DATOS'!$D$20="AGOSTO",'RESULTADO INDEXADO'!BN35,IF('INTRODUCIR DATOS'!$D$20="SEPTIEMBRE",'RESULTADO INDEXADO'!BU35,IF('INTRODUCIR DATOS'!$D$20="OCTUBRE",'RESULTADO INDEXADO'!CB35,IF('INTRODUCIR DATOS'!$D$20="NOVIEMBRE",'RESULTADO INDEXADO'!CI35,IF('INTRODUCIR DATOS'!$D$20="DICIEMBRE",'RESULTADO INDEXADO'!CP35))))))))))))</f>
        <v>0</v>
      </c>
      <c r="H35" s="254" t="b">
        <f>IF('INTRODUCIR DATOS'!$D$20="ENERO",'RESULTADO INDEXADO'!R35,IF('INTRODUCIR DATOS'!$D$20="FEBRERO",'RESULTADO INDEXADO'!Y35,IF('INTRODUCIR DATOS'!$D$20="MARZO",'RESULTADO INDEXADO'!AF35,IF('INTRODUCIR DATOS'!$D$20="ABRIL",'RESULTADO INDEXADO'!AM35,IF('INTRODUCIR DATOS'!$D$20="MAYO",'RESULTADO INDEXADO'!AT35,IF('INTRODUCIR DATOS'!$D$20="JUNIO",'RESULTADO INDEXADO'!BA35,IF('INTRODUCIR DATOS'!$D$20="JULIO",'RESULTADO INDEXADO'!BH35,IF('INTRODUCIR DATOS'!$D$20="AGOSTO",'RESULTADO INDEXADO'!BO35,IF('INTRODUCIR DATOS'!$D$20="SEPTIEMBRE",'RESULTADO INDEXADO'!BV35,IF('INTRODUCIR DATOS'!$D$20="OCTUBRE",'RESULTADO INDEXADO'!CC35,IF('INTRODUCIR DATOS'!$D$20="NOVIEMBRE",'RESULTADO INDEXADO'!CJ35,IF('INTRODUCIR DATOS'!$D$20="DICIEMBRE",'RESULTADO INDEXADO'!CQ35))))))))))))</f>
        <v>0</v>
      </c>
      <c r="I35" s="254" t="b">
        <f>IF('INTRODUCIR DATOS'!$D$20="ENERO",'RESULTADO INDEXADO'!S35,IF('INTRODUCIR DATOS'!$D$20="FEBRERO",'RESULTADO INDEXADO'!Z35,IF('INTRODUCIR DATOS'!$D$20="MARZO",'RESULTADO INDEXADO'!AG35,IF('INTRODUCIR DATOS'!$D$20="ABRIL",'RESULTADO INDEXADO'!AN35,IF('INTRODUCIR DATOS'!$D$20="MAYO",'RESULTADO INDEXADO'!AU35,IF('INTRODUCIR DATOS'!$D$20="JUNIO",'RESULTADO INDEXADO'!BB35,IF('INTRODUCIR DATOS'!$D$20="JULIO",'RESULTADO INDEXADO'!BI35,IF('INTRODUCIR DATOS'!$D$20="AGOSTO",'RESULTADO INDEXADO'!BP35,IF('INTRODUCIR DATOS'!$D$20="SEPTIEMBRE",'RESULTADO INDEXADO'!BW35,IF('INTRODUCIR DATOS'!$D$20="OCTUBRE",'RESULTADO INDEXADO'!CD35,IF('INTRODUCIR DATOS'!$D$20="NOVIEMBRE",'RESULTADO INDEXADO'!CK35,IF('INTRODUCIR DATOS'!$D$20="DICIEMBRE",'RESULTADO INDEXADO'!CR35))))))))))))</f>
        <v>0</v>
      </c>
      <c r="J35" s="295" t="b">
        <f>IF('INTRODUCIR DATOS'!$D$20="ENERO",'RESULTADO INDEXADO'!T35,IF('INTRODUCIR DATOS'!$D$20="FEBRERO",'RESULTADO INDEXADO'!AA35,IF('INTRODUCIR DATOS'!$D$20="MARZO",'RESULTADO INDEXADO'!AH35,IF('INTRODUCIR DATOS'!$D$20="ABRIL",'RESULTADO INDEXADO'!AO35,IF('INTRODUCIR DATOS'!$D$20="MAYO",'RESULTADO INDEXADO'!AV35,IF('INTRODUCIR DATOS'!$D$20="JUNIO",'RESULTADO INDEXADO'!BC35,IF('INTRODUCIR DATOS'!$D$20="JULIO",'RESULTADO INDEXADO'!BJ35,IF('INTRODUCIR DATOS'!$D$20="AGOSTO",'RESULTADO INDEXADO'!BQ35,IF('INTRODUCIR DATOS'!$D$20="SEPTIEMBRE",'RESULTADO INDEXADO'!BX35,IF('INTRODUCIR DATOS'!$D$20="OCTUBRE",'RESULTADO INDEXADO'!CE35,IF('INTRODUCIR DATOS'!$D$20="NOVIEMBRE",'RESULTADO INDEXADO'!CL35,IF('INTRODUCIR DATOS'!$D$20="DICIEMBRE",'RESULTADO INDEXADO'!CS35))))))))))))</f>
        <v>0</v>
      </c>
      <c r="K35" s="290">
        <f>('INTRODUCIR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DATOS'!$D$17)+'INTRODUCIR DATOS'!$D$15+'INTRODUCIR DATOS'!$D$16+IF('INTRODUCIR DATOS'!$D$21=21%,(('INTRODUCIR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DATOS'!$D$17)+'INTRODUCIR DATOS'!$D$16)*21/100,IF('INTRODUCIR DATOS'!$D$21=10%,(('INTRODUCIR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DATOS'!$D$17)+'INTRODUCIR DATOS'!$D$16)*10/100))</f>
        <v>1.0285</v>
      </c>
      <c r="L35" s="292">
        <f>IF(K35=0,"",'INTRODUCIR DATOS'!$D$14-K35)</f>
        <v>113.12150000000001</v>
      </c>
      <c r="M35" s="271">
        <f>IF(K35=0,"",('INTRODUCIR DATOS'!$D$14-K35)/'INTRODUCIR DATOS'!$D$14)</f>
        <v>0.99098992553657472</v>
      </c>
      <c r="N35" s="310" t="s">
        <v>136</v>
      </c>
      <c r="O35" s="266"/>
      <c r="P35" s="253"/>
      <c r="Q35" s="253"/>
      <c r="R35" s="254"/>
      <c r="S35" s="254"/>
      <c r="T35" s="255"/>
      <c r="U35" s="278" t="s">
        <v>136</v>
      </c>
      <c r="V35" s="266"/>
      <c r="W35" s="253"/>
      <c r="X35" s="253"/>
      <c r="Y35" s="254"/>
      <c r="Z35" s="254"/>
      <c r="AA35" s="255"/>
      <c r="AB35" s="278" t="s">
        <v>136</v>
      </c>
      <c r="AC35" s="266"/>
      <c r="AD35" s="253"/>
      <c r="AE35" s="253"/>
      <c r="AF35" s="254"/>
      <c r="AG35" s="254"/>
      <c r="AH35" s="255"/>
      <c r="AI35" s="278" t="s">
        <v>136</v>
      </c>
      <c r="AJ35" s="266"/>
      <c r="AK35" s="253"/>
      <c r="AL35" s="253"/>
      <c r="AM35" s="254"/>
      <c r="AN35" s="254"/>
      <c r="AO35" s="255"/>
      <c r="AP35" s="278" t="s">
        <v>136</v>
      </c>
      <c r="AQ35" s="266"/>
      <c r="AR35" s="253"/>
      <c r="AS35" s="253"/>
      <c r="AT35" s="254"/>
      <c r="AU35" s="254"/>
      <c r="AV35" s="255"/>
      <c r="AW35" s="278" t="s">
        <v>136</v>
      </c>
      <c r="AX35" s="266"/>
      <c r="AY35" s="253"/>
      <c r="AZ35" s="253"/>
      <c r="BA35" s="254"/>
      <c r="BB35" s="254"/>
      <c r="BC35" s="255"/>
      <c r="BD35" s="278" t="s">
        <v>136</v>
      </c>
      <c r="BE35" s="266"/>
      <c r="BF35" s="253"/>
      <c r="BG35" s="253"/>
      <c r="BH35" s="254"/>
      <c r="BI35" s="254"/>
      <c r="BJ35" s="255"/>
      <c r="BK35" s="278" t="s">
        <v>136</v>
      </c>
      <c r="BL35" s="266"/>
      <c r="BM35" s="253"/>
      <c r="BN35" s="253"/>
      <c r="BO35" s="254"/>
      <c r="BP35" s="254"/>
      <c r="BQ35" s="255"/>
      <c r="BR35" s="278" t="s">
        <v>136</v>
      </c>
      <c r="BS35" s="266"/>
      <c r="BT35" s="253"/>
      <c r="BU35" s="253"/>
      <c r="BV35" s="254"/>
      <c r="BW35" s="254"/>
      <c r="BX35" s="255"/>
      <c r="BY35" s="278" t="s">
        <v>136</v>
      </c>
      <c r="BZ35" s="266"/>
      <c r="CA35" s="253"/>
      <c r="CB35" s="253"/>
      <c r="CC35" s="254"/>
      <c r="CD35" s="254"/>
      <c r="CE35" s="255"/>
      <c r="CF35" s="278" t="s">
        <v>136</v>
      </c>
      <c r="CG35" s="266"/>
      <c r="CH35" s="253"/>
      <c r="CI35" s="253"/>
      <c r="CJ35" s="254"/>
      <c r="CK35" s="254"/>
      <c r="CL35" s="255"/>
      <c r="CM35" s="278" t="s">
        <v>136</v>
      </c>
      <c r="CN35" s="266"/>
      <c r="CO35" s="253"/>
      <c r="CP35" s="253"/>
      <c r="CQ35" s="254"/>
      <c r="CR35" s="254"/>
      <c r="CS35" s="255"/>
    </row>
    <row r="36" spans="1:97">
      <c r="A36" s="41" t="s">
        <v>17</v>
      </c>
      <c r="B36" s="40"/>
      <c r="C36" s="335"/>
      <c r="D36" s="279" t="s">
        <v>134</v>
      </c>
      <c r="E36" s="267" t="b">
        <f>IF('INTRODUCIR DATOS'!$D$20="ENERO",'RESULTADO INDEXADO'!O36,IF('INTRODUCIR DATOS'!$D$20="FEBRERO",'RESULTADO INDEXADO'!V36,IF('INTRODUCIR DATOS'!$D$20="MARZO",'RESULTADO INDEXADO'!AC36,IF('INTRODUCIR DATOS'!$D$20="ABRIL",'RESULTADO INDEXADO'!AJ36,IF('INTRODUCIR DATOS'!$D$20="MAYO",'RESULTADO INDEXADO'!AQ36,IF('INTRODUCIR DATOS'!$D$20="JUNIO",'RESULTADO INDEXADO'!AX36,IF('INTRODUCIR DATOS'!$D$20="JULIO",'RESULTADO INDEXADO'!BE36,IF('INTRODUCIR DATOS'!$D$20="AGOSTO",'RESULTADO INDEXADO'!BL36,IF('INTRODUCIR DATOS'!$D$20="SEPTIEMBRE",'RESULTADO INDEXADO'!BS36,IF('INTRODUCIR DATOS'!$D$20="OCTUBRE",'RESULTADO INDEXADO'!BZ36,IF('INTRODUCIR DATOS'!$D$20="NOVIEMBRE",'RESULTADO INDEXADO'!CG36,IF('INTRODUCIR DATOS'!$D$20="DICIEMBRE",'RESULTADO INDEXADO'!CN36))))))))))))</f>
        <v>0</v>
      </c>
      <c r="F36" s="256" t="b">
        <f>IF('INTRODUCIR DATOS'!$D$20="ENERO",'RESULTADO INDEXADO'!P36,IF('INTRODUCIR DATOS'!$D$20="FEBRERO",'RESULTADO INDEXADO'!W36,IF('INTRODUCIR DATOS'!$D$20="MARZO",'RESULTADO INDEXADO'!AD36,IF('INTRODUCIR DATOS'!$D$20="ABRIL",'RESULTADO INDEXADO'!AK36,IF('INTRODUCIR DATOS'!$D$20="MAYO",'RESULTADO INDEXADO'!AR36,IF('INTRODUCIR DATOS'!$D$20="JUNIO",'RESULTADO INDEXADO'!AY36,IF('INTRODUCIR DATOS'!$D$20="JULIO",'RESULTADO INDEXADO'!BF36,IF('INTRODUCIR DATOS'!$D$20="AGOSTO",'RESULTADO INDEXADO'!BM36,IF('INTRODUCIR DATOS'!$D$20="SEPTIEMBRE",'RESULTADO INDEXADO'!BT36,IF('INTRODUCIR DATOS'!$D$20="OCTUBRE",'RESULTADO INDEXADO'!CA36,IF('INTRODUCIR DATOS'!$D$20="NOVIEMBRE",'RESULTADO INDEXADO'!CH36,IF('INTRODUCIR DATOS'!$D$20="DICIEMBRE",'RESULTADO INDEXADO'!CO36))))))))))))</f>
        <v>0</v>
      </c>
      <c r="G36" s="257" t="b">
        <f>IF('INTRODUCIR DATOS'!$D$20="ENERO",'RESULTADO INDEXADO'!Q36,IF('INTRODUCIR DATOS'!$D$20="FEBRERO",'RESULTADO INDEXADO'!X36,IF('INTRODUCIR DATOS'!$D$20="MARZO",'RESULTADO INDEXADO'!AE36,IF('INTRODUCIR DATOS'!$D$20="ABRIL",'RESULTADO INDEXADO'!AL36,IF('INTRODUCIR DATOS'!$D$20="MAYO",'RESULTADO INDEXADO'!AS36,IF('INTRODUCIR DATOS'!$D$20="JUNIO",'RESULTADO INDEXADO'!AZ36,IF('INTRODUCIR DATOS'!$D$20="JULIO",'RESULTADO INDEXADO'!BG36,IF('INTRODUCIR DATOS'!$D$20="AGOSTO",'RESULTADO INDEXADO'!BN36,IF('INTRODUCIR DATOS'!$D$20="SEPTIEMBRE",'RESULTADO INDEXADO'!BU36,IF('INTRODUCIR DATOS'!$D$20="OCTUBRE",'RESULTADO INDEXADO'!CB36,IF('INTRODUCIR DATOS'!$D$20="NOVIEMBRE",'RESULTADO INDEXADO'!CI36,IF('INTRODUCIR DATOS'!$D$20="DICIEMBRE",'RESULTADO INDEXADO'!CP36))))))))))))</f>
        <v>0</v>
      </c>
      <c r="H36" s="257" t="b">
        <f>IF('INTRODUCIR DATOS'!$D$20="ENERO",'RESULTADO INDEXADO'!R36,IF('INTRODUCIR DATOS'!$D$20="FEBRERO",'RESULTADO INDEXADO'!Y36,IF('INTRODUCIR DATOS'!$D$20="MARZO",'RESULTADO INDEXADO'!AF36,IF('INTRODUCIR DATOS'!$D$20="ABRIL",'RESULTADO INDEXADO'!AM36,IF('INTRODUCIR DATOS'!$D$20="MAYO",'RESULTADO INDEXADO'!AT36,IF('INTRODUCIR DATOS'!$D$20="JUNIO",'RESULTADO INDEXADO'!BA36,IF('INTRODUCIR DATOS'!$D$20="JULIO",'RESULTADO INDEXADO'!BH36,IF('INTRODUCIR DATOS'!$D$20="AGOSTO",'RESULTADO INDEXADO'!BO36,IF('INTRODUCIR DATOS'!$D$20="SEPTIEMBRE",'RESULTADO INDEXADO'!BV36,IF('INTRODUCIR DATOS'!$D$20="OCTUBRE",'RESULTADO INDEXADO'!CC36,IF('INTRODUCIR DATOS'!$D$20="NOVIEMBRE",'RESULTADO INDEXADO'!CJ36,IF('INTRODUCIR DATOS'!$D$20="DICIEMBRE",'RESULTADO INDEXADO'!CQ36))))))))))))</f>
        <v>0</v>
      </c>
      <c r="I36" s="257" t="b">
        <f>IF('INTRODUCIR DATOS'!$D$20="ENERO",'RESULTADO INDEXADO'!S36,IF('INTRODUCIR DATOS'!$D$20="FEBRERO",'RESULTADO INDEXADO'!Z36,IF('INTRODUCIR DATOS'!$D$20="MARZO",'RESULTADO INDEXADO'!AG36,IF('INTRODUCIR DATOS'!$D$20="ABRIL",'RESULTADO INDEXADO'!AN36,IF('INTRODUCIR DATOS'!$D$20="MAYO",'RESULTADO INDEXADO'!AU36,IF('INTRODUCIR DATOS'!$D$20="JUNIO",'RESULTADO INDEXADO'!BB36,IF('INTRODUCIR DATOS'!$D$20="JULIO",'RESULTADO INDEXADO'!BI36,IF('INTRODUCIR DATOS'!$D$20="AGOSTO",'RESULTADO INDEXADO'!BP36,IF('INTRODUCIR DATOS'!$D$20="SEPTIEMBRE",'RESULTADO INDEXADO'!BW36,IF('INTRODUCIR DATOS'!$D$20="OCTUBRE",'RESULTADO INDEXADO'!CD36,IF('INTRODUCIR DATOS'!$D$20="NOVIEMBRE",'RESULTADO INDEXADO'!CK36,IF('INTRODUCIR DATOS'!$D$20="DICIEMBRE",'RESULTADO INDEXADO'!CR36))))))))))))</f>
        <v>0</v>
      </c>
      <c r="J36" s="296" t="b">
        <f>IF('INTRODUCIR DATOS'!$D$20="ENERO",'RESULTADO INDEXADO'!T36,IF('INTRODUCIR DATOS'!$D$20="FEBRERO",'RESULTADO INDEXADO'!AA36,IF('INTRODUCIR DATOS'!$D$20="MARZO",'RESULTADO INDEXADO'!AH36,IF('INTRODUCIR DATOS'!$D$20="ABRIL",'RESULTADO INDEXADO'!AO36,IF('INTRODUCIR DATOS'!$D$20="MAYO",'RESULTADO INDEXADO'!AV36,IF('INTRODUCIR DATOS'!$D$20="JUNIO",'RESULTADO INDEXADO'!BC36,IF('INTRODUCIR DATOS'!$D$20="JULIO",'RESULTADO INDEXADO'!BJ36,IF('INTRODUCIR DATOS'!$D$20="AGOSTO",'RESULTADO INDEXADO'!BQ36,IF('INTRODUCIR DATOS'!$D$20="SEPTIEMBRE",'RESULTADO INDEXADO'!BX36,IF('INTRODUCIR DATOS'!$D$20="OCTUBRE",'RESULTADO INDEXADO'!CE36,IF('INTRODUCIR DATOS'!$D$20="NOVIEMBRE",'RESULTADO INDEXADO'!CL36,IF('INTRODUCIR DATOS'!$D$20="DICIEMBRE",'RESULTADO INDEXADO'!CS36))))))))))))</f>
        <v>0</v>
      </c>
      <c r="K36" s="41"/>
      <c r="L36" s="40"/>
      <c r="M36" s="145"/>
      <c r="N36" s="311" t="s">
        <v>134</v>
      </c>
      <c r="O36" s="267"/>
      <c r="P36" s="256"/>
      <c r="Q36" s="256"/>
      <c r="R36" s="256"/>
      <c r="S36" s="256"/>
      <c r="T36" s="300"/>
      <c r="U36" s="279" t="s">
        <v>134</v>
      </c>
      <c r="V36" s="267"/>
      <c r="W36" s="256"/>
      <c r="X36" s="256"/>
      <c r="Y36" s="256"/>
      <c r="Z36" s="256"/>
      <c r="AA36" s="300"/>
      <c r="AB36" s="279" t="s">
        <v>134</v>
      </c>
      <c r="AC36" s="267"/>
      <c r="AD36" s="256"/>
      <c r="AE36" s="256"/>
      <c r="AF36" s="256"/>
      <c r="AG36" s="256"/>
      <c r="AH36" s="300"/>
      <c r="AI36" s="279" t="s">
        <v>134</v>
      </c>
      <c r="AJ36" s="267"/>
      <c r="AK36" s="256"/>
      <c r="AL36" s="256"/>
      <c r="AM36" s="256"/>
      <c r="AN36" s="256"/>
      <c r="AO36" s="300"/>
      <c r="AP36" s="279" t="s">
        <v>134</v>
      </c>
      <c r="AQ36" s="267"/>
      <c r="AR36" s="256"/>
      <c r="AS36" s="256"/>
      <c r="AT36" s="256"/>
      <c r="AU36" s="256"/>
      <c r="AV36" s="300"/>
      <c r="AW36" s="279" t="s">
        <v>134</v>
      </c>
      <c r="AX36" s="267"/>
      <c r="AY36" s="256"/>
      <c r="AZ36" s="256"/>
      <c r="BA36" s="256"/>
      <c r="BB36" s="256"/>
      <c r="BC36" s="300"/>
      <c r="BD36" s="279" t="s">
        <v>134</v>
      </c>
      <c r="BE36" s="267"/>
      <c r="BF36" s="256"/>
      <c r="BG36" s="256"/>
      <c r="BH36" s="256"/>
      <c r="BI36" s="256"/>
      <c r="BJ36" s="300"/>
      <c r="BK36" s="279" t="s">
        <v>134</v>
      </c>
      <c r="BL36" s="267"/>
      <c r="BM36" s="256"/>
      <c r="BN36" s="256"/>
      <c r="BO36" s="256"/>
      <c r="BP36" s="256"/>
      <c r="BQ36" s="300"/>
      <c r="BR36" s="279" t="s">
        <v>134</v>
      </c>
      <c r="BS36" s="267"/>
      <c r="BT36" s="256"/>
      <c r="BU36" s="256"/>
      <c r="BV36" s="256"/>
      <c r="BW36" s="256"/>
      <c r="BX36" s="300"/>
      <c r="BY36" s="279" t="s">
        <v>134</v>
      </c>
      <c r="BZ36" s="267"/>
      <c r="CA36" s="256"/>
      <c r="CB36" s="256"/>
      <c r="CC36" s="256"/>
      <c r="CD36" s="256"/>
      <c r="CE36" s="300"/>
      <c r="CF36" s="279" t="s">
        <v>134</v>
      </c>
      <c r="CG36" s="267"/>
      <c r="CH36" s="256"/>
      <c r="CI36" s="256"/>
      <c r="CJ36" s="256"/>
      <c r="CK36" s="256"/>
      <c r="CL36" s="300"/>
      <c r="CM36" s="279" t="s">
        <v>134</v>
      </c>
      <c r="CN36" s="267"/>
      <c r="CO36" s="256"/>
      <c r="CP36" s="256"/>
      <c r="CQ36" s="256"/>
      <c r="CR36" s="256"/>
      <c r="CS36" s="300"/>
    </row>
    <row r="37" spans="1:97">
      <c r="A37" s="41" t="s">
        <v>17</v>
      </c>
      <c r="B37" s="40"/>
      <c r="C37" s="335"/>
      <c r="D37" s="278" t="s">
        <v>136</v>
      </c>
      <c r="E37" s="266" t="b">
        <f>IF('INTRODUCIR DATOS'!$D$20="ENERO",'RESULTADO INDEXADO'!O37,IF('INTRODUCIR DATOS'!$D$20="FEBRERO",'RESULTADO INDEXADO'!V37,IF('INTRODUCIR DATOS'!$D$20="MARZO",'RESULTADO INDEXADO'!AC37,IF('INTRODUCIR DATOS'!$D$20="ABRIL",'RESULTADO INDEXADO'!AJ37,IF('INTRODUCIR DATOS'!$D$20="MAYO",'RESULTADO INDEXADO'!AQ37,IF('INTRODUCIR DATOS'!$D$20="JUNIO",'RESULTADO INDEXADO'!AX37,IF('INTRODUCIR DATOS'!$D$20="JULIO",'RESULTADO INDEXADO'!BE37,IF('INTRODUCIR DATOS'!$D$20="AGOSTO",'RESULTADO INDEXADO'!BL37,IF('INTRODUCIR DATOS'!$D$20="SEPTIEMBRE",'RESULTADO INDEXADO'!BS37,IF('INTRODUCIR DATOS'!$D$20="OCTUBRE",'RESULTADO INDEXADO'!BZ37,IF('INTRODUCIR DATOS'!$D$20="NOVIEMBRE",'RESULTADO INDEXADO'!CG37,IF('INTRODUCIR DATOS'!$D$20="DICIEMBRE",'RESULTADO INDEXADO'!CN37))))))))))))</f>
        <v>0</v>
      </c>
      <c r="F37" s="253" t="b">
        <f>IF('INTRODUCIR DATOS'!$D$20="ENERO",'RESULTADO INDEXADO'!P37,IF('INTRODUCIR DATOS'!$D$20="FEBRERO",'RESULTADO INDEXADO'!W37,IF('INTRODUCIR DATOS'!$D$20="MARZO",'RESULTADO INDEXADO'!AD37,IF('INTRODUCIR DATOS'!$D$20="ABRIL",'RESULTADO INDEXADO'!AK37,IF('INTRODUCIR DATOS'!$D$20="MAYO",'RESULTADO INDEXADO'!AR37,IF('INTRODUCIR DATOS'!$D$20="JUNIO",'RESULTADO INDEXADO'!AY37,IF('INTRODUCIR DATOS'!$D$20="JULIO",'RESULTADO INDEXADO'!BF37,IF('INTRODUCIR DATOS'!$D$20="AGOSTO",'RESULTADO INDEXADO'!BM37,IF('INTRODUCIR DATOS'!$D$20="SEPTIEMBRE",'RESULTADO INDEXADO'!BT37,IF('INTRODUCIR DATOS'!$D$20="OCTUBRE",'RESULTADO INDEXADO'!CA37,IF('INTRODUCIR DATOS'!$D$20="NOVIEMBRE",'RESULTADO INDEXADO'!CH37,IF('INTRODUCIR DATOS'!$D$20="DICIEMBRE",'RESULTADO INDEXADO'!CO37))))))))))))</f>
        <v>0</v>
      </c>
      <c r="G37" s="253" t="b">
        <f>IF('INTRODUCIR DATOS'!$D$20="ENERO",'RESULTADO INDEXADO'!Q37,IF('INTRODUCIR DATOS'!$D$20="FEBRERO",'RESULTADO INDEXADO'!X37,IF('INTRODUCIR DATOS'!$D$20="MARZO",'RESULTADO INDEXADO'!AE37,IF('INTRODUCIR DATOS'!$D$20="ABRIL",'RESULTADO INDEXADO'!AL37,IF('INTRODUCIR DATOS'!$D$20="MAYO",'RESULTADO INDEXADO'!AS37,IF('INTRODUCIR DATOS'!$D$20="JUNIO",'RESULTADO INDEXADO'!AZ37,IF('INTRODUCIR DATOS'!$D$20="JULIO",'RESULTADO INDEXADO'!BG37,IF('INTRODUCIR DATOS'!$D$20="AGOSTO",'RESULTADO INDEXADO'!BN37,IF('INTRODUCIR DATOS'!$D$20="SEPTIEMBRE",'RESULTADO INDEXADO'!BU37,IF('INTRODUCIR DATOS'!$D$20="OCTUBRE",'RESULTADO INDEXADO'!CB37,IF('INTRODUCIR DATOS'!$D$20="NOVIEMBRE",'RESULTADO INDEXADO'!CI37,IF('INTRODUCIR DATOS'!$D$20="DICIEMBRE",'RESULTADO INDEXADO'!CP37))))))))))))</f>
        <v>0</v>
      </c>
      <c r="H37" s="254" t="b">
        <f>IF('INTRODUCIR DATOS'!$D$20="ENERO",'RESULTADO INDEXADO'!R37,IF('INTRODUCIR DATOS'!$D$20="FEBRERO",'RESULTADO INDEXADO'!Y37,IF('INTRODUCIR DATOS'!$D$20="MARZO",'RESULTADO INDEXADO'!AF37,IF('INTRODUCIR DATOS'!$D$20="ABRIL",'RESULTADO INDEXADO'!AM37,IF('INTRODUCIR DATOS'!$D$20="MAYO",'RESULTADO INDEXADO'!AT37,IF('INTRODUCIR DATOS'!$D$20="JUNIO",'RESULTADO INDEXADO'!BA37,IF('INTRODUCIR DATOS'!$D$20="JULIO",'RESULTADO INDEXADO'!BH37,IF('INTRODUCIR DATOS'!$D$20="AGOSTO",'RESULTADO INDEXADO'!BO37,IF('INTRODUCIR DATOS'!$D$20="SEPTIEMBRE",'RESULTADO INDEXADO'!BV37,IF('INTRODUCIR DATOS'!$D$20="OCTUBRE",'RESULTADO INDEXADO'!CC37,IF('INTRODUCIR DATOS'!$D$20="NOVIEMBRE",'RESULTADO INDEXADO'!CJ37,IF('INTRODUCIR DATOS'!$D$20="DICIEMBRE",'RESULTADO INDEXADO'!CQ37))))))))))))</f>
        <v>0</v>
      </c>
      <c r="I37" s="254" t="b">
        <f>IF('INTRODUCIR DATOS'!$D$20="ENERO",'RESULTADO INDEXADO'!S37,IF('INTRODUCIR DATOS'!$D$20="FEBRERO",'RESULTADO INDEXADO'!Z37,IF('INTRODUCIR DATOS'!$D$20="MARZO",'RESULTADO INDEXADO'!AG37,IF('INTRODUCIR DATOS'!$D$20="ABRIL",'RESULTADO INDEXADO'!AN37,IF('INTRODUCIR DATOS'!$D$20="MAYO",'RESULTADO INDEXADO'!AU37,IF('INTRODUCIR DATOS'!$D$20="JUNIO",'RESULTADO INDEXADO'!BB37,IF('INTRODUCIR DATOS'!$D$20="JULIO",'RESULTADO INDEXADO'!BI37,IF('INTRODUCIR DATOS'!$D$20="AGOSTO",'RESULTADO INDEXADO'!BP37,IF('INTRODUCIR DATOS'!$D$20="SEPTIEMBRE",'RESULTADO INDEXADO'!BW37,IF('INTRODUCIR DATOS'!$D$20="OCTUBRE",'RESULTADO INDEXADO'!CD37,IF('INTRODUCIR DATOS'!$D$20="NOVIEMBRE",'RESULTADO INDEXADO'!CK37,IF('INTRODUCIR DATOS'!$D$20="DICIEMBRE",'RESULTADO INDEXADO'!CR37))))))))))))</f>
        <v>0</v>
      </c>
      <c r="J37" s="295" t="b">
        <f>IF('INTRODUCIR DATOS'!$D$20="ENERO",'RESULTADO INDEXADO'!T37,IF('INTRODUCIR DATOS'!$D$20="FEBRERO",'RESULTADO INDEXADO'!AA37,IF('INTRODUCIR DATOS'!$D$20="MARZO",'RESULTADO INDEXADO'!AH37,IF('INTRODUCIR DATOS'!$D$20="ABRIL",'RESULTADO INDEXADO'!AO37,IF('INTRODUCIR DATOS'!$D$20="MAYO",'RESULTADO INDEXADO'!AV37,IF('INTRODUCIR DATOS'!$D$20="JUNIO",'RESULTADO INDEXADO'!BC37,IF('INTRODUCIR DATOS'!$D$20="JULIO",'RESULTADO INDEXADO'!BJ37,IF('INTRODUCIR DATOS'!$D$20="AGOSTO",'RESULTADO INDEXADO'!BQ37,IF('INTRODUCIR DATOS'!$D$20="SEPTIEMBRE",'RESULTADO INDEXADO'!BX37,IF('INTRODUCIR DATOS'!$D$20="OCTUBRE",'RESULTADO INDEXADO'!CE37,IF('INTRODUCIR DATOS'!$D$20="NOVIEMBRE",'RESULTADO INDEXADO'!CL37,IF('INTRODUCIR DATOS'!$D$20="DICIEMBRE",'RESULTADO INDEXADO'!CS37))))))))))))</f>
        <v>0</v>
      </c>
      <c r="K37" s="290">
        <f>('INTRODUCIR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DATOS'!$D$17)+'INTRODUCIR DATOS'!$D$15+'INTRODUCIR DATOS'!$D$16+IF('INTRODUCIR DATOS'!$D$21=21%,(('INTRODUCIR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DATOS'!$D$17)+'INTRODUCIR DATOS'!$D$16)*21/100,IF('INTRODUCIR DATOS'!$D$21=10%,(('INTRODUCIR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DATOS'!$D$17)+'INTRODUCIR DATOS'!$D$16)*10/100))</f>
        <v>1.0285</v>
      </c>
      <c r="L37" s="292">
        <f>IF(K37=0,"",'INTRODUCIR DATOS'!$D$14-K37)</f>
        <v>113.12150000000001</v>
      </c>
      <c r="M37" s="271">
        <f>IF(K37=0,"",('INTRODUCIR DATOS'!$D$14-K37)/'INTRODUCIR DATOS'!$D$14)</f>
        <v>0.99098992553657472</v>
      </c>
      <c r="N37" s="310" t="s">
        <v>136</v>
      </c>
      <c r="O37" s="266"/>
      <c r="P37" s="253"/>
      <c r="Q37" s="253"/>
      <c r="R37" s="254"/>
      <c r="S37" s="254"/>
      <c r="T37" s="255"/>
      <c r="U37" s="278" t="s">
        <v>136</v>
      </c>
      <c r="V37" s="266"/>
      <c r="W37" s="253"/>
      <c r="X37" s="253"/>
      <c r="Y37" s="254"/>
      <c r="Z37" s="254"/>
      <c r="AA37" s="255"/>
      <c r="AB37" s="278" t="s">
        <v>136</v>
      </c>
      <c r="AC37" s="266"/>
      <c r="AD37" s="253"/>
      <c r="AE37" s="253"/>
      <c r="AF37" s="254"/>
      <c r="AG37" s="254"/>
      <c r="AH37" s="255"/>
      <c r="AI37" s="278" t="s">
        <v>136</v>
      </c>
      <c r="AJ37" s="266"/>
      <c r="AK37" s="253"/>
      <c r="AL37" s="253"/>
      <c r="AM37" s="254"/>
      <c r="AN37" s="254"/>
      <c r="AO37" s="255"/>
      <c r="AP37" s="278" t="s">
        <v>136</v>
      </c>
      <c r="AQ37" s="266"/>
      <c r="AR37" s="253"/>
      <c r="AS37" s="253"/>
      <c r="AT37" s="254"/>
      <c r="AU37" s="254"/>
      <c r="AV37" s="255"/>
      <c r="AW37" s="278" t="s">
        <v>136</v>
      </c>
      <c r="AX37" s="266"/>
      <c r="AY37" s="253"/>
      <c r="AZ37" s="253"/>
      <c r="BA37" s="254"/>
      <c r="BB37" s="254"/>
      <c r="BC37" s="255"/>
      <c r="BD37" s="278" t="s">
        <v>136</v>
      </c>
      <c r="BE37" s="266"/>
      <c r="BF37" s="253"/>
      <c r="BG37" s="253"/>
      <c r="BH37" s="254"/>
      <c r="BI37" s="254"/>
      <c r="BJ37" s="255"/>
      <c r="BK37" s="278" t="s">
        <v>136</v>
      </c>
      <c r="BL37" s="266"/>
      <c r="BM37" s="253"/>
      <c r="BN37" s="253"/>
      <c r="BO37" s="254"/>
      <c r="BP37" s="254"/>
      <c r="BQ37" s="255"/>
      <c r="BR37" s="278" t="s">
        <v>136</v>
      </c>
      <c r="BS37" s="266"/>
      <c r="BT37" s="253"/>
      <c r="BU37" s="253"/>
      <c r="BV37" s="254"/>
      <c r="BW37" s="254"/>
      <c r="BX37" s="255"/>
      <c r="BY37" s="278" t="s">
        <v>136</v>
      </c>
      <c r="BZ37" s="266"/>
      <c r="CA37" s="253"/>
      <c r="CB37" s="253"/>
      <c r="CC37" s="254"/>
      <c r="CD37" s="254"/>
      <c r="CE37" s="255"/>
      <c r="CF37" s="278" t="s">
        <v>136</v>
      </c>
      <c r="CG37" s="266"/>
      <c r="CH37" s="253"/>
      <c r="CI37" s="253"/>
      <c r="CJ37" s="254"/>
      <c r="CK37" s="254"/>
      <c r="CL37" s="255"/>
      <c r="CM37" s="278" t="s">
        <v>136</v>
      </c>
      <c r="CN37" s="266"/>
      <c r="CO37" s="253"/>
      <c r="CP37" s="253"/>
      <c r="CQ37" s="254"/>
      <c r="CR37" s="254"/>
      <c r="CS37" s="255"/>
    </row>
    <row r="38" spans="1:97">
      <c r="A38" s="41" t="s">
        <v>17</v>
      </c>
      <c r="B38" s="40"/>
      <c r="C38" s="335"/>
      <c r="D38" s="279" t="s">
        <v>134</v>
      </c>
      <c r="E38" s="267" t="b">
        <f>IF('INTRODUCIR DATOS'!$D$20="ENERO",'RESULTADO INDEXADO'!O38,IF('INTRODUCIR DATOS'!$D$20="FEBRERO",'RESULTADO INDEXADO'!V38,IF('INTRODUCIR DATOS'!$D$20="MARZO",'RESULTADO INDEXADO'!AC38,IF('INTRODUCIR DATOS'!$D$20="ABRIL",'RESULTADO INDEXADO'!AJ38,IF('INTRODUCIR DATOS'!$D$20="MAYO",'RESULTADO INDEXADO'!AQ38,IF('INTRODUCIR DATOS'!$D$20="JUNIO",'RESULTADO INDEXADO'!AX38,IF('INTRODUCIR DATOS'!$D$20="JULIO",'RESULTADO INDEXADO'!BE38,IF('INTRODUCIR DATOS'!$D$20="AGOSTO",'RESULTADO INDEXADO'!BL38,IF('INTRODUCIR DATOS'!$D$20="SEPTIEMBRE",'RESULTADO INDEXADO'!BS38,IF('INTRODUCIR DATOS'!$D$20="OCTUBRE",'RESULTADO INDEXADO'!BZ38,IF('INTRODUCIR DATOS'!$D$20="NOVIEMBRE",'RESULTADO INDEXADO'!CG38,IF('INTRODUCIR DATOS'!$D$20="DICIEMBRE",'RESULTADO INDEXADO'!CN38))))))))))))</f>
        <v>0</v>
      </c>
      <c r="F38" s="256" t="b">
        <f>IF('INTRODUCIR DATOS'!$D$20="ENERO",'RESULTADO INDEXADO'!P38,IF('INTRODUCIR DATOS'!$D$20="FEBRERO",'RESULTADO INDEXADO'!W38,IF('INTRODUCIR DATOS'!$D$20="MARZO",'RESULTADO INDEXADO'!AD38,IF('INTRODUCIR DATOS'!$D$20="ABRIL",'RESULTADO INDEXADO'!AK38,IF('INTRODUCIR DATOS'!$D$20="MAYO",'RESULTADO INDEXADO'!AR38,IF('INTRODUCIR DATOS'!$D$20="JUNIO",'RESULTADO INDEXADO'!AY38,IF('INTRODUCIR DATOS'!$D$20="JULIO",'RESULTADO INDEXADO'!BF38,IF('INTRODUCIR DATOS'!$D$20="AGOSTO",'RESULTADO INDEXADO'!BM38,IF('INTRODUCIR DATOS'!$D$20="SEPTIEMBRE",'RESULTADO INDEXADO'!BT38,IF('INTRODUCIR DATOS'!$D$20="OCTUBRE",'RESULTADO INDEXADO'!CA38,IF('INTRODUCIR DATOS'!$D$20="NOVIEMBRE",'RESULTADO INDEXADO'!CH38,IF('INTRODUCIR DATOS'!$D$20="DICIEMBRE",'RESULTADO INDEXADO'!CO38))))))))))))</f>
        <v>0</v>
      </c>
      <c r="G38" s="257" t="b">
        <f>IF('INTRODUCIR DATOS'!$D$20="ENERO",'RESULTADO INDEXADO'!Q38,IF('INTRODUCIR DATOS'!$D$20="FEBRERO",'RESULTADO INDEXADO'!X38,IF('INTRODUCIR DATOS'!$D$20="MARZO",'RESULTADO INDEXADO'!AE38,IF('INTRODUCIR DATOS'!$D$20="ABRIL",'RESULTADO INDEXADO'!AL38,IF('INTRODUCIR DATOS'!$D$20="MAYO",'RESULTADO INDEXADO'!AS38,IF('INTRODUCIR DATOS'!$D$20="JUNIO",'RESULTADO INDEXADO'!AZ38,IF('INTRODUCIR DATOS'!$D$20="JULIO",'RESULTADO INDEXADO'!BG38,IF('INTRODUCIR DATOS'!$D$20="AGOSTO",'RESULTADO INDEXADO'!BN38,IF('INTRODUCIR DATOS'!$D$20="SEPTIEMBRE",'RESULTADO INDEXADO'!BU38,IF('INTRODUCIR DATOS'!$D$20="OCTUBRE",'RESULTADO INDEXADO'!CB38,IF('INTRODUCIR DATOS'!$D$20="NOVIEMBRE",'RESULTADO INDEXADO'!CI38,IF('INTRODUCIR DATOS'!$D$20="DICIEMBRE",'RESULTADO INDEXADO'!CP38))))))))))))</f>
        <v>0</v>
      </c>
      <c r="H38" s="257" t="b">
        <f>IF('INTRODUCIR DATOS'!$D$20="ENERO",'RESULTADO INDEXADO'!R38,IF('INTRODUCIR DATOS'!$D$20="FEBRERO",'RESULTADO INDEXADO'!Y38,IF('INTRODUCIR DATOS'!$D$20="MARZO",'RESULTADO INDEXADO'!AF38,IF('INTRODUCIR DATOS'!$D$20="ABRIL",'RESULTADO INDEXADO'!AM38,IF('INTRODUCIR DATOS'!$D$20="MAYO",'RESULTADO INDEXADO'!AT38,IF('INTRODUCIR DATOS'!$D$20="JUNIO",'RESULTADO INDEXADO'!BA38,IF('INTRODUCIR DATOS'!$D$20="JULIO",'RESULTADO INDEXADO'!BH38,IF('INTRODUCIR DATOS'!$D$20="AGOSTO",'RESULTADO INDEXADO'!BO38,IF('INTRODUCIR DATOS'!$D$20="SEPTIEMBRE",'RESULTADO INDEXADO'!BV38,IF('INTRODUCIR DATOS'!$D$20="OCTUBRE",'RESULTADO INDEXADO'!CC38,IF('INTRODUCIR DATOS'!$D$20="NOVIEMBRE",'RESULTADO INDEXADO'!CJ38,IF('INTRODUCIR DATOS'!$D$20="DICIEMBRE",'RESULTADO INDEXADO'!CQ38))))))))))))</f>
        <v>0</v>
      </c>
      <c r="I38" s="257" t="b">
        <f>IF('INTRODUCIR DATOS'!$D$20="ENERO",'RESULTADO INDEXADO'!S38,IF('INTRODUCIR DATOS'!$D$20="FEBRERO",'RESULTADO INDEXADO'!Z38,IF('INTRODUCIR DATOS'!$D$20="MARZO",'RESULTADO INDEXADO'!AG38,IF('INTRODUCIR DATOS'!$D$20="ABRIL",'RESULTADO INDEXADO'!AN38,IF('INTRODUCIR DATOS'!$D$20="MAYO",'RESULTADO INDEXADO'!AU38,IF('INTRODUCIR DATOS'!$D$20="JUNIO",'RESULTADO INDEXADO'!BB38,IF('INTRODUCIR DATOS'!$D$20="JULIO",'RESULTADO INDEXADO'!BI38,IF('INTRODUCIR DATOS'!$D$20="AGOSTO",'RESULTADO INDEXADO'!BP38,IF('INTRODUCIR DATOS'!$D$20="SEPTIEMBRE",'RESULTADO INDEXADO'!BW38,IF('INTRODUCIR DATOS'!$D$20="OCTUBRE",'RESULTADO INDEXADO'!CD38,IF('INTRODUCIR DATOS'!$D$20="NOVIEMBRE",'RESULTADO INDEXADO'!CK38,IF('INTRODUCIR DATOS'!$D$20="DICIEMBRE",'RESULTADO INDEXADO'!CR38))))))))))))</f>
        <v>0</v>
      </c>
      <c r="J38" s="296" t="b">
        <f>IF('INTRODUCIR DATOS'!$D$20="ENERO",'RESULTADO INDEXADO'!T38,IF('INTRODUCIR DATOS'!$D$20="FEBRERO",'RESULTADO INDEXADO'!AA38,IF('INTRODUCIR DATOS'!$D$20="MARZO",'RESULTADO INDEXADO'!AH38,IF('INTRODUCIR DATOS'!$D$20="ABRIL",'RESULTADO INDEXADO'!AO38,IF('INTRODUCIR DATOS'!$D$20="MAYO",'RESULTADO INDEXADO'!AV38,IF('INTRODUCIR DATOS'!$D$20="JUNIO",'RESULTADO INDEXADO'!BC38,IF('INTRODUCIR DATOS'!$D$20="JULIO",'RESULTADO INDEXADO'!BJ38,IF('INTRODUCIR DATOS'!$D$20="AGOSTO",'RESULTADO INDEXADO'!BQ38,IF('INTRODUCIR DATOS'!$D$20="SEPTIEMBRE",'RESULTADO INDEXADO'!BX38,IF('INTRODUCIR DATOS'!$D$20="OCTUBRE",'RESULTADO INDEXADO'!CE38,IF('INTRODUCIR DATOS'!$D$20="NOVIEMBRE",'RESULTADO INDEXADO'!CL38,IF('INTRODUCIR DATOS'!$D$20="DICIEMBRE",'RESULTADO INDEXADO'!CS38))))))))))))</f>
        <v>0</v>
      </c>
      <c r="K38" s="41"/>
      <c r="L38" s="40"/>
      <c r="M38" s="145"/>
      <c r="N38" s="311" t="s">
        <v>134</v>
      </c>
      <c r="O38" s="267"/>
      <c r="P38" s="256"/>
      <c r="Q38" s="256"/>
      <c r="R38" s="256"/>
      <c r="S38" s="256"/>
      <c r="T38" s="300"/>
      <c r="U38" s="279" t="s">
        <v>134</v>
      </c>
      <c r="V38" s="267"/>
      <c r="W38" s="256"/>
      <c r="X38" s="256"/>
      <c r="Y38" s="256"/>
      <c r="Z38" s="256"/>
      <c r="AA38" s="300"/>
      <c r="AB38" s="279" t="s">
        <v>134</v>
      </c>
      <c r="AC38" s="267"/>
      <c r="AD38" s="256"/>
      <c r="AE38" s="256"/>
      <c r="AF38" s="256"/>
      <c r="AG38" s="256"/>
      <c r="AH38" s="300"/>
      <c r="AI38" s="279" t="s">
        <v>134</v>
      </c>
      <c r="AJ38" s="267"/>
      <c r="AK38" s="256"/>
      <c r="AL38" s="256"/>
      <c r="AM38" s="256"/>
      <c r="AN38" s="256"/>
      <c r="AO38" s="300"/>
      <c r="AP38" s="279" t="s">
        <v>134</v>
      </c>
      <c r="AQ38" s="267"/>
      <c r="AR38" s="256"/>
      <c r="AS38" s="256"/>
      <c r="AT38" s="256"/>
      <c r="AU38" s="256"/>
      <c r="AV38" s="300"/>
      <c r="AW38" s="279" t="s">
        <v>134</v>
      </c>
      <c r="AX38" s="267"/>
      <c r="AY38" s="256"/>
      <c r="AZ38" s="256"/>
      <c r="BA38" s="256"/>
      <c r="BB38" s="256"/>
      <c r="BC38" s="300"/>
      <c r="BD38" s="279" t="s">
        <v>134</v>
      </c>
      <c r="BE38" s="267"/>
      <c r="BF38" s="256"/>
      <c r="BG38" s="256"/>
      <c r="BH38" s="256"/>
      <c r="BI38" s="256"/>
      <c r="BJ38" s="300"/>
      <c r="BK38" s="279" t="s">
        <v>134</v>
      </c>
      <c r="BL38" s="267"/>
      <c r="BM38" s="256"/>
      <c r="BN38" s="256"/>
      <c r="BO38" s="256"/>
      <c r="BP38" s="256"/>
      <c r="BQ38" s="300"/>
      <c r="BR38" s="279" t="s">
        <v>134</v>
      </c>
      <c r="BS38" s="267"/>
      <c r="BT38" s="256"/>
      <c r="BU38" s="256"/>
      <c r="BV38" s="256"/>
      <c r="BW38" s="256"/>
      <c r="BX38" s="300"/>
      <c r="BY38" s="279" t="s">
        <v>134</v>
      </c>
      <c r="BZ38" s="267"/>
      <c r="CA38" s="256"/>
      <c r="CB38" s="256"/>
      <c r="CC38" s="256"/>
      <c r="CD38" s="256"/>
      <c r="CE38" s="300"/>
      <c r="CF38" s="279" t="s">
        <v>134</v>
      </c>
      <c r="CG38" s="267"/>
      <c r="CH38" s="256"/>
      <c r="CI38" s="256"/>
      <c r="CJ38" s="256"/>
      <c r="CK38" s="256"/>
      <c r="CL38" s="300"/>
      <c r="CM38" s="279" t="s">
        <v>134</v>
      </c>
      <c r="CN38" s="267"/>
      <c r="CO38" s="256"/>
      <c r="CP38" s="256"/>
      <c r="CQ38" s="256"/>
      <c r="CR38" s="256"/>
      <c r="CS38" s="300"/>
    </row>
    <row r="39" spans="1:97">
      <c r="A39" s="41" t="s">
        <v>17</v>
      </c>
      <c r="B39" s="40"/>
      <c r="C39" s="335"/>
      <c r="D39" s="278" t="s">
        <v>136</v>
      </c>
      <c r="E39" s="266" t="b">
        <f>IF('INTRODUCIR DATOS'!$D$20="ENERO",'RESULTADO INDEXADO'!O39,IF('INTRODUCIR DATOS'!$D$20="FEBRERO",'RESULTADO INDEXADO'!V39,IF('INTRODUCIR DATOS'!$D$20="MARZO",'RESULTADO INDEXADO'!AC39,IF('INTRODUCIR DATOS'!$D$20="ABRIL",'RESULTADO INDEXADO'!AJ39,IF('INTRODUCIR DATOS'!$D$20="MAYO",'RESULTADO INDEXADO'!AQ39,IF('INTRODUCIR DATOS'!$D$20="JUNIO",'RESULTADO INDEXADO'!AX39,IF('INTRODUCIR DATOS'!$D$20="JULIO",'RESULTADO INDEXADO'!BE39,IF('INTRODUCIR DATOS'!$D$20="AGOSTO",'RESULTADO INDEXADO'!BL39,IF('INTRODUCIR DATOS'!$D$20="SEPTIEMBRE",'RESULTADO INDEXADO'!BS39,IF('INTRODUCIR DATOS'!$D$20="OCTUBRE",'RESULTADO INDEXADO'!BZ39,IF('INTRODUCIR DATOS'!$D$20="NOVIEMBRE",'RESULTADO INDEXADO'!CG39,IF('INTRODUCIR DATOS'!$D$20="DICIEMBRE",'RESULTADO INDEXADO'!CN39))))))))))))</f>
        <v>0</v>
      </c>
      <c r="F39" s="253" t="b">
        <f>IF('INTRODUCIR DATOS'!$D$20="ENERO",'RESULTADO INDEXADO'!P39,IF('INTRODUCIR DATOS'!$D$20="FEBRERO",'RESULTADO INDEXADO'!W39,IF('INTRODUCIR DATOS'!$D$20="MARZO",'RESULTADO INDEXADO'!AD39,IF('INTRODUCIR DATOS'!$D$20="ABRIL",'RESULTADO INDEXADO'!AK39,IF('INTRODUCIR DATOS'!$D$20="MAYO",'RESULTADO INDEXADO'!AR39,IF('INTRODUCIR DATOS'!$D$20="JUNIO",'RESULTADO INDEXADO'!AY39,IF('INTRODUCIR DATOS'!$D$20="JULIO",'RESULTADO INDEXADO'!BF39,IF('INTRODUCIR DATOS'!$D$20="AGOSTO",'RESULTADO INDEXADO'!BM39,IF('INTRODUCIR DATOS'!$D$20="SEPTIEMBRE",'RESULTADO INDEXADO'!BT39,IF('INTRODUCIR DATOS'!$D$20="OCTUBRE",'RESULTADO INDEXADO'!CA39,IF('INTRODUCIR DATOS'!$D$20="NOVIEMBRE",'RESULTADO INDEXADO'!CH39,IF('INTRODUCIR DATOS'!$D$20="DICIEMBRE",'RESULTADO INDEXADO'!CO39))))))))))))</f>
        <v>0</v>
      </c>
      <c r="G39" s="253" t="b">
        <f>IF('INTRODUCIR DATOS'!$D$20="ENERO",'RESULTADO INDEXADO'!Q39,IF('INTRODUCIR DATOS'!$D$20="FEBRERO",'RESULTADO INDEXADO'!X39,IF('INTRODUCIR DATOS'!$D$20="MARZO",'RESULTADO INDEXADO'!AE39,IF('INTRODUCIR DATOS'!$D$20="ABRIL",'RESULTADO INDEXADO'!AL39,IF('INTRODUCIR DATOS'!$D$20="MAYO",'RESULTADO INDEXADO'!AS39,IF('INTRODUCIR DATOS'!$D$20="JUNIO",'RESULTADO INDEXADO'!AZ39,IF('INTRODUCIR DATOS'!$D$20="JULIO",'RESULTADO INDEXADO'!BG39,IF('INTRODUCIR DATOS'!$D$20="AGOSTO",'RESULTADO INDEXADO'!BN39,IF('INTRODUCIR DATOS'!$D$20="SEPTIEMBRE",'RESULTADO INDEXADO'!BU39,IF('INTRODUCIR DATOS'!$D$20="OCTUBRE",'RESULTADO INDEXADO'!CB39,IF('INTRODUCIR DATOS'!$D$20="NOVIEMBRE",'RESULTADO INDEXADO'!CI39,IF('INTRODUCIR DATOS'!$D$20="DICIEMBRE",'RESULTADO INDEXADO'!CP39))))))))))))</f>
        <v>0</v>
      </c>
      <c r="H39" s="254" t="b">
        <f>IF('INTRODUCIR DATOS'!$D$20="ENERO",'RESULTADO INDEXADO'!R39,IF('INTRODUCIR DATOS'!$D$20="FEBRERO",'RESULTADO INDEXADO'!Y39,IF('INTRODUCIR DATOS'!$D$20="MARZO",'RESULTADO INDEXADO'!AF39,IF('INTRODUCIR DATOS'!$D$20="ABRIL",'RESULTADO INDEXADO'!AM39,IF('INTRODUCIR DATOS'!$D$20="MAYO",'RESULTADO INDEXADO'!AT39,IF('INTRODUCIR DATOS'!$D$20="JUNIO",'RESULTADO INDEXADO'!BA39,IF('INTRODUCIR DATOS'!$D$20="JULIO",'RESULTADO INDEXADO'!BH39,IF('INTRODUCIR DATOS'!$D$20="AGOSTO",'RESULTADO INDEXADO'!BO39,IF('INTRODUCIR DATOS'!$D$20="SEPTIEMBRE",'RESULTADO INDEXADO'!BV39,IF('INTRODUCIR DATOS'!$D$20="OCTUBRE",'RESULTADO INDEXADO'!CC39,IF('INTRODUCIR DATOS'!$D$20="NOVIEMBRE",'RESULTADO INDEXADO'!CJ39,IF('INTRODUCIR DATOS'!$D$20="DICIEMBRE",'RESULTADO INDEXADO'!CQ39))))))))))))</f>
        <v>0</v>
      </c>
      <c r="I39" s="254" t="b">
        <f>IF('INTRODUCIR DATOS'!$D$20="ENERO",'RESULTADO INDEXADO'!S39,IF('INTRODUCIR DATOS'!$D$20="FEBRERO",'RESULTADO INDEXADO'!Z39,IF('INTRODUCIR DATOS'!$D$20="MARZO",'RESULTADO INDEXADO'!AG39,IF('INTRODUCIR DATOS'!$D$20="ABRIL",'RESULTADO INDEXADO'!AN39,IF('INTRODUCIR DATOS'!$D$20="MAYO",'RESULTADO INDEXADO'!AU39,IF('INTRODUCIR DATOS'!$D$20="JUNIO",'RESULTADO INDEXADO'!BB39,IF('INTRODUCIR DATOS'!$D$20="JULIO",'RESULTADO INDEXADO'!BI39,IF('INTRODUCIR DATOS'!$D$20="AGOSTO",'RESULTADO INDEXADO'!BP39,IF('INTRODUCIR DATOS'!$D$20="SEPTIEMBRE",'RESULTADO INDEXADO'!BW39,IF('INTRODUCIR DATOS'!$D$20="OCTUBRE",'RESULTADO INDEXADO'!CD39,IF('INTRODUCIR DATOS'!$D$20="NOVIEMBRE",'RESULTADO INDEXADO'!CK39,IF('INTRODUCIR DATOS'!$D$20="DICIEMBRE",'RESULTADO INDEXADO'!CR39))))))))))))</f>
        <v>0</v>
      </c>
      <c r="J39" s="295" t="b">
        <f>IF('INTRODUCIR DATOS'!$D$20="ENERO",'RESULTADO INDEXADO'!T39,IF('INTRODUCIR DATOS'!$D$20="FEBRERO",'RESULTADO INDEXADO'!AA39,IF('INTRODUCIR DATOS'!$D$20="MARZO",'RESULTADO INDEXADO'!AH39,IF('INTRODUCIR DATOS'!$D$20="ABRIL",'RESULTADO INDEXADO'!AO39,IF('INTRODUCIR DATOS'!$D$20="MAYO",'RESULTADO INDEXADO'!AV39,IF('INTRODUCIR DATOS'!$D$20="JUNIO",'RESULTADO INDEXADO'!BC39,IF('INTRODUCIR DATOS'!$D$20="JULIO",'RESULTADO INDEXADO'!BJ39,IF('INTRODUCIR DATOS'!$D$20="AGOSTO",'RESULTADO INDEXADO'!BQ39,IF('INTRODUCIR DATOS'!$D$20="SEPTIEMBRE",'RESULTADO INDEXADO'!BX39,IF('INTRODUCIR DATOS'!$D$20="OCTUBRE",'RESULTADO INDEXADO'!CE39,IF('INTRODUCIR DATOS'!$D$20="NOVIEMBRE",'RESULTADO INDEXADO'!CL39,IF('INTRODUCIR DATOS'!$D$20="DICIEMBRE",'RESULTADO INDEXADO'!CS39))))))))))))</f>
        <v>0</v>
      </c>
      <c r="K39" s="290">
        <f>('INTRODUCIR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DATOS'!$D$17)+'INTRODUCIR DATOS'!$D$15+'INTRODUCIR DATOS'!$D$16+IF('INTRODUCIR DATOS'!$D$21=21%,(('INTRODUCIR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DATOS'!$D$17)+'INTRODUCIR DATOS'!$D$16)*21/100,IF('INTRODUCIR DATOS'!$D$21=10%,(('INTRODUCIR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DATOS'!$D$17)+'INTRODUCIR DATOS'!$D$16)*10/100))</f>
        <v>1.0285</v>
      </c>
      <c r="L39" s="292">
        <f>IF(K39=0,"",'INTRODUCIR DATOS'!$D$14-K39)</f>
        <v>113.12150000000001</v>
      </c>
      <c r="M39" s="271">
        <f>IF(K39=0,"",('INTRODUCIR DATOS'!$D$14-K39)/'INTRODUCIR DATOS'!$D$14)</f>
        <v>0.99098992553657472</v>
      </c>
      <c r="N39" s="310" t="s">
        <v>136</v>
      </c>
      <c r="O39" s="266"/>
      <c r="P39" s="253"/>
      <c r="Q39" s="253"/>
      <c r="R39" s="254"/>
      <c r="S39" s="254"/>
      <c r="T39" s="255"/>
      <c r="U39" s="278" t="s">
        <v>136</v>
      </c>
      <c r="V39" s="266"/>
      <c r="W39" s="253"/>
      <c r="X39" s="253"/>
      <c r="Y39" s="254"/>
      <c r="Z39" s="254"/>
      <c r="AA39" s="255"/>
      <c r="AB39" s="278" t="s">
        <v>136</v>
      </c>
      <c r="AC39" s="266"/>
      <c r="AD39" s="253"/>
      <c r="AE39" s="253"/>
      <c r="AF39" s="254"/>
      <c r="AG39" s="254"/>
      <c r="AH39" s="255"/>
      <c r="AI39" s="278" t="s">
        <v>136</v>
      </c>
      <c r="AJ39" s="266"/>
      <c r="AK39" s="253"/>
      <c r="AL39" s="253"/>
      <c r="AM39" s="254"/>
      <c r="AN39" s="254"/>
      <c r="AO39" s="255"/>
      <c r="AP39" s="278" t="s">
        <v>136</v>
      </c>
      <c r="AQ39" s="266"/>
      <c r="AR39" s="253"/>
      <c r="AS39" s="253"/>
      <c r="AT39" s="254"/>
      <c r="AU39" s="254"/>
      <c r="AV39" s="255"/>
      <c r="AW39" s="278" t="s">
        <v>136</v>
      </c>
      <c r="AX39" s="266"/>
      <c r="AY39" s="253"/>
      <c r="AZ39" s="253"/>
      <c r="BA39" s="254"/>
      <c r="BB39" s="254"/>
      <c r="BC39" s="255"/>
      <c r="BD39" s="278" t="s">
        <v>136</v>
      </c>
      <c r="BE39" s="266"/>
      <c r="BF39" s="253"/>
      <c r="BG39" s="253"/>
      <c r="BH39" s="254"/>
      <c r="BI39" s="254"/>
      <c r="BJ39" s="255"/>
      <c r="BK39" s="278" t="s">
        <v>136</v>
      </c>
      <c r="BL39" s="266"/>
      <c r="BM39" s="253"/>
      <c r="BN39" s="253"/>
      <c r="BO39" s="254"/>
      <c r="BP39" s="254"/>
      <c r="BQ39" s="255"/>
      <c r="BR39" s="278" t="s">
        <v>136</v>
      </c>
      <c r="BS39" s="266"/>
      <c r="BT39" s="253"/>
      <c r="BU39" s="253"/>
      <c r="BV39" s="254"/>
      <c r="BW39" s="254"/>
      <c r="BX39" s="255"/>
      <c r="BY39" s="278" t="s">
        <v>136</v>
      </c>
      <c r="BZ39" s="266"/>
      <c r="CA39" s="253"/>
      <c r="CB39" s="253"/>
      <c r="CC39" s="254"/>
      <c r="CD39" s="254"/>
      <c r="CE39" s="255"/>
      <c r="CF39" s="278" t="s">
        <v>136</v>
      </c>
      <c r="CG39" s="266"/>
      <c r="CH39" s="253"/>
      <c r="CI39" s="253"/>
      <c r="CJ39" s="254"/>
      <c r="CK39" s="254"/>
      <c r="CL39" s="255"/>
      <c r="CM39" s="278" t="s">
        <v>136</v>
      </c>
      <c r="CN39" s="266"/>
      <c r="CO39" s="253"/>
      <c r="CP39" s="253"/>
      <c r="CQ39" s="254"/>
      <c r="CR39" s="254"/>
      <c r="CS39" s="255"/>
    </row>
    <row r="40" spans="1:97">
      <c r="A40" s="41" t="s">
        <v>17</v>
      </c>
      <c r="B40" s="40"/>
      <c r="C40" s="335"/>
      <c r="D40" s="279" t="s">
        <v>134</v>
      </c>
      <c r="E40" s="267" t="b">
        <f>IF('INTRODUCIR DATOS'!$D$20="ENERO",'RESULTADO INDEXADO'!O40,IF('INTRODUCIR DATOS'!$D$20="FEBRERO",'RESULTADO INDEXADO'!V40,IF('INTRODUCIR DATOS'!$D$20="MARZO",'RESULTADO INDEXADO'!AC40,IF('INTRODUCIR DATOS'!$D$20="ABRIL",'RESULTADO INDEXADO'!AJ40,IF('INTRODUCIR DATOS'!$D$20="MAYO",'RESULTADO INDEXADO'!AQ40,IF('INTRODUCIR DATOS'!$D$20="JUNIO",'RESULTADO INDEXADO'!AX40,IF('INTRODUCIR DATOS'!$D$20="JULIO",'RESULTADO INDEXADO'!BE40,IF('INTRODUCIR DATOS'!$D$20="AGOSTO",'RESULTADO INDEXADO'!BL40,IF('INTRODUCIR DATOS'!$D$20="SEPTIEMBRE",'RESULTADO INDEXADO'!BS40,IF('INTRODUCIR DATOS'!$D$20="OCTUBRE",'RESULTADO INDEXADO'!BZ40,IF('INTRODUCIR DATOS'!$D$20="NOVIEMBRE",'RESULTADO INDEXADO'!CG40,IF('INTRODUCIR DATOS'!$D$20="DICIEMBRE",'RESULTADO INDEXADO'!CN40))))))))))))</f>
        <v>0</v>
      </c>
      <c r="F40" s="256" t="b">
        <f>IF('INTRODUCIR DATOS'!$D$20="ENERO",'RESULTADO INDEXADO'!P40,IF('INTRODUCIR DATOS'!$D$20="FEBRERO",'RESULTADO INDEXADO'!W40,IF('INTRODUCIR DATOS'!$D$20="MARZO",'RESULTADO INDEXADO'!AD40,IF('INTRODUCIR DATOS'!$D$20="ABRIL",'RESULTADO INDEXADO'!AK40,IF('INTRODUCIR DATOS'!$D$20="MAYO",'RESULTADO INDEXADO'!AR40,IF('INTRODUCIR DATOS'!$D$20="JUNIO",'RESULTADO INDEXADO'!AY40,IF('INTRODUCIR DATOS'!$D$20="JULIO",'RESULTADO INDEXADO'!BF40,IF('INTRODUCIR DATOS'!$D$20="AGOSTO",'RESULTADO INDEXADO'!BM40,IF('INTRODUCIR DATOS'!$D$20="SEPTIEMBRE",'RESULTADO INDEXADO'!BT40,IF('INTRODUCIR DATOS'!$D$20="OCTUBRE",'RESULTADO INDEXADO'!CA40,IF('INTRODUCIR DATOS'!$D$20="NOVIEMBRE",'RESULTADO INDEXADO'!CH40,IF('INTRODUCIR DATOS'!$D$20="DICIEMBRE",'RESULTADO INDEXADO'!CO40))))))))))))</f>
        <v>0</v>
      </c>
      <c r="G40" s="257" t="b">
        <f>IF('INTRODUCIR DATOS'!$D$20="ENERO",'RESULTADO INDEXADO'!Q40,IF('INTRODUCIR DATOS'!$D$20="FEBRERO",'RESULTADO INDEXADO'!X40,IF('INTRODUCIR DATOS'!$D$20="MARZO",'RESULTADO INDEXADO'!AE40,IF('INTRODUCIR DATOS'!$D$20="ABRIL",'RESULTADO INDEXADO'!AL40,IF('INTRODUCIR DATOS'!$D$20="MAYO",'RESULTADO INDEXADO'!AS40,IF('INTRODUCIR DATOS'!$D$20="JUNIO",'RESULTADO INDEXADO'!AZ40,IF('INTRODUCIR DATOS'!$D$20="JULIO",'RESULTADO INDEXADO'!BG40,IF('INTRODUCIR DATOS'!$D$20="AGOSTO",'RESULTADO INDEXADO'!BN40,IF('INTRODUCIR DATOS'!$D$20="SEPTIEMBRE",'RESULTADO INDEXADO'!BU40,IF('INTRODUCIR DATOS'!$D$20="OCTUBRE",'RESULTADO INDEXADO'!CB40,IF('INTRODUCIR DATOS'!$D$20="NOVIEMBRE",'RESULTADO INDEXADO'!CI40,IF('INTRODUCIR DATOS'!$D$20="DICIEMBRE",'RESULTADO INDEXADO'!CP40))))))))))))</f>
        <v>0</v>
      </c>
      <c r="H40" s="257" t="b">
        <f>IF('INTRODUCIR DATOS'!$D$20="ENERO",'RESULTADO INDEXADO'!R40,IF('INTRODUCIR DATOS'!$D$20="FEBRERO",'RESULTADO INDEXADO'!Y40,IF('INTRODUCIR DATOS'!$D$20="MARZO",'RESULTADO INDEXADO'!AF40,IF('INTRODUCIR DATOS'!$D$20="ABRIL",'RESULTADO INDEXADO'!AM40,IF('INTRODUCIR DATOS'!$D$20="MAYO",'RESULTADO INDEXADO'!AT40,IF('INTRODUCIR DATOS'!$D$20="JUNIO",'RESULTADO INDEXADO'!BA40,IF('INTRODUCIR DATOS'!$D$20="JULIO",'RESULTADO INDEXADO'!BH40,IF('INTRODUCIR DATOS'!$D$20="AGOSTO",'RESULTADO INDEXADO'!BO40,IF('INTRODUCIR DATOS'!$D$20="SEPTIEMBRE",'RESULTADO INDEXADO'!BV40,IF('INTRODUCIR DATOS'!$D$20="OCTUBRE",'RESULTADO INDEXADO'!CC40,IF('INTRODUCIR DATOS'!$D$20="NOVIEMBRE",'RESULTADO INDEXADO'!CJ40,IF('INTRODUCIR DATOS'!$D$20="DICIEMBRE",'RESULTADO INDEXADO'!CQ40))))))))))))</f>
        <v>0</v>
      </c>
      <c r="I40" s="257" t="b">
        <f>IF('INTRODUCIR DATOS'!$D$20="ENERO",'RESULTADO INDEXADO'!S40,IF('INTRODUCIR DATOS'!$D$20="FEBRERO",'RESULTADO INDEXADO'!Z40,IF('INTRODUCIR DATOS'!$D$20="MARZO",'RESULTADO INDEXADO'!AG40,IF('INTRODUCIR DATOS'!$D$20="ABRIL",'RESULTADO INDEXADO'!AN40,IF('INTRODUCIR DATOS'!$D$20="MAYO",'RESULTADO INDEXADO'!AU40,IF('INTRODUCIR DATOS'!$D$20="JUNIO",'RESULTADO INDEXADO'!BB40,IF('INTRODUCIR DATOS'!$D$20="JULIO",'RESULTADO INDEXADO'!BI40,IF('INTRODUCIR DATOS'!$D$20="AGOSTO",'RESULTADO INDEXADO'!BP40,IF('INTRODUCIR DATOS'!$D$20="SEPTIEMBRE",'RESULTADO INDEXADO'!BW40,IF('INTRODUCIR DATOS'!$D$20="OCTUBRE",'RESULTADO INDEXADO'!CD40,IF('INTRODUCIR DATOS'!$D$20="NOVIEMBRE",'RESULTADO INDEXADO'!CK40,IF('INTRODUCIR DATOS'!$D$20="DICIEMBRE",'RESULTADO INDEXADO'!CR40))))))))))))</f>
        <v>0</v>
      </c>
      <c r="J40" s="296" t="b">
        <f>IF('INTRODUCIR DATOS'!$D$20="ENERO",'RESULTADO INDEXADO'!T40,IF('INTRODUCIR DATOS'!$D$20="FEBRERO",'RESULTADO INDEXADO'!AA40,IF('INTRODUCIR DATOS'!$D$20="MARZO",'RESULTADO INDEXADO'!AH40,IF('INTRODUCIR DATOS'!$D$20="ABRIL",'RESULTADO INDEXADO'!AO40,IF('INTRODUCIR DATOS'!$D$20="MAYO",'RESULTADO INDEXADO'!AV40,IF('INTRODUCIR DATOS'!$D$20="JUNIO",'RESULTADO INDEXADO'!BC40,IF('INTRODUCIR DATOS'!$D$20="JULIO",'RESULTADO INDEXADO'!BJ40,IF('INTRODUCIR DATOS'!$D$20="AGOSTO",'RESULTADO INDEXADO'!BQ40,IF('INTRODUCIR DATOS'!$D$20="SEPTIEMBRE",'RESULTADO INDEXADO'!BX40,IF('INTRODUCIR DATOS'!$D$20="OCTUBRE",'RESULTADO INDEXADO'!CE40,IF('INTRODUCIR DATOS'!$D$20="NOVIEMBRE",'RESULTADO INDEXADO'!CL40,IF('INTRODUCIR DATOS'!$D$20="DICIEMBRE",'RESULTADO INDEXADO'!CS40))))))))))))</f>
        <v>0</v>
      </c>
      <c r="K40" s="41"/>
      <c r="L40" s="40"/>
      <c r="M40" s="145"/>
      <c r="N40" s="311" t="s">
        <v>134</v>
      </c>
      <c r="O40" s="267"/>
      <c r="P40" s="256"/>
      <c r="Q40" s="257"/>
      <c r="R40" s="257"/>
      <c r="S40" s="257"/>
      <c r="T40" s="258"/>
      <c r="U40" s="279" t="s">
        <v>134</v>
      </c>
      <c r="V40" s="267"/>
      <c r="W40" s="256"/>
      <c r="X40" s="257"/>
      <c r="Y40" s="257"/>
      <c r="Z40" s="257"/>
      <c r="AA40" s="258"/>
      <c r="AB40" s="279" t="s">
        <v>134</v>
      </c>
      <c r="AC40" s="267"/>
      <c r="AD40" s="256"/>
      <c r="AE40" s="257"/>
      <c r="AF40" s="257"/>
      <c r="AG40" s="257"/>
      <c r="AH40" s="258"/>
      <c r="AI40" s="279" t="s">
        <v>134</v>
      </c>
      <c r="AJ40" s="267"/>
      <c r="AK40" s="256"/>
      <c r="AL40" s="257"/>
      <c r="AM40" s="257"/>
      <c r="AN40" s="257"/>
      <c r="AO40" s="258"/>
      <c r="AP40" s="279" t="s">
        <v>134</v>
      </c>
      <c r="AQ40" s="267"/>
      <c r="AR40" s="256"/>
      <c r="AS40" s="257"/>
      <c r="AT40" s="257"/>
      <c r="AU40" s="257"/>
      <c r="AV40" s="258"/>
      <c r="AW40" s="279" t="s">
        <v>134</v>
      </c>
      <c r="AX40" s="267"/>
      <c r="AY40" s="256"/>
      <c r="AZ40" s="257"/>
      <c r="BA40" s="257"/>
      <c r="BB40" s="257"/>
      <c r="BC40" s="258"/>
      <c r="BD40" s="279" t="s">
        <v>134</v>
      </c>
      <c r="BE40" s="267"/>
      <c r="BF40" s="256"/>
      <c r="BG40" s="257"/>
      <c r="BH40" s="257"/>
      <c r="BI40" s="257"/>
      <c r="BJ40" s="258"/>
      <c r="BK40" s="279" t="s">
        <v>134</v>
      </c>
      <c r="BL40" s="267"/>
      <c r="BM40" s="256"/>
      <c r="BN40" s="257"/>
      <c r="BO40" s="257"/>
      <c r="BP40" s="257"/>
      <c r="BQ40" s="258"/>
      <c r="BR40" s="279" t="s">
        <v>134</v>
      </c>
      <c r="BS40" s="267"/>
      <c r="BT40" s="256"/>
      <c r="BU40" s="257"/>
      <c r="BV40" s="257"/>
      <c r="BW40" s="257"/>
      <c r="BX40" s="258"/>
      <c r="BY40" s="279" t="s">
        <v>134</v>
      </c>
      <c r="BZ40" s="267"/>
      <c r="CA40" s="256"/>
      <c r="CB40" s="257"/>
      <c r="CC40" s="257"/>
      <c r="CD40" s="257"/>
      <c r="CE40" s="258"/>
      <c r="CF40" s="279" t="s">
        <v>134</v>
      </c>
      <c r="CG40" s="267"/>
      <c r="CH40" s="256"/>
      <c r="CI40" s="257"/>
      <c r="CJ40" s="257"/>
      <c r="CK40" s="257"/>
      <c r="CL40" s="258"/>
      <c r="CM40" s="279" t="s">
        <v>134</v>
      </c>
      <c r="CN40" s="267"/>
      <c r="CO40" s="256"/>
      <c r="CP40" s="257"/>
      <c r="CQ40" s="257"/>
      <c r="CR40" s="257"/>
      <c r="CS40" s="258"/>
    </row>
    <row r="41" spans="1:97" ht="15" thickBot="1">
      <c r="A41" s="42" t="s">
        <v>17</v>
      </c>
      <c r="B41" s="43"/>
      <c r="C41" s="77"/>
      <c r="D41" s="280" t="s">
        <v>136</v>
      </c>
      <c r="E41" s="268" t="b">
        <f>IF('INTRODUCIR DATOS'!$D$20="ENERO",'RESULTADO INDEXADO'!O41,IF('INTRODUCIR DATOS'!$D$20="FEBRERO",'RESULTADO INDEXADO'!V41,IF('INTRODUCIR DATOS'!$D$20="MARZO",'RESULTADO INDEXADO'!AC41,IF('INTRODUCIR DATOS'!$D$20="ABRIL",'RESULTADO INDEXADO'!AJ41,IF('INTRODUCIR DATOS'!$D$20="MAYO",'RESULTADO INDEXADO'!AQ41,IF('INTRODUCIR DATOS'!$D$20="JUNIO",'RESULTADO INDEXADO'!AX41,IF('INTRODUCIR DATOS'!$D$20="JULIO",'RESULTADO INDEXADO'!BE41,IF('INTRODUCIR DATOS'!$D$20="AGOSTO",'RESULTADO INDEXADO'!BL41,IF('INTRODUCIR DATOS'!$D$20="SEPTIEMBRE",'RESULTADO INDEXADO'!BS41,IF('INTRODUCIR DATOS'!$D$20="OCTUBRE",'RESULTADO INDEXADO'!BZ41,IF('INTRODUCIR DATOS'!$D$20="NOVIEMBRE",'RESULTADO INDEXADO'!CG41,IF('INTRODUCIR DATOS'!$D$20="DICIEMBRE",'RESULTADO INDEXADO'!CN41))))))))))))</f>
        <v>0</v>
      </c>
      <c r="F41" s="262" t="b">
        <f>IF('INTRODUCIR DATOS'!$D$20="ENERO",'RESULTADO INDEXADO'!P41,IF('INTRODUCIR DATOS'!$D$20="FEBRERO",'RESULTADO INDEXADO'!W41,IF('INTRODUCIR DATOS'!$D$20="MARZO",'RESULTADO INDEXADO'!AD41,IF('INTRODUCIR DATOS'!$D$20="ABRIL",'RESULTADO INDEXADO'!AK41,IF('INTRODUCIR DATOS'!$D$20="MAYO",'RESULTADO INDEXADO'!AR41,IF('INTRODUCIR DATOS'!$D$20="JUNIO",'RESULTADO INDEXADO'!AY41,IF('INTRODUCIR DATOS'!$D$20="JULIO",'RESULTADO INDEXADO'!BF41,IF('INTRODUCIR DATOS'!$D$20="AGOSTO",'RESULTADO INDEXADO'!BM41,IF('INTRODUCIR DATOS'!$D$20="SEPTIEMBRE",'RESULTADO INDEXADO'!BT41,IF('INTRODUCIR DATOS'!$D$20="OCTUBRE",'RESULTADO INDEXADO'!CA41,IF('INTRODUCIR DATOS'!$D$20="NOVIEMBRE",'RESULTADO INDEXADO'!CH41,IF('INTRODUCIR DATOS'!$D$20="DICIEMBRE",'RESULTADO INDEXADO'!CO41))))))))))))</f>
        <v>0</v>
      </c>
      <c r="G41" s="262" t="b">
        <f>IF('INTRODUCIR DATOS'!$D$20="ENERO",'RESULTADO INDEXADO'!Q41,IF('INTRODUCIR DATOS'!$D$20="FEBRERO",'RESULTADO INDEXADO'!X41,IF('INTRODUCIR DATOS'!$D$20="MARZO",'RESULTADO INDEXADO'!AE41,IF('INTRODUCIR DATOS'!$D$20="ABRIL",'RESULTADO INDEXADO'!AL41,IF('INTRODUCIR DATOS'!$D$20="MAYO",'RESULTADO INDEXADO'!AS41,IF('INTRODUCIR DATOS'!$D$20="JUNIO",'RESULTADO INDEXADO'!AZ41,IF('INTRODUCIR DATOS'!$D$20="JULIO",'RESULTADO INDEXADO'!BG41,IF('INTRODUCIR DATOS'!$D$20="AGOSTO",'RESULTADO INDEXADO'!BN41,IF('INTRODUCIR DATOS'!$D$20="SEPTIEMBRE",'RESULTADO INDEXADO'!BU41,IF('INTRODUCIR DATOS'!$D$20="OCTUBRE",'RESULTADO INDEXADO'!CB41,IF('INTRODUCIR DATOS'!$D$20="NOVIEMBRE",'RESULTADO INDEXADO'!CI41,IF('INTRODUCIR DATOS'!$D$20="DICIEMBRE",'RESULTADO INDEXADO'!CP41))))))))))))</f>
        <v>0</v>
      </c>
      <c r="H41" s="263" t="b">
        <f>IF('INTRODUCIR DATOS'!$D$20="ENERO",'RESULTADO INDEXADO'!R41,IF('INTRODUCIR DATOS'!$D$20="FEBRERO",'RESULTADO INDEXADO'!Y41,IF('INTRODUCIR DATOS'!$D$20="MARZO",'RESULTADO INDEXADO'!AF41,IF('INTRODUCIR DATOS'!$D$20="ABRIL",'RESULTADO INDEXADO'!AM41,IF('INTRODUCIR DATOS'!$D$20="MAYO",'RESULTADO INDEXADO'!AT41,IF('INTRODUCIR DATOS'!$D$20="JUNIO",'RESULTADO INDEXADO'!BA41,IF('INTRODUCIR DATOS'!$D$20="JULIO",'RESULTADO INDEXADO'!BH41,IF('INTRODUCIR DATOS'!$D$20="AGOSTO",'RESULTADO INDEXADO'!BO41,IF('INTRODUCIR DATOS'!$D$20="SEPTIEMBRE",'RESULTADO INDEXADO'!BV41,IF('INTRODUCIR DATOS'!$D$20="OCTUBRE",'RESULTADO INDEXADO'!CC41,IF('INTRODUCIR DATOS'!$D$20="NOVIEMBRE",'RESULTADO INDEXADO'!CJ41,IF('INTRODUCIR DATOS'!$D$20="DICIEMBRE",'RESULTADO INDEXADO'!CQ41))))))))))))</f>
        <v>0</v>
      </c>
      <c r="I41" s="263" t="b">
        <f>IF('INTRODUCIR DATOS'!$D$20="ENERO",'RESULTADO INDEXADO'!S41,IF('INTRODUCIR DATOS'!$D$20="FEBRERO",'RESULTADO INDEXADO'!Z41,IF('INTRODUCIR DATOS'!$D$20="MARZO",'RESULTADO INDEXADO'!AG41,IF('INTRODUCIR DATOS'!$D$20="ABRIL",'RESULTADO INDEXADO'!AN41,IF('INTRODUCIR DATOS'!$D$20="MAYO",'RESULTADO INDEXADO'!AU41,IF('INTRODUCIR DATOS'!$D$20="JUNIO",'RESULTADO INDEXADO'!BB41,IF('INTRODUCIR DATOS'!$D$20="JULIO",'RESULTADO INDEXADO'!BI41,IF('INTRODUCIR DATOS'!$D$20="AGOSTO",'RESULTADO INDEXADO'!BP41,IF('INTRODUCIR DATOS'!$D$20="SEPTIEMBRE",'RESULTADO INDEXADO'!BW41,IF('INTRODUCIR DATOS'!$D$20="OCTUBRE",'RESULTADO INDEXADO'!CD41,IF('INTRODUCIR DATOS'!$D$20="NOVIEMBRE",'RESULTADO INDEXADO'!CK41,IF('INTRODUCIR DATOS'!$D$20="DICIEMBRE",'RESULTADO INDEXADO'!CR41))))))))))))</f>
        <v>0</v>
      </c>
      <c r="J41" s="298" t="b">
        <f>IF('INTRODUCIR DATOS'!$D$20="ENERO",'RESULTADO INDEXADO'!T41,IF('INTRODUCIR DATOS'!$D$20="FEBRERO",'RESULTADO INDEXADO'!AA41,IF('INTRODUCIR DATOS'!$D$20="MARZO",'RESULTADO INDEXADO'!AH41,IF('INTRODUCIR DATOS'!$D$20="ABRIL",'RESULTADO INDEXADO'!AO41,IF('INTRODUCIR DATOS'!$D$20="MAYO",'RESULTADO INDEXADO'!AV41,IF('INTRODUCIR DATOS'!$D$20="JUNIO",'RESULTADO INDEXADO'!BC41,IF('INTRODUCIR DATOS'!$D$20="JULIO",'RESULTADO INDEXADO'!BJ41,IF('INTRODUCIR DATOS'!$D$20="AGOSTO",'RESULTADO INDEXADO'!BQ41,IF('INTRODUCIR DATOS'!$D$20="SEPTIEMBRE",'RESULTADO INDEXADO'!BX41,IF('INTRODUCIR DATOS'!$D$20="OCTUBRE",'RESULTADO INDEXADO'!CE41,IF('INTRODUCIR DATOS'!$D$20="NOVIEMBRE",'RESULTADO INDEXADO'!CL41,IF('INTRODUCIR DATOS'!$D$20="DICIEMBRE",'RESULTADO INDEXADO'!CS41))))))))))))</f>
        <v>0</v>
      </c>
      <c r="K41" s="290">
        <f>('INTRODUCIR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DATOS'!$D$17)+'INTRODUCIR DATOS'!$D$15+'INTRODUCIR DATOS'!$D$16+IF('INTRODUCIR DATOS'!$D$21=21%,(('INTRODUCIR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DATOS'!$D$17)+'INTRODUCIR DATOS'!$D$16)*21/100,IF('INTRODUCIR DATOS'!$D$21=10%,(('INTRODUCIR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DATOS'!$D$17)+'INTRODUCIR DATOS'!$D$16)*10/100))</f>
        <v>1.0285</v>
      </c>
      <c r="L41" s="293">
        <f>IF(K41=0,"",'INTRODUCIR DATOS'!$D$14-K41)</f>
        <v>113.12150000000001</v>
      </c>
      <c r="M41" s="285">
        <f>IF(K41=0,"",('INTRODUCIR DATOS'!$D$14-K41)/'INTRODUCIR DATOS'!$D$14)</f>
        <v>0.99098992553657472</v>
      </c>
      <c r="N41" s="312" t="s">
        <v>136</v>
      </c>
      <c r="O41" s="269"/>
      <c r="P41" s="259"/>
      <c r="Q41" s="259"/>
      <c r="R41" s="260"/>
      <c r="S41" s="260"/>
      <c r="T41" s="261"/>
      <c r="U41" s="280" t="s">
        <v>136</v>
      </c>
      <c r="V41" s="269"/>
      <c r="W41" s="259"/>
      <c r="X41" s="259"/>
      <c r="Y41" s="260"/>
      <c r="Z41" s="260"/>
      <c r="AA41" s="261"/>
      <c r="AB41" s="280" t="s">
        <v>136</v>
      </c>
      <c r="AC41" s="269"/>
      <c r="AD41" s="259"/>
      <c r="AE41" s="259"/>
      <c r="AF41" s="260"/>
      <c r="AG41" s="260"/>
      <c r="AH41" s="261"/>
      <c r="AI41" s="280" t="s">
        <v>136</v>
      </c>
      <c r="AJ41" s="269"/>
      <c r="AK41" s="259"/>
      <c r="AL41" s="259"/>
      <c r="AM41" s="260"/>
      <c r="AN41" s="260"/>
      <c r="AO41" s="261"/>
      <c r="AP41" s="280" t="s">
        <v>136</v>
      </c>
      <c r="AQ41" s="269"/>
      <c r="AR41" s="259"/>
      <c r="AS41" s="259"/>
      <c r="AT41" s="260"/>
      <c r="AU41" s="260"/>
      <c r="AV41" s="261"/>
      <c r="AW41" s="280" t="s">
        <v>136</v>
      </c>
      <c r="AX41" s="269"/>
      <c r="AY41" s="259"/>
      <c r="AZ41" s="259"/>
      <c r="BA41" s="260"/>
      <c r="BB41" s="260"/>
      <c r="BC41" s="261"/>
      <c r="BD41" s="280" t="s">
        <v>136</v>
      </c>
      <c r="BE41" s="269"/>
      <c r="BF41" s="259"/>
      <c r="BG41" s="259"/>
      <c r="BH41" s="260"/>
      <c r="BI41" s="260"/>
      <c r="BJ41" s="261"/>
      <c r="BK41" s="280" t="s">
        <v>136</v>
      </c>
      <c r="BL41" s="269"/>
      <c r="BM41" s="259"/>
      <c r="BN41" s="259"/>
      <c r="BO41" s="260"/>
      <c r="BP41" s="260"/>
      <c r="BQ41" s="261"/>
      <c r="BR41" s="280" t="s">
        <v>136</v>
      </c>
      <c r="BS41" s="269"/>
      <c r="BT41" s="259"/>
      <c r="BU41" s="259"/>
      <c r="BV41" s="260"/>
      <c r="BW41" s="260"/>
      <c r="BX41" s="261"/>
      <c r="BY41" s="280" t="s">
        <v>136</v>
      </c>
      <c r="BZ41" s="269"/>
      <c r="CA41" s="259"/>
      <c r="CB41" s="259"/>
      <c r="CC41" s="260"/>
      <c r="CD41" s="260"/>
      <c r="CE41" s="261"/>
      <c r="CF41" s="280" t="s">
        <v>136</v>
      </c>
      <c r="CG41" s="269"/>
      <c r="CH41" s="259"/>
      <c r="CI41" s="259"/>
      <c r="CJ41" s="260"/>
      <c r="CK41" s="260"/>
      <c r="CL41" s="261"/>
      <c r="CM41" s="280" t="s">
        <v>136</v>
      </c>
      <c r="CN41" s="269"/>
      <c r="CO41" s="259"/>
      <c r="CP41" s="259"/>
      <c r="CQ41" s="260"/>
      <c r="CR41" s="260"/>
      <c r="CS41" s="261"/>
    </row>
    <row r="42" spans="1:97">
      <c r="A42" s="148" t="s">
        <v>142</v>
      </c>
      <c r="B42" s="339" t="s">
        <v>73</v>
      </c>
      <c r="C42" s="149" t="s">
        <v>34</v>
      </c>
      <c r="D42" s="319" t="s">
        <v>134</v>
      </c>
      <c r="E42" s="267">
        <v>8.6989999999999998E-2</v>
      </c>
      <c r="F42" s="256">
        <v>2.4601000000000001E-2</v>
      </c>
      <c r="G42" s="251" t="b">
        <f>IF('INTRODUCIR DATOS'!$D$20="ENERO",'RESULTADO INDEXADO'!Q42,IF('INTRODUCIR DATOS'!$D$20="FEBRERO",'RESULTADO INDEXADO'!X42,IF('INTRODUCIR DATOS'!$D$20="MARZO",'RESULTADO INDEXADO'!AE42,IF('INTRODUCIR DATOS'!$D$20="ABRIL",'RESULTADO INDEXADO'!AL42,IF('INTRODUCIR DATOS'!$D$20="MAYO",'RESULTADO INDEXADO'!AS42,IF('INTRODUCIR DATOS'!$D$20="JUNIO",'RESULTADO INDEXADO'!AZ42,IF('INTRODUCIR DATOS'!$D$20="JULIO",'RESULTADO INDEXADO'!BG42,IF('INTRODUCIR DATOS'!$D$20="AGOSTO",'RESULTADO INDEXADO'!BN42,IF('INTRODUCIR DATOS'!$D$20="SEPTIEMBRE",'RESULTADO INDEXADO'!BU42,IF('INTRODUCIR DATOS'!$D$20="OCTUBRE",'RESULTADO INDEXADO'!CB42,IF('INTRODUCIR DATOS'!$D$20="NOVIEMBRE",'RESULTADO INDEXADO'!CI42,IF('INTRODUCIR DATOS'!$D$20="DICIEMBRE",'RESULTADO INDEXADO'!CP42))))))))))))</f>
        <v>0</v>
      </c>
      <c r="H42" s="251" t="b">
        <f>IF('INTRODUCIR DATOS'!$D$20="ENERO",'RESULTADO INDEXADO'!R42,IF('INTRODUCIR DATOS'!$D$20="FEBRERO",'RESULTADO INDEXADO'!Y42,IF('INTRODUCIR DATOS'!$D$20="MARZO",'RESULTADO INDEXADO'!AF42,IF('INTRODUCIR DATOS'!$D$20="ABRIL",'RESULTADO INDEXADO'!AM42,IF('INTRODUCIR DATOS'!$D$20="MAYO",'RESULTADO INDEXADO'!AT42,IF('INTRODUCIR DATOS'!$D$20="JUNIO",'RESULTADO INDEXADO'!BA42,IF('INTRODUCIR DATOS'!$D$20="JULIO",'RESULTADO INDEXADO'!BH42,IF('INTRODUCIR DATOS'!$D$20="AGOSTO",'RESULTADO INDEXADO'!BO42,IF('INTRODUCIR DATOS'!$D$20="SEPTIEMBRE",'RESULTADO INDEXADO'!BV42,IF('INTRODUCIR DATOS'!$D$20="OCTUBRE",'RESULTADO INDEXADO'!CC42,IF('INTRODUCIR DATOS'!$D$20="NOVIEMBRE",'RESULTADO INDEXADO'!CJ42,IF('INTRODUCIR DATOS'!$D$20="DICIEMBRE",'RESULTADO INDEXADO'!CQ42))))))))))))</f>
        <v>0</v>
      </c>
      <c r="I42" s="251" t="b">
        <f>IF('INTRODUCIR DATOS'!$D$20="ENERO",'RESULTADO INDEXADO'!S42,IF('INTRODUCIR DATOS'!$D$20="FEBRERO",'RESULTADO INDEXADO'!Z42,IF('INTRODUCIR DATOS'!$D$20="MARZO",'RESULTADO INDEXADO'!AG42,IF('INTRODUCIR DATOS'!$D$20="ABRIL",'RESULTADO INDEXADO'!AN42,IF('INTRODUCIR DATOS'!$D$20="MAYO",'RESULTADO INDEXADO'!AU42,IF('INTRODUCIR DATOS'!$D$20="JUNIO",'RESULTADO INDEXADO'!BB42,IF('INTRODUCIR DATOS'!$D$20="JULIO",'RESULTADO INDEXADO'!BI42,IF('INTRODUCIR DATOS'!$D$20="AGOSTO",'RESULTADO INDEXADO'!BP42,IF('INTRODUCIR DATOS'!$D$20="SEPTIEMBRE",'RESULTADO INDEXADO'!BW42,IF('INTRODUCIR DATOS'!$D$20="OCTUBRE",'RESULTADO INDEXADO'!CD42,IF('INTRODUCIR DATOS'!$D$20="NOVIEMBRE",'RESULTADO INDEXADO'!CK42,IF('INTRODUCIR DATOS'!$D$20="DICIEMBRE",'RESULTADO INDEXADO'!CR42))))))))))))</f>
        <v>0</v>
      </c>
      <c r="J42" s="294" t="b">
        <f>IF('INTRODUCIR DATOS'!$D$20="ENERO",'RESULTADO INDEXADO'!T42,IF('INTRODUCIR DATOS'!$D$20="FEBRERO",'RESULTADO INDEXADO'!AA42,IF('INTRODUCIR DATOS'!$D$20="MARZO",'RESULTADO INDEXADO'!AH42,IF('INTRODUCIR DATOS'!$D$20="ABRIL",'RESULTADO INDEXADO'!AO42,IF('INTRODUCIR DATOS'!$D$20="MAYO",'RESULTADO INDEXADO'!AV42,IF('INTRODUCIR DATOS'!$D$20="JUNIO",'RESULTADO INDEXADO'!BC42,IF('INTRODUCIR DATOS'!$D$20="JULIO",'RESULTADO INDEXADO'!BJ42,IF('INTRODUCIR DATOS'!$D$20="AGOSTO",'RESULTADO INDEXADO'!BQ42,IF('INTRODUCIR DATOS'!$D$20="SEPTIEMBRE",'RESULTADO INDEXADO'!BX42,IF('INTRODUCIR DATOS'!$D$20="OCTUBRE",'RESULTADO INDEXADO'!CE42,IF('INTRODUCIR DATOS'!$D$20="NOVIEMBRE",'RESULTADO INDEXADO'!CL42,IF('INTRODUCIR DATOS'!$D$20="DICIEMBRE",'RESULTADO INDEXADO'!CS42))))))))))))</f>
        <v>0</v>
      </c>
      <c r="K42" s="41"/>
      <c r="L42" s="21"/>
      <c r="M42" s="22"/>
      <c r="N42" s="286" t="s">
        <v>134</v>
      </c>
      <c r="O42" s="287">
        <v>8.6989999999999998E-2</v>
      </c>
      <c r="P42" s="288">
        <v>2.4601000000000001E-2</v>
      </c>
      <c r="Q42" s="289"/>
      <c r="R42" s="289"/>
      <c r="S42" s="289"/>
      <c r="T42" s="297"/>
      <c r="U42" s="286" t="s">
        <v>134</v>
      </c>
      <c r="V42" s="287">
        <v>8.6989999999999998E-2</v>
      </c>
      <c r="W42" s="288">
        <v>2.4601000000000001E-2</v>
      </c>
      <c r="X42" s="289"/>
      <c r="Y42" s="289"/>
      <c r="Z42" s="289"/>
      <c r="AA42" s="297"/>
      <c r="AB42" s="286" t="s">
        <v>134</v>
      </c>
      <c r="AC42" s="287">
        <v>8.6989999999999998E-2</v>
      </c>
      <c r="AD42" s="288">
        <v>2.4601000000000001E-2</v>
      </c>
      <c r="AE42" s="289"/>
      <c r="AF42" s="289"/>
      <c r="AG42" s="289"/>
      <c r="AH42" s="297"/>
      <c r="AI42" s="286" t="s">
        <v>134</v>
      </c>
      <c r="AJ42" s="287">
        <v>8.6989999999999998E-2</v>
      </c>
      <c r="AK42" s="288">
        <v>2.4601000000000001E-2</v>
      </c>
      <c r="AL42" s="289"/>
      <c r="AM42" s="289"/>
      <c r="AN42" s="289"/>
      <c r="AO42" s="297"/>
      <c r="AP42" s="286" t="s">
        <v>134</v>
      </c>
      <c r="AQ42" s="287">
        <v>8.6989999999999998E-2</v>
      </c>
      <c r="AR42" s="288">
        <v>2.4601000000000001E-2</v>
      </c>
      <c r="AS42" s="289"/>
      <c r="AT42" s="289"/>
      <c r="AU42" s="289"/>
      <c r="AV42" s="297"/>
      <c r="AW42" s="286" t="s">
        <v>134</v>
      </c>
      <c r="AX42" s="287">
        <v>8.6989999999999998E-2</v>
      </c>
      <c r="AY42" s="288">
        <v>2.4601000000000001E-2</v>
      </c>
      <c r="AZ42" s="289"/>
      <c r="BA42" s="289"/>
      <c r="BB42" s="289"/>
      <c r="BC42" s="297"/>
      <c r="BD42" s="286" t="s">
        <v>134</v>
      </c>
      <c r="BE42" s="287">
        <v>8.6989999999999998E-2</v>
      </c>
      <c r="BF42" s="288">
        <v>2.4601000000000001E-2</v>
      </c>
      <c r="BG42" s="289"/>
      <c r="BH42" s="289"/>
      <c r="BI42" s="289"/>
      <c r="BJ42" s="297"/>
      <c r="BK42" s="286" t="s">
        <v>134</v>
      </c>
      <c r="BL42" s="287">
        <v>8.6989999999999998E-2</v>
      </c>
      <c r="BM42" s="288">
        <v>2.4601000000000001E-2</v>
      </c>
      <c r="BN42" s="289"/>
      <c r="BO42" s="289"/>
      <c r="BP42" s="289"/>
      <c r="BQ42" s="297"/>
      <c r="BR42" s="286" t="s">
        <v>134</v>
      </c>
      <c r="BS42" s="287">
        <v>8.6989999999999998E-2</v>
      </c>
      <c r="BT42" s="288">
        <v>2.4601000000000001E-2</v>
      </c>
      <c r="BU42" s="289"/>
      <c r="BV42" s="289"/>
      <c r="BW42" s="289"/>
      <c r="BX42" s="297"/>
      <c r="BY42" s="286" t="s">
        <v>134</v>
      </c>
      <c r="BZ42" s="287">
        <v>8.6989999999999998E-2</v>
      </c>
      <c r="CA42" s="288">
        <v>2.4601000000000001E-2</v>
      </c>
      <c r="CB42" s="289"/>
      <c r="CC42" s="289"/>
      <c r="CD42" s="289"/>
      <c r="CE42" s="297"/>
      <c r="CF42" s="286" t="s">
        <v>134</v>
      </c>
      <c r="CG42" s="287">
        <v>8.6989999999999998E-2</v>
      </c>
      <c r="CH42" s="288">
        <v>2.4601000000000001E-2</v>
      </c>
      <c r="CI42" s="289"/>
      <c r="CJ42" s="289"/>
      <c r="CK42" s="289"/>
      <c r="CL42" s="297"/>
      <c r="CM42" s="286" t="s">
        <v>134</v>
      </c>
      <c r="CN42" s="287">
        <v>8.6989999999999998E-2</v>
      </c>
      <c r="CO42" s="288">
        <v>2.4601000000000001E-2</v>
      </c>
      <c r="CP42" s="289"/>
      <c r="CQ42" s="289"/>
      <c r="CR42" s="289"/>
      <c r="CS42" s="297"/>
    </row>
    <row r="43" spans="1:97">
      <c r="A43" s="41" t="s">
        <v>142</v>
      </c>
      <c r="B43" s="40" t="s">
        <v>73</v>
      </c>
      <c r="C43" s="145" t="s">
        <v>34</v>
      </c>
      <c r="D43" s="310" t="s">
        <v>136</v>
      </c>
      <c r="E43" s="266" t="b">
        <f>IF('INTRODUCIR DATOS'!$D$20="ENERO",'RESULTADO INDEXADO'!O43,IF('INTRODUCIR DATOS'!$D$20="FEBRERO",'RESULTADO INDEXADO'!V43,IF('INTRODUCIR DATOS'!$D$20="MARZO",'RESULTADO INDEXADO'!AC43,IF('INTRODUCIR DATOS'!$D$20="ABRIL",'RESULTADO INDEXADO'!AJ43,IF('INTRODUCIR DATOS'!$D$20="MAYO",'RESULTADO INDEXADO'!AQ43,IF('INTRODUCIR DATOS'!$D$20="JUNIO",'RESULTADO INDEXADO'!AX43,IF('INTRODUCIR DATOS'!$D$20="JULIO",'RESULTADO INDEXADO'!BE43,IF('INTRODUCIR DATOS'!$D$20="AGOSTO",'RESULTADO INDEXADO'!BL43,IF('INTRODUCIR DATOS'!$D$20="SEPTIEMBRE",'RESULTADO INDEXADO'!BS43,IF('INTRODUCIR DATOS'!$D$20="OCTUBRE",'RESULTADO INDEXADO'!BZ43,IF('INTRODUCIR DATOS'!$D$20="NOVIEMBRE",'RESULTADO INDEXADO'!CG43,IF('INTRODUCIR DATOS'!$D$20="DICIEMBRE",'RESULTADO INDEXADO'!CN43))))))))))))</f>
        <v>0</v>
      </c>
      <c r="F43" s="253" t="b">
        <f>IF('INTRODUCIR DATOS'!$D$20="ENERO",'RESULTADO INDEXADO'!P43,IF('INTRODUCIR DATOS'!$D$20="FEBRERO",'RESULTADO INDEXADO'!W43,IF('INTRODUCIR DATOS'!$D$20="MARZO",'RESULTADO INDEXADO'!AD43,IF('INTRODUCIR DATOS'!$D$20="ABRIL",'RESULTADO INDEXADO'!AK43,IF('INTRODUCIR DATOS'!$D$20="MAYO",'RESULTADO INDEXADO'!AR43,IF('INTRODUCIR DATOS'!$D$20="JUNIO",'RESULTADO INDEXADO'!AY43,IF('INTRODUCIR DATOS'!$D$20="JULIO",'RESULTADO INDEXADO'!BF43,IF('INTRODUCIR DATOS'!$D$20="AGOSTO",'RESULTADO INDEXADO'!BM43,IF('INTRODUCIR DATOS'!$D$20="SEPTIEMBRE",'RESULTADO INDEXADO'!BT43,IF('INTRODUCIR DATOS'!$D$20="OCTUBRE",'RESULTADO INDEXADO'!CA43,IF('INTRODUCIR DATOS'!$D$20="NOVIEMBRE",'RESULTADO INDEXADO'!CH43,IF('INTRODUCIR DATOS'!$D$20="DICIEMBRE",'RESULTADO INDEXADO'!CO43))))))))))))</f>
        <v>0</v>
      </c>
      <c r="G43" s="253" t="b">
        <f>IF('INTRODUCIR DATOS'!$D$20="ENERO",'RESULTADO INDEXADO'!Q43,IF('INTRODUCIR DATOS'!$D$20="FEBRERO",'RESULTADO INDEXADO'!X43,IF('INTRODUCIR DATOS'!$D$20="MARZO",'RESULTADO INDEXADO'!AE43,IF('INTRODUCIR DATOS'!$D$20="ABRIL",'RESULTADO INDEXADO'!AL43,IF('INTRODUCIR DATOS'!$D$20="MAYO",'RESULTADO INDEXADO'!AS43,IF('INTRODUCIR DATOS'!$D$20="JUNIO",'RESULTADO INDEXADO'!AZ43,IF('INTRODUCIR DATOS'!$D$20="JULIO",'RESULTADO INDEXADO'!BG43,IF('INTRODUCIR DATOS'!$D$20="AGOSTO",'RESULTADO INDEXADO'!BN43,IF('INTRODUCIR DATOS'!$D$20="SEPTIEMBRE",'RESULTADO INDEXADO'!BU43,IF('INTRODUCIR DATOS'!$D$20="OCTUBRE",'RESULTADO INDEXADO'!CB43,IF('INTRODUCIR DATOS'!$D$20="NOVIEMBRE",'RESULTADO INDEXADO'!CI43,IF('INTRODUCIR DATOS'!$D$20="DICIEMBRE",'RESULTADO INDEXADO'!CP43))))))))))))</f>
        <v>0</v>
      </c>
      <c r="H43" s="254" t="b">
        <f>IF('INTRODUCIR DATOS'!$D$20="ENERO",'RESULTADO INDEXADO'!R43,IF('INTRODUCIR DATOS'!$D$20="FEBRERO",'RESULTADO INDEXADO'!Y43,IF('INTRODUCIR DATOS'!$D$20="MARZO",'RESULTADO INDEXADO'!AF43,IF('INTRODUCIR DATOS'!$D$20="ABRIL",'RESULTADO INDEXADO'!AM43,IF('INTRODUCIR DATOS'!$D$20="MAYO",'RESULTADO INDEXADO'!AT43,IF('INTRODUCIR DATOS'!$D$20="JUNIO",'RESULTADO INDEXADO'!BA43,IF('INTRODUCIR DATOS'!$D$20="JULIO",'RESULTADO INDEXADO'!BH43,IF('INTRODUCIR DATOS'!$D$20="AGOSTO",'RESULTADO INDEXADO'!BO43,IF('INTRODUCIR DATOS'!$D$20="SEPTIEMBRE",'RESULTADO INDEXADO'!BV43,IF('INTRODUCIR DATOS'!$D$20="OCTUBRE",'RESULTADO INDEXADO'!CC43,IF('INTRODUCIR DATOS'!$D$20="NOVIEMBRE",'RESULTADO INDEXADO'!CJ43,IF('INTRODUCIR DATOS'!$D$20="DICIEMBRE",'RESULTADO INDEXADO'!CQ43))))))))))))</f>
        <v>0</v>
      </c>
      <c r="I43" s="254" t="b">
        <f>IF('INTRODUCIR DATOS'!$D$20="ENERO",'RESULTADO INDEXADO'!S43,IF('INTRODUCIR DATOS'!$D$20="FEBRERO",'RESULTADO INDEXADO'!Z43,IF('INTRODUCIR DATOS'!$D$20="MARZO",'RESULTADO INDEXADO'!AG43,IF('INTRODUCIR DATOS'!$D$20="ABRIL",'RESULTADO INDEXADO'!AN43,IF('INTRODUCIR DATOS'!$D$20="MAYO",'RESULTADO INDEXADO'!AU43,IF('INTRODUCIR DATOS'!$D$20="JUNIO",'RESULTADO INDEXADO'!BB43,IF('INTRODUCIR DATOS'!$D$20="JULIO",'RESULTADO INDEXADO'!BI43,IF('INTRODUCIR DATOS'!$D$20="AGOSTO",'RESULTADO INDEXADO'!BP43,IF('INTRODUCIR DATOS'!$D$20="SEPTIEMBRE",'RESULTADO INDEXADO'!BW43,IF('INTRODUCIR DATOS'!$D$20="OCTUBRE",'RESULTADO INDEXADO'!CD43,IF('INTRODUCIR DATOS'!$D$20="NOVIEMBRE",'RESULTADO INDEXADO'!CK43,IF('INTRODUCIR DATOS'!$D$20="DICIEMBRE",'RESULTADO INDEXADO'!CR43))))))))))))</f>
        <v>0</v>
      </c>
      <c r="J43" s="295" t="b">
        <f>IF('INTRODUCIR DATOS'!$D$20="ENERO",'RESULTADO INDEXADO'!T43,IF('INTRODUCIR DATOS'!$D$20="FEBRERO",'RESULTADO INDEXADO'!AA43,IF('INTRODUCIR DATOS'!$D$20="MARZO",'RESULTADO INDEXADO'!AH43,IF('INTRODUCIR DATOS'!$D$20="ABRIL",'RESULTADO INDEXADO'!AO43,IF('INTRODUCIR DATOS'!$D$20="MAYO",'RESULTADO INDEXADO'!AV43,IF('INTRODUCIR DATOS'!$D$20="JUNIO",'RESULTADO INDEXADO'!BC43,IF('INTRODUCIR DATOS'!$D$20="JULIO",'RESULTADO INDEXADO'!BJ43,IF('INTRODUCIR DATOS'!$D$20="AGOSTO",'RESULTADO INDEXADO'!BQ43,IF('INTRODUCIR DATOS'!$D$20="SEPTIEMBRE",'RESULTADO INDEXADO'!BX43,IF('INTRODUCIR DATOS'!$D$20="OCTUBRE",'RESULTADO INDEXADO'!CE43,IF('INTRODUCIR DATOS'!$D$20="NOVIEMBRE",'RESULTADO INDEXADO'!CL43,IF('INTRODUCIR DATOS'!$D$20="DICIEMBRE",'RESULTADO INDEXADO'!CS43))))))))))))</f>
        <v>0</v>
      </c>
      <c r="K43" s="290">
        <f>('INTRODUCIR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DATOS'!$D$17)+'INTRODUCIR DATOS'!$D$15+'INTRODUCIR DATOS'!$D$16+IF('INTRODUCIR DATOS'!$D$21=21%,(('INTRODUCIR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DATOS'!$D$17)+'INTRODUCIR DATOS'!$D$16)*21/100,IF('INTRODUCIR DATOS'!$D$21=10%,(('INTRODUCIR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DATOS'!$D$17)+'INTRODUCIR DATOS'!$D$16)*10/100))</f>
        <v>27.0829452256</v>
      </c>
      <c r="L43" s="292">
        <f>IF(K43=0,"",'INTRODUCIR DATOS'!$D$14-K43)</f>
        <v>87.067054774400006</v>
      </c>
      <c r="M43" s="271">
        <f>IF(K43=0,"",('INTRODUCIR DATOS'!$D$14-K43)/'INTRODUCIR DATOS'!$D$14)</f>
        <v>0.76274248597809902</v>
      </c>
      <c r="N43" s="274" t="s">
        <v>136</v>
      </c>
      <c r="O43" s="266">
        <v>0.159445</v>
      </c>
      <c r="P43" s="253">
        <v>0.14005799999999999</v>
      </c>
      <c r="Q43" s="253">
        <v>9.6644999999999995E-2</v>
      </c>
      <c r="R43" s="254"/>
      <c r="S43" s="254"/>
      <c r="T43" s="295"/>
      <c r="U43" s="274" t="s">
        <v>136</v>
      </c>
      <c r="V43" s="266">
        <v>0.112416</v>
      </c>
      <c r="W43" s="253">
        <v>9.2462000000000003E-2</v>
      </c>
      <c r="X43" s="253">
        <v>5.8136E-2</v>
      </c>
      <c r="Y43" s="254"/>
      <c r="Z43" s="254"/>
      <c r="AA43" s="295"/>
      <c r="AB43" s="274" t="s">
        <v>136</v>
      </c>
      <c r="AC43" s="266">
        <v>0.12747700000000001</v>
      </c>
      <c r="AD43" s="253">
        <v>0.110929</v>
      </c>
      <c r="AE43" s="253">
        <v>8.5642999999999997E-2</v>
      </c>
      <c r="AF43" s="254"/>
      <c r="AG43" s="254"/>
      <c r="AH43" s="295"/>
      <c r="AI43" s="274" t="s">
        <v>136</v>
      </c>
      <c r="AJ43" s="266">
        <v>0.150423</v>
      </c>
      <c r="AK43" s="253">
        <v>0.13517100000000001</v>
      </c>
      <c r="AL43" s="253">
        <v>0.110877</v>
      </c>
      <c r="AM43" s="254"/>
      <c r="AN43" s="254"/>
      <c r="AO43" s="295"/>
      <c r="AP43" s="274" t="s">
        <v>136</v>
      </c>
      <c r="AQ43" s="266">
        <v>0.152228</v>
      </c>
      <c r="AR43" s="253">
        <v>0.13796600000000001</v>
      </c>
      <c r="AS43" s="253">
        <v>0.111054</v>
      </c>
      <c r="AT43" s="254"/>
      <c r="AU43" s="254"/>
      <c r="AV43" s="295"/>
      <c r="AW43" s="274" t="s">
        <v>136</v>
      </c>
      <c r="AX43" s="266">
        <v>0.167019</v>
      </c>
      <c r="AY43" s="253">
        <v>0.152447</v>
      </c>
      <c r="AZ43" s="253">
        <v>0.12754799999999999</v>
      </c>
      <c r="BA43" s="254"/>
      <c r="BB43" s="254"/>
      <c r="BC43" s="295"/>
      <c r="BD43" s="274" t="s">
        <v>136</v>
      </c>
      <c r="BE43" s="266">
        <v>0.17668900000000001</v>
      </c>
      <c r="BF43" s="253">
        <v>0.16239799999999999</v>
      </c>
      <c r="BG43" s="253">
        <v>0.13809299999999999</v>
      </c>
      <c r="BH43" s="254"/>
      <c r="BI43" s="254"/>
      <c r="BJ43" s="295"/>
      <c r="BK43" s="274" t="s">
        <v>136</v>
      </c>
      <c r="BL43" s="266">
        <v>0.195047</v>
      </c>
      <c r="BM43" s="253">
        <v>0.18080599999999999</v>
      </c>
      <c r="BN43" s="253">
        <v>0.153145</v>
      </c>
      <c r="BO43" s="254"/>
      <c r="BP43" s="254"/>
      <c r="BQ43" s="295"/>
      <c r="BR43" s="274" t="s">
        <v>136</v>
      </c>
      <c r="BS43" s="266"/>
      <c r="BT43" s="253"/>
      <c r="BU43" s="253"/>
      <c r="BV43" s="254"/>
      <c r="BW43" s="254"/>
      <c r="BX43" s="295"/>
      <c r="BY43" s="274" t="s">
        <v>136</v>
      </c>
      <c r="BZ43" s="266"/>
      <c r="CA43" s="253"/>
      <c r="CB43" s="253"/>
      <c r="CC43" s="254"/>
      <c r="CD43" s="254"/>
      <c r="CE43" s="295"/>
      <c r="CF43" s="274" t="s">
        <v>136</v>
      </c>
      <c r="CG43" s="266"/>
      <c r="CH43" s="253"/>
      <c r="CI43" s="253"/>
      <c r="CJ43" s="254"/>
      <c r="CK43" s="254"/>
      <c r="CL43" s="295"/>
      <c r="CM43" s="274" t="s">
        <v>136</v>
      </c>
      <c r="CN43" s="266"/>
      <c r="CO43" s="253"/>
      <c r="CP43" s="253"/>
      <c r="CQ43" s="254"/>
      <c r="CR43" s="254"/>
      <c r="CS43" s="295"/>
    </row>
    <row r="44" spans="1:97">
      <c r="A44" s="41" t="s">
        <v>142</v>
      </c>
      <c r="B44" s="40" t="s">
        <v>75</v>
      </c>
      <c r="C44" s="145" t="s">
        <v>34</v>
      </c>
      <c r="D44" s="311" t="s">
        <v>134</v>
      </c>
      <c r="E44" s="267">
        <v>8.1511E-2</v>
      </c>
      <c r="F44" s="256">
        <v>1.9120999999999999E-2</v>
      </c>
      <c r="G44" s="257" t="b">
        <f>IF('INTRODUCIR DATOS'!$D$20="ENERO",'RESULTADO INDEXADO'!Q44,IF('INTRODUCIR DATOS'!$D$20="FEBRERO",'RESULTADO INDEXADO'!X44,IF('INTRODUCIR DATOS'!$D$20="MARZO",'RESULTADO INDEXADO'!AE44,IF('INTRODUCIR DATOS'!$D$20="ABRIL",'RESULTADO INDEXADO'!AL44,IF('INTRODUCIR DATOS'!$D$20="MAYO",'RESULTADO INDEXADO'!AS44,IF('INTRODUCIR DATOS'!$D$20="JUNIO",'RESULTADO INDEXADO'!AZ44,IF('INTRODUCIR DATOS'!$D$20="JULIO",'RESULTADO INDEXADO'!BG44,IF('INTRODUCIR DATOS'!$D$20="AGOSTO",'RESULTADO INDEXADO'!BN44,IF('INTRODUCIR DATOS'!$D$20="SEPTIEMBRE",'RESULTADO INDEXADO'!BU44,IF('INTRODUCIR DATOS'!$D$20="OCTUBRE",'RESULTADO INDEXADO'!CB44,IF('INTRODUCIR DATOS'!$D$20="NOVIEMBRE",'RESULTADO INDEXADO'!CI44,IF('INTRODUCIR DATOS'!$D$20="DICIEMBRE",'RESULTADO INDEXADO'!CP44))))))))))))</f>
        <v>0</v>
      </c>
      <c r="H44" s="257" t="b">
        <f>IF('INTRODUCIR DATOS'!$D$20="ENERO",'RESULTADO INDEXADO'!R44,IF('INTRODUCIR DATOS'!$D$20="FEBRERO",'RESULTADO INDEXADO'!Y44,IF('INTRODUCIR DATOS'!$D$20="MARZO",'RESULTADO INDEXADO'!AF44,IF('INTRODUCIR DATOS'!$D$20="ABRIL",'RESULTADO INDEXADO'!AM44,IF('INTRODUCIR DATOS'!$D$20="MAYO",'RESULTADO INDEXADO'!AT44,IF('INTRODUCIR DATOS'!$D$20="JUNIO",'RESULTADO INDEXADO'!BA44,IF('INTRODUCIR DATOS'!$D$20="JULIO",'RESULTADO INDEXADO'!BH44,IF('INTRODUCIR DATOS'!$D$20="AGOSTO",'RESULTADO INDEXADO'!BO44,IF('INTRODUCIR DATOS'!$D$20="SEPTIEMBRE",'RESULTADO INDEXADO'!BV44,IF('INTRODUCIR DATOS'!$D$20="OCTUBRE",'RESULTADO INDEXADO'!CC44,IF('INTRODUCIR DATOS'!$D$20="NOVIEMBRE",'RESULTADO INDEXADO'!CJ44,IF('INTRODUCIR DATOS'!$D$20="DICIEMBRE",'RESULTADO INDEXADO'!CQ44))))))))))))</f>
        <v>0</v>
      </c>
      <c r="I44" s="257" t="b">
        <f>IF('INTRODUCIR DATOS'!$D$20="ENERO",'RESULTADO INDEXADO'!S44,IF('INTRODUCIR DATOS'!$D$20="FEBRERO",'RESULTADO INDEXADO'!Z44,IF('INTRODUCIR DATOS'!$D$20="MARZO",'RESULTADO INDEXADO'!AG44,IF('INTRODUCIR DATOS'!$D$20="ABRIL",'RESULTADO INDEXADO'!AN44,IF('INTRODUCIR DATOS'!$D$20="MAYO",'RESULTADO INDEXADO'!AU44,IF('INTRODUCIR DATOS'!$D$20="JUNIO",'RESULTADO INDEXADO'!BB44,IF('INTRODUCIR DATOS'!$D$20="JULIO",'RESULTADO INDEXADO'!BI44,IF('INTRODUCIR DATOS'!$D$20="AGOSTO",'RESULTADO INDEXADO'!BP44,IF('INTRODUCIR DATOS'!$D$20="SEPTIEMBRE",'RESULTADO INDEXADO'!BW44,IF('INTRODUCIR DATOS'!$D$20="OCTUBRE",'RESULTADO INDEXADO'!CD44,IF('INTRODUCIR DATOS'!$D$20="NOVIEMBRE",'RESULTADO INDEXADO'!CK44,IF('INTRODUCIR DATOS'!$D$20="DICIEMBRE",'RESULTADO INDEXADO'!CR44))))))))))))</f>
        <v>0</v>
      </c>
      <c r="J44" s="296" t="b">
        <f>IF('INTRODUCIR DATOS'!$D$20="ENERO",'RESULTADO INDEXADO'!T44,IF('INTRODUCIR DATOS'!$D$20="FEBRERO",'RESULTADO INDEXADO'!AA44,IF('INTRODUCIR DATOS'!$D$20="MARZO",'RESULTADO INDEXADO'!AH44,IF('INTRODUCIR DATOS'!$D$20="ABRIL",'RESULTADO INDEXADO'!AO44,IF('INTRODUCIR DATOS'!$D$20="MAYO",'RESULTADO INDEXADO'!AV44,IF('INTRODUCIR DATOS'!$D$20="JUNIO",'RESULTADO INDEXADO'!BC44,IF('INTRODUCIR DATOS'!$D$20="JULIO",'RESULTADO INDEXADO'!BJ44,IF('INTRODUCIR DATOS'!$D$20="AGOSTO",'RESULTADO INDEXADO'!BQ44,IF('INTRODUCIR DATOS'!$D$20="SEPTIEMBRE",'RESULTADO INDEXADO'!BX44,IF('INTRODUCIR DATOS'!$D$20="OCTUBRE",'RESULTADO INDEXADO'!CE44,IF('INTRODUCIR DATOS'!$D$20="NOVIEMBRE",'RESULTADO INDEXADO'!CL44,IF('INTRODUCIR DATOS'!$D$20="DICIEMBRE",'RESULTADO INDEXADO'!CS44))))))))))))</f>
        <v>0</v>
      </c>
      <c r="K44" s="41"/>
      <c r="L44" s="40"/>
      <c r="M44" s="145"/>
      <c r="N44" s="275" t="s">
        <v>134</v>
      </c>
      <c r="O44" s="267">
        <v>8.1511E-2</v>
      </c>
      <c r="P44" s="256">
        <v>1.9120999999999999E-2</v>
      </c>
      <c r="Q44" s="257"/>
      <c r="R44" s="257"/>
      <c r="S44" s="257"/>
      <c r="T44" s="296"/>
      <c r="U44" s="275" t="s">
        <v>134</v>
      </c>
      <c r="V44" s="267">
        <v>8.1511E-2</v>
      </c>
      <c r="W44" s="256">
        <v>1.9120999999999999E-2</v>
      </c>
      <c r="X44" s="257"/>
      <c r="Y44" s="257"/>
      <c r="Z44" s="257"/>
      <c r="AA44" s="296"/>
      <c r="AB44" s="275" t="s">
        <v>134</v>
      </c>
      <c r="AC44" s="267">
        <v>8.1511E-2</v>
      </c>
      <c r="AD44" s="256">
        <v>1.9120999999999999E-2</v>
      </c>
      <c r="AE44" s="257"/>
      <c r="AF44" s="257"/>
      <c r="AG44" s="257"/>
      <c r="AH44" s="296"/>
      <c r="AI44" s="275" t="s">
        <v>134</v>
      </c>
      <c r="AJ44" s="267">
        <v>8.1511E-2</v>
      </c>
      <c r="AK44" s="256">
        <v>1.9120999999999999E-2</v>
      </c>
      <c r="AL44" s="257"/>
      <c r="AM44" s="257"/>
      <c r="AN44" s="257"/>
      <c r="AO44" s="296"/>
      <c r="AP44" s="275" t="s">
        <v>134</v>
      </c>
      <c r="AQ44" s="267">
        <v>8.1511E-2</v>
      </c>
      <c r="AR44" s="256">
        <v>1.9120999999999999E-2</v>
      </c>
      <c r="AS44" s="257"/>
      <c r="AT44" s="257"/>
      <c r="AU44" s="257"/>
      <c r="AV44" s="296"/>
      <c r="AW44" s="275" t="s">
        <v>134</v>
      </c>
      <c r="AX44" s="267">
        <v>8.1511E-2</v>
      </c>
      <c r="AY44" s="256">
        <v>1.9120999999999999E-2</v>
      </c>
      <c r="AZ44" s="257"/>
      <c r="BA44" s="257"/>
      <c r="BB44" s="257"/>
      <c r="BC44" s="296"/>
      <c r="BD44" s="275" t="s">
        <v>134</v>
      </c>
      <c r="BE44" s="267">
        <v>8.1511E-2</v>
      </c>
      <c r="BF44" s="256">
        <v>1.9120999999999999E-2</v>
      </c>
      <c r="BG44" s="257"/>
      <c r="BH44" s="257"/>
      <c r="BI44" s="257"/>
      <c r="BJ44" s="296"/>
      <c r="BK44" s="275" t="s">
        <v>134</v>
      </c>
      <c r="BL44" s="267">
        <v>8.1511E-2</v>
      </c>
      <c r="BM44" s="256">
        <v>1.9120999999999999E-2</v>
      </c>
      <c r="BN44" s="257"/>
      <c r="BO44" s="257"/>
      <c r="BP44" s="257"/>
      <c r="BQ44" s="296"/>
      <c r="BR44" s="275" t="s">
        <v>134</v>
      </c>
      <c r="BS44" s="267">
        <v>8.1511E-2</v>
      </c>
      <c r="BT44" s="256">
        <v>1.9120999999999999E-2</v>
      </c>
      <c r="BU44" s="257"/>
      <c r="BV44" s="257"/>
      <c r="BW44" s="257"/>
      <c r="BX44" s="296"/>
      <c r="BY44" s="275" t="s">
        <v>134</v>
      </c>
      <c r="BZ44" s="267">
        <v>8.1511E-2</v>
      </c>
      <c r="CA44" s="256">
        <v>1.9120999999999999E-2</v>
      </c>
      <c r="CB44" s="257"/>
      <c r="CC44" s="257"/>
      <c r="CD44" s="257"/>
      <c r="CE44" s="296"/>
      <c r="CF44" s="275" t="s">
        <v>134</v>
      </c>
      <c r="CG44" s="267">
        <v>8.1511E-2</v>
      </c>
      <c r="CH44" s="256">
        <v>1.9120999999999999E-2</v>
      </c>
      <c r="CI44" s="257"/>
      <c r="CJ44" s="257"/>
      <c r="CK44" s="257"/>
      <c r="CL44" s="296"/>
      <c r="CM44" s="275" t="s">
        <v>134</v>
      </c>
      <c r="CN44" s="267">
        <v>8.1511E-2</v>
      </c>
      <c r="CO44" s="256">
        <v>1.9120999999999999E-2</v>
      </c>
      <c r="CP44" s="257"/>
      <c r="CQ44" s="257"/>
      <c r="CR44" s="257"/>
      <c r="CS44" s="296"/>
    </row>
    <row r="45" spans="1:97">
      <c r="A45" s="41" t="s">
        <v>142</v>
      </c>
      <c r="B45" s="40" t="s">
        <v>75</v>
      </c>
      <c r="C45" s="145" t="s">
        <v>34</v>
      </c>
      <c r="D45" s="310" t="s">
        <v>136</v>
      </c>
      <c r="E45" s="266" t="b">
        <f>IF('INTRODUCIR DATOS'!$D$20="ENERO",'RESULTADO INDEXADO'!O45,IF('INTRODUCIR DATOS'!$D$20="FEBRERO",'RESULTADO INDEXADO'!V45,IF('INTRODUCIR DATOS'!$D$20="MARZO",'RESULTADO INDEXADO'!AC45,IF('INTRODUCIR DATOS'!$D$20="ABRIL",'RESULTADO INDEXADO'!AJ45,IF('INTRODUCIR DATOS'!$D$20="MAYO",'RESULTADO INDEXADO'!AQ45,IF('INTRODUCIR DATOS'!$D$20="JUNIO",'RESULTADO INDEXADO'!AX45,IF('INTRODUCIR DATOS'!$D$20="JULIO",'RESULTADO INDEXADO'!BE45,IF('INTRODUCIR DATOS'!$D$20="AGOSTO",'RESULTADO INDEXADO'!BL45,IF('INTRODUCIR DATOS'!$D$20="SEPTIEMBRE",'RESULTADO INDEXADO'!BS45,IF('INTRODUCIR DATOS'!$D$20="OCTUBRE",'RESULTADO INDEXADO'!BZ45,IF('INTRODUCIR DATOS'!$D$20="NOVIEMBRE",'RESULTADO INDEXADO'!CG45,IF('INTRODUCIR DATOS'!$D$20="DICIEMBRE",'RESULTADO INDEXADO'!CN45))))))))))))</f>
        <v>0</v>
      </c>
      <c r="F45" s="253" t="b">
        <f>IF('INTRODUCIR DATOS'!$D$20="ENERO",'RESULTADO INDEXADO'!P45,IF('INTRODUCIR DATOS'!$D$20="FEBRERO",'RESULTADO INDEXADO'!W45,IF('INTRODUCIR DATOS'!$D$20="MARZO",'RESULTADO INDEXADO'!AD45,IF('INTRODUCIR DATOS'!$D$20="ABRIL",'RESULTADO INDEXADO'!AK45,IF('INTRODUCIR DATOS'!$D$20="MAYO",'RESULTADO INDEXADO'!AR45,IF('INTRODUCIR DATOS'!$D$20="JUNIO",'RESULTADO INDEXADO'!AY45,IF('INTRODUCIR DATOS'!$D$20="JULIO",'RESULTADO INDEXADO'!BF45,IF('INTRODUCIR DATOS'!$D$20="AGOSTO",'RESULTADO INDEXADO'!BM45,IF('INTRODUCIR DATOS'!$D$20="SEPTIEMBRE",'RESULTADO INDEXADO'!BT45,IF('INTRODUCIR DATOS'!$D$20="OCTUBRE",'RESULTADO INDEXADO'!CA45,IF('INTRODUCIR DATOS'!$D$20="NOVIEMBRE",'RESULTADO INDEXADO'!CH45,IF('INTRODUCIR DATOS'!$D$20="DICIEMBRE",'RESULTADO INDEXADO'!CO45))))))))))))</f>
        <v>0</v>
      </c>
      <c r="G45" s="253" t="b">
        <f>IF('INTRODUCIR DATOS'!$D$20="ENERO",'RESULTADO INDEXADO'!Q45,IF('INTRODUCIR DATOS'!$D$20="FEBRERO",'RESULTADO INDEXADO'!X45,IF('INTRODUCIR DATOS'!$D$20="MARZO",'RESULTADO INDEXADO'!AE45,IF('INTRODUCIR DATOS'!$D$20="ABRIL",'RESULTADO INDEXADO'!AL45,IF('INTRODUCIR DATOS'!$D$20="MAYO",'RESULTADO INDEXADO'!AS45,IF('INTRODUCIR DATOS'!$D$20="JUNIO",'RESULTADO INDEXADO'!AZ45,IF('INTRODUCIR DATOS'!$D$20="JULIO",'RESULTADO INDEXADO'!BG45,IF('INTRODUCIR DATOS'!$D$20="AGOSTO",'RESULTADO INDEXADO'!BN45,IF('INTRODUCIR DATOS'!$D$20="SEPTIEMBRE",'RESULTADO INDEXADO'!BU45,IF('INTRODUCIR DATOS'!$D$20="OCTUBRE",'RESULTADO INDEXADO'!CB45,IF('INTRODUCIR DATOS'!$D$20="NOVIEMBRE",'RESULTADO INDEXADO'!CI45,IF('INTRODUCIR DATOS'!$D$20="DICIEMBRE",'RESULTADO INDEXADO'!CP45))))))))))))</f>
        <v>0</v>
      </c>
      <c r="H45" s="254" t="b">
        <f>IF('INTRODUCIR DATOS'!$D$20="ENERO",'RESULTADO INDEXADO'!R45,IF('INTRODUCIR DATOS'!$D$20="FEBRERO",'RESULTADO INDEXADO'!Y45,IF('INTRODUCIR DATOS'!$D$20="MARZO",'RESULTADO INDEXADO'!AF45,IF('INTRODUCIR DATOS'!$D$20="ABRIL",'RESULTADO INDEXADO'!AM45,IF('INTRODUCIR DATOS'!$D$20="MAYO",'RESULTADO INDEXADO'!AT45,IF('INTRODUCIR DATOS'!$D$20="JUNIO",'RESULTADO INDEXADO'!BA45,IF('INTRODUCIR DATOS'!$D$20="JULIO",'RESULTADO INDEXADO'!BH45,IF('INTRODUCIR DATOS'!$D$20="AGOSTO",'RESULTADO INDEXADO'!BO45,IF('INTRODUCIR DATOS'!$D$20="SEPTIEMBRE",'RESULTADO INDEXADO'!BV45,IF('INTRODUCIR DATOS'!$D$20="OCTUBRE",'RESULTADO INDEXADO'!CC45,IF('INTRODUCIR DATOS'!$D$20="NOVIEMBRE",'RESULTADO INDEXADO'!CJ45,IF('INTRODUCIR DATOS'!$D$20="DICIEMBRE",'RESULTADO INDEXADO'!CQ45))))))))))))</f>
        <v>0</v>
      </c>
      <c r="I45" s="254" t="b">
        <f>IF('INTRODUCIR DATOS'!$D$20="ENERO",'RESULTADO INDEXADO'!S45,IF('INTRODUCIR DATOS'!$D$20="FEBRERO",'RESULTADO INDEXADO'!Z45,IF('INTRODUCIR DATOS'!$D$20="MARZO",'RESULTADO INDEXADO'!AG45,IF('INTRODUCIR DATOS'!$D$20="ABRIL",'RESULTADO INDEXADO'!AN45,IF('INTRODUCIR DATOS'!$D$20="MAYO",'RESULTADO INDEXADO'!AU45,IF('INTRODUCIR DATOS'!$D$20="JUNIO",'RESULTADO INDEXADO'!BB45,IF('INTRODUCIR DATOS'!$D$20="JULIO",'RESULTADO INDEXADO'!BI45,IF('INTRODUCIR DATOS'!$D$20="AGOSTO",'RESULTADO INDEXADO'!BP45,IF('INTRODUCIR DATOS'!$D$20="SEPTIEMBRE",'RESULTADO INDEXADO'!BW45,IF('INTRODUCIR DATOS'!$D$20="OCTUBRE",'RESULTADO INDEXADO'!CD45,IF('INTRODUCIR DATOS'!$D$20="NOVIEMBRE",'RESULTADO INDEXADO'!CK45,IF('INTRODUCIR DATOS'!$D$20="DICIEMBRE",'RESULTADO INDEXADO'!CR45))))))))))))</f>
        <v>0</v>
      </c>
      <c r="J45" s="295" t="b">
        <f>IF('INTRODUCIR DATOS'!$D$20="ENERO",'RESULTADO INDEXADO'!T45,IF('INTRODUCIR DATOS'!$D$20="FEBRERO",'RESULTADO INDEXADO'!AA45,IF('INTRODUCIR DATOS'!$D$20="MARZO",'RESULTADO INDEXADO'!AH45,IF('INTRODUCIR DATOS'!$D$20="ABRIL",'RESULTADO INDEXADO'!AO45,IF('INTRODUCIR DATOS'!$D$20="MAYO",'RESULTADO INDEXADO'!AV45,IF('INTRODUCIR DATOS'!$D$20="JUNIO",'RESULTADO INDEXADO'!BC45,IF('INTRODUCIR DATOS'!$D$20="JULIO",'RESULTADO INDEXADO'!BJ45,IF('INTRODUCIR DATOS'!$D$20="AGOSTO",'RESULTADO INDEXADO'!BQ45,IF('INTRODUCIR DATOS'!$D$20="SEPTIEMBRE",'RESULTADO INDEXADO'!BX45,IF('INTRODUCIR DATOS'!$D$20="OCTUBRE",'RESULTADO INDEXADO'!CE45,IF('INTRODUCIR DATOS'!$D$20="NOVIEMBRE",'RESULTADO INDEXADO'!CL45,IF('INTRODUCIR DATOS'!$D$20="DICIEMBRE",'RESULTADO INDEXADO'!CS45))))))))))))</f>
        <v>0</v>
      </c>
      <c r="K45" s="290">
        <f>('INTRODUCIR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DATOS'!$D$17)+'INTRODUCIR DATOS'!$D$15+'INTRODUCIR DATOS'!$D$16+IF('INTRODUCIR DATOS'!$D$21=21%,(('INTRODUCIR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DATOS'!$D$17)+'INTRODUCIR DATOS'!$D$16)*21/100,IF('INTRODUCIR DATOS'!$D$21=10%,(('INTRODUCIR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DATOS'!$D$17)+'INTRODUCIR DATOS'!$D$16)*10/100))</f>
        <v>24.524220371200002</v>
      </c>
      <c r="L45" s="292">
        <f>IF(K45=0,"",'INTRODUCIR DATOS'!$D$14-K45)</f>
        <v>89.625779628800004</v>
      </c>
      <c r="M45" s="271">
        <f>IF(K45=0,"",('INTRODUCIR DATOS'!$D$14-K45)/'INTRODUCIR DATOS'!$D$14)</f>
        <v>0.78515794681384143</v>
      </c>
      <c r="N45" s="274" t="s">
        <v>136</v>
      </c>
      <c r="O45" s="266">
        <v>0.157445</v>
      </c>
      <c r="P45" s="253">
        <v>0.13805799999999999</v>
      </c>
      <c r="Q45" s="253">
        <v>9.5565999999999998E-2</v>
      </c>
      <c r="R45" s="254"/>
      <c r="S45" s="254"/>
      <c r="T45" s="295"/>
      <c r="U45" s="274" t="s">
        <v>136</v>
      </c>
      <c r="V45" s="266">
        <v>0.110416</v>
      </c>
      <c r="W45" s="253">
        <v>9.0462000000000001E-2</v>
      </c>
      <c r="X45" s="253">
        <v>5.6135999999999998E-2</v>
      </c>
      <c r="Y45" s="254"/>
      <c r="Z45" s="254"/>
      <c r="AA45" s="295"/>
      <c r="AB45" s="274" t="s">
        <v>136</v>
      </c>
      <c r="AC45" s="266">
        <v>0.12547700000000001</v>
      </c>
      <c r="AD45" s="253">
        <v>0.108929</v>
      </c>
      <c r="AE45" s="253">
        <v>8.3642999999999995E-2</v>
      </c>
      <c r="AF45" s="254"/>
      <c r="AG45" s="254"/>
      <c r="AH45" s="295"/>
      <c r="AI45" s="274" t="s">
        <v>136</v>
      </c>
      <c r="AJ45" s="266">
        <v>0.148423</v>
      </c>
      <c r="AK45" s="253">
        <v>0.13317100000000001</v>
      </c>
      <c r="AL45" s="253">
        <v>0.108877</v>
      </c>
      <c r="AM45" s="254"/>
      <c r="AN45" s="254"/>
      <c r="AO45" s="295"/>
      <c r="AP45" s="274" t="s">
        <v>136</v>
      </c>
      <c r="AQ45" s="266">
        <v>0.150228</v>
      </c>
      <c r="AR45" s="253">
        <v>0.135966</v>
      </c>
      <c r="AS45" s="253">
        <v>0.109054</v>
      </c>
      <c r="AT45" s="254"/>
      <c r="AU45" s="254"/>
      <c r="AV45" s="295"/>
      <c r="AW45" s="274" t="s">
        <v>136</v>
      </c>
      <c r="AX45" s="266">
        <v>0.165019</v>
      </c>
      <c r="AY45" s="253">
        <v>0.150447</v>
      </c>
      <c r="AZ45" s="253">
        <v>0.12554799999999999</v>
      </c>
      <c r="BA45" s="254"/>
      <c r="BB45" s="254"/>
      <c r="BC45" s="295"/>
      <c r="BD45" s="274" t="s">
        <v>136</v>
      </c>
      <c r="BE45" s="266">
        <v>0.17468900000000001</v>
      </c>
      <c r="BF45" s="253">
        <v>0.16039800000000001</v>
      </c>
      <c r="BG45" s="253">
        <v>0.13609299999999999</v>
      </c>
      <c r="BH45" s="254"/>
      <c r="BI45" s="254"/>
      <c r="BJ45" s="295"/>
      <c r="BK45" s="274" t="s">
        <v>136</v>
      </c>
      <c r="BL45" s="266">
        <v>0.193047</v>
      </c>
      <c r="BM45" s="253">
        <v>0.17880599999999999</v>
      </c>
      <c r="BN45" s="253">
        <v>0.151145</v>
      </c>
      <c r="BO45" s="254"/>
      <c r="BP45" s="254"/>
      <c r="BQ45" s="295"/>
      <c r="BR45" s="274" t="s">
        <v>136</v>
      </c>
      <c r="BS45" s="266"/>
      <c r="BT45" s="253"/>
      <c r="BU45" s="253"/>
      <c r="BV45" s="254"/>
      <c r="BW45" s="254"/>
      <c r="BX45" s="295"/>
      <c r="BY45" s="274" t="s">
        <v>136</v>
      </c>
      <c r="BZ45" s="266"/>
      <c r="CA45" s="253"/>
      <c r="CB45" s="253"/>
      <c r="CC45" s="254"/>
      <c r="CD45" s="254"/>
      <c r="CE45" s="295"/>
      <c r="CF45" s="274" t="s">
        <v>136</v>
      </c>
      <c r="CG45" s="266"/>
      <c r="CH45" s="253"/>
      <c r="CI45" s="253"/>
      <c r="CJ45" s="254"/>
      <c r="CK45" s="254"/>
      <c r="CL45" s="295"/>
      <c r="CM45" s="274" t="s">
        <v>136</v>
      </c>
      <c r="CN45" s="266"/>
      <c r="CO45" s="253"/>
      <c r="CP45" s="253"/>
      <c r="CQ45" s="254"/>
      <c r="CR45" s="254"/>
      <c r="CS45" s="295"/>
    </row>
    <row r="46" spans="1:97">
      <c r="A46" s="41" t="s">
        <v>142</v>
      </c>
      <c r="B46" s="40" t="s">
        <v>78</v>
      </c>
      <c r="C46" s="145" t="s">
        <v>34</v>
      </c>
      <c r="D46" s="311" t="s">
        <v>134</v>
      </c>
      <c r="E46" s="267" t="b">
        <f>IF('INTRODUCIR DATOS'!$D$20="ENERO",'RESULTADO INDEXADO'!O46,IF('INTRODUCIR DATOS'!$D$20="FEBRERO",'RESULTADO INDEXADO'!V46,IF('INTRODUCIR DATOS'!$D$20="MARZO",'RESULTADO INDEXADO'!AC46,IF('INTRODUCIR DATOS'!$D$20="ABRIL",'RESULTADO INDEXADO'!AJ46,IF('INTRODUCIR DATOS'!$D$20="MAYO",'RESULTADO INDEXADO'!AQ46,IF('INTRODUCIR DATOS'!$D$20="JUNIO",'RESULTADO INDEXADO'!AX46,IF('INTRODUCIR DATOS'!$D$20="JULIO",'RESULTADO INDEXADO'!BE46,IF('INTRODUCIR DATOS'!$D$20="AGOSTO",'RESULTADO INDEXADO'!BL46,IF('INTRODUCIR DATOS'!$D$20="SEPTIEMBRE",'RESULTADO INDEXADO'!BS46,IF('INTRODUCIR DATOS'!$D$20="OCTUBRE",'RESULTADO INDEXADO'!BZ46,IF('INTRODUCIR DATOS'!$D$20="NOVIEMBRE",'RESULTADO INDEXADO'!CG46,IF('INTRODUCIR DATOS'!$D$20="DICIEMBRE",'RESULTADO INDEXADO'!CN46))))))))))))</f>
        <v>0</v>
      </c>
      <c r="F46" s="256" t="b">
        <f>IF('INTRODUCIR DATOS'!$D$20="ENERO",'RESULTADO INDEXADO'!P46,IF('INTRODUCIR DATOS'!$D$20="FEBRERO",'RESULTADO INDEXADO'!W46,IF('INTRODUCIR DATOS'!$D$20="MARZO",'RESULTADO INDEXADO'!AD46,IF('INTRODUCIR DATOS'!$D$20="ABRIL",'RESULTADO INDEXADO'!AK46,IF('INTRODUCIR DATOS'!$D$20="MAYO",'RESULTADO INDEXADO'!AR46,IF('INTRODUCIR DATOS'!$D$20="JUNIO",'RESULTADO INDEXADO'!AY46,IF('INTRODUCIR DATOS'!$D$20="JULIO",'RESULTADO INDEXADO'!BF46,IF('INTRODUCIR DATOS'!$D$20="AGOSTO",'RESULTADO INDEXADO'!BM46,IF('INTRODUCIR DATOS'!$D$20="SEPTIEMBRE",'RESULTADO INDEXADO'!BT46,IF('INTRODUCIR DATOS'!$D$20="OCTUBRE",'RESULTADO INDEXADO'!CA46,IF('INTRODUCIR DATOS'!$D$20="NOVIEMBRE",'RESULTADO INDEXADO'!CH46,IF('INTRODUCIR DATOS'!$D$20="DICIEMBRE",'RESULTADO INDEXADO'!CO46))))))))))))</f>
        <v>0</v>
      </c>
      <c r="G46" s="257" t="b">
        <f>IF('INTRODUCIR DATOS'!$D$20="ENERO",'RESULTADO INDEXADO'!Q46,IF('INTRODUCIR DATOS'!$D$20="FEBRERO",'RESULTADO INDEXADO'!X46,IF('INTRODUCIR DATOS'!$D$20="MARZO",'RESULTADO INDEXADO'!AE46,IF('INTRODUCIR DATOS'!$D$20="ABRIL",'RESULTADO INDEXADO'!AL46,IF('INTRODUCIR DATOS'!$D$20="MAYO",'RESULTADO INDEXADO'!AS46,IF('INTRODUCIR DATOS'!$D$20="JUNIO",'RESULTADO INDEXADO'!AZ46,IF('INTRODUCIR DATOS'!$D$20="JULIO",'RESULTADO INDEXADO'!BG46,IF('INTRODUCIR DATOS'!$D$20="AGOSTO",'RESULTADO INDEXADO'!BN46,IF('INTRODUCIR DATOS'!$D$20="SEPTIEMBRE",'RESULTADO INDEXADO'!BU46,IF('INTRODUCIR DATOS'!$D$20="OCTUBRE",'RESULTADO INDEXADO'!CB46,IF('INTRODUCIR DATOS'!$D$20="NOVIEMBRE",'RESULTADO INDEXADO'!CI46,IF('INTRODUCIR DATOS'!$D$20="DICIEMBRE",'RESULTADO INDEXADO'!CP46))))))))))))</f>
        <v>0</v>
      </c>
      <c r="H46" s="257" t="b">
        <f>IF('INTRODUCIR DATOS'!$D$20="ENERO",'RESULTADO INDEXADO'!R46,IF('INTRODUCIR DATOS'!$D$20="FEBRERO",'RESULTADO INDEXADO'!Y46,IF('INTRODUCIR DATOS'!$D$20="MARZO",'RESULTADO INDEXADO'!AF46,IF('INTRODUCIR DATOS'!$D$20="ABRIL",'RESULTADO INDEXADO'!AM46,IF('INTRODUCIR DATOS'!$D$20="MAYO",'RESULTADO INDEXADO'!AT46,IF('INTRODUCIR DATOS'!$D$20="JUNIO",'RESULTADO INDEXADO'!BA46,IF('INTRODUCIR DATOS'!$D$20="JULIO",'RESULTADO INDEXADO'!BH46,IF('INTRODUCIR DATOS'!$D$20="AGOSTO",'RESULTADO INDEXADO'!BO46,IF('INTRODUCIR DATOS'!$D$20="SEPTIEMBRE",'RESULTADO INDEXADO'!BV46,IF('INTRODUCIR DATOS'!$D$20="OCTUBRE",'RESULTADO INDEXADO'!CC46,IF('INTRODUCIR DATOS'!$D$20="NOVIEMBRE",'RESULTADO INDEXADO'!CJ46,IF('INTRODUCIR DATOS'!$D$20="DICIEMBRE",'RESULTADO INDEXADO'!CQ46))))))))))))</f>
        <v>0</v>
      </c>
      <c r="I46" s="257" t="b">
        <f>IF('INTRODUCIR DATOS'!$D$20="ENERO",'RESULTADO INDEXADO'!S46,IF('INTRODUCIR DATOS'!$D$20="FEBRERO",'RESULTADO INDEXADO'!Z46,IF('INTRODUCIR DATOS'!$D$20="MARZO",'RESULTADO INDEXADO'!AG46,IF('INTRODUCIR DATOS'!$D$20="ABRIL",'RESULTADO INDEXADO'!AN46,IF('INTRODUCIR DATOS'!$D$20="MAYO",'RESULTADO INDEXADO'!AU46,IF('INTRODUCIR DATOS'!$D$20="JUNIO",'RESULTADO INDEXADO'!BB46,IF('INTRODUCIR DATOS'!$D$20="JULIO",'RESULTADO INDEXADO'!BI46,IF('INTRODUCIR DATOS'!$D$20="AGOSTO",'RESULTADO INDEXADO'!BP46,IF('INTRODUCIR DATOS'!$D$20="SEPTIEMBRE",'RESULTADO INDEXADO'!BW46,IF('INTRODUCIR DATOS'!$D$20="OCTUBRE",'RESULTADO INDEXADO'!CD46,IF('INTRODUCIR DATOS'!$D$20="NOVIEMBRE",'RESULTADO INDEXADO'!CK46,IF('INTRODUCIR DATOS'!$D$20="DICIEMBRE",'RESULTADO INDEXADO'!CR46))))))))))))</f>
        <v>0</v>
      </c>
      <c r="J46" s="296" t="b">
        <f>IF('INTRODUCIR DATOS'!$D$20="ENERO",'RESULTADO INDEXADO'!T46,IF('INTRODUCIR DATOS'!$D$20="FEBRERO",'RESULTADO INDEXADO'!AA46,IF('INTRODUCIR DATOS'!$D$20="MARZO",'RESULTADO INDEXADO'!AH46,IF('INTRODUCIR DATOS'!$D$20="ABRIL",'RESULTADO INDEXADO'!AO46,IF('INTRODUCIR DATOS'!$D$20="MAYO",'RESULTADO INDEXADO'!AV46,IF('INTRODUCIR DATOS'!$D$20="JUNIO",'RESULTADO INDEXADO'!BC46,IF('INTRODUCIR DATOS'!$D$20="JULIO",'RESULTADO INDEXADO'!BJ46,IF('INTRODUCIR DATOS'!$D$20="AGOSTO",'RESULTADO INDEXADO'!BQ46,IF('INTRODUCIR DATOS'!$D$20="SEPTIEMBRE",'RESULTADO INDEXADO'!BX46,IF('INTRODUCIR DATOS'!$D$20="OCTUBRE",'RESULTADO INDEXADO'!CE46,IF('INTRODUCIR DATOS'!$D$20="NOVIEMBRE",'RESULTADO INDEXADO'!CL46,IF('INTRODUCIR DATOS'!$D$20="DICIEMBRE",'RESULTADO INDEXADO'!CS46))))))))))))</f>
        <v>0</v>
      </c>
      <c r="K46" s="41"/>
      <c r="L46" s="40"/>
      <c r="M46" s="145"/>
      <c r="N46" s="275" t="s">
        <v>134</v>
      </c>
      <c r="O46" s="267">
        <v>7.0552000000000004E-2</v>
      </c>
      <c r="P46" s="256">
        <v>8.1620000000000009E-3</v>
      </c>
      <c r="Q46" s="257"/>
      <c r="R46" s="257"/>
      <c r="S46" s="257"/>
      <c r="T46" s="296"/>
      <c r="U46" s="275" t="s">
        <v>134</v>
      </c>
      <c r="V46" s="267">
        <v>7.0552000000000004E-2</v>
      </c>
      <c r="W46" s="256">
        <v>8.1620000000000009E-3</v>
      </c>
      <c r="X46" s="257"/>
      <c r="Y46" s="257"/>
      <c r="Z46" s="257"/>
      <c r="AA46" s="296"/>
      <c r="AB46" s="275" t="s">
        <v>134</v>
      </c>
      <c r="AC46" s="267">
        <v>7.0552000000000004E-2</v>
      </c>
      <c r="AD46" s="256">
        <v>8.1620000000000009E-3</v>
      </c>
      <c r="AE46" s="257"/>
      <c r="AF46" s="257"/>
      <c r="AG46" s="257"/>
      <c r="AH46" s="296"/>
      <c r="AI46" s="275" t="s">
        <v>134</v>
      </c>
      <c r="AJ46" s="267">
        <v>7.0552000000000004E-2</v>
      </c>
      <c r="AK46" s="256">
        <v>8.1620000000000009E-3</v>
      </c>
      <c r="AL46" s="257"/>
      <c r="AM46" s="257"/>
      <c r="AN46" s="257"/>
      <c r="AO46" s="296"/>
      <c r="AP46" s="275" t="s">
        <v>134</v>
      </c>
      <c r="AQ46" s="267">
        <v>7.0552000000000004E-2</v>
      </c>
      <c r="AR46" s="256">
        <v>8.1620000000000009E-3</v>
      </c>
      <c r="AS46" s="257"/>
      <c r="AT46" s="257"/>
      <c r="AU46" s="257"/>
      <c r="AV46" s="296"/>
      <c r="AW46" s="275" t="s">
        <v>134</v>
      </c>
      <c r="AX46" s="267">
        <v>7.0552000000000004E-2</v>
      </c>
      <c r="AY46" s="256">
        <v>8.1620000000000009E-3</v>
      </c>
      <c r="AZ46" s="257"/>
      <c r="BA46" s="257"/>
      <c r="BB46" s="257"/>
      <c r="BC46" s="296"/>
      <c r="BD46" s="275" t="s">
        <v>134</v>
      </c>
      <c r="BE46" s="267">
        <v>7.0552000000000004E-2</v>
      </c>
      <c r="BF46" s="256">
        <v>8.1620000000000009E-3</v>
      </c>
      <c r="BG46" s="257"/>
      <c r="BH46" s="257"/>
      <c r="BI46" s="257"/>
      <c r="BJ46" s="296"/>
      <c r="BK46" s="275" t="s">
        <v>134</v>
      </c>
      <c r="BL46" s="267">
        <v>7.0552000000000004E-2</v>
      </c>
      <c r="BM46" s="256">
        <v>8.1620000000000009E-3</v>
      </c>
      <c r="BN46" s="257"/>
      <c r="BO46" s="257"/>
      <c r="BP46" s="257"/>
      <c r="BQ46" s="296"/>
      <c r="BR46" s="275" t="s">
        <v>134</v>
      </c>
      <c r="BS46" s="267">
        <v>7.0552000000000004E-2</v>
      </c>
      <c r="BT46" s="256">
        <v>8.1620000000000009E-3</v>
      </c>
      <c r="BU46" s="257"/>
      <c r="BV46" s="257"/>
      <c r="BW46" s="257"/>
      <c r="BX46" s="296"/>
      <c r="BY46" s="275" t="s">
        <v>134</v>
      </c>
      <c r="BZ46" s="267">
        <v>7.0552000000000004E-2</v>
      </c>
      <c r="CA46" s="256">
        <v>8.1620000000000009E-3</v>
      </c>
      <c r="CB46" s="257"/>
      <c r="CC46" s="257"/>
      <c r="CD46" s="257"/>
      <c r="CE46" s="296"/>
      <c r="CF46" s="275" t="s">
        <v>134</v>
      </c>
      <c r="CG46" s="267">
        <v>7.0552000000000004E-2</v>
      </c>
      <c r="CH46" s="256">
        <v>8.1620000000000009E-3</v>
      </c>
      <c r="CI46" s="257"/>
      <c r="CJ46" s="257"/>
      <c r="CK46" s="257"/>
      <c r="CL46" s="296"/>
      <c r="CM46" s="275" t="s">
        <v>134</v>
      </c>
      <c r="CN46" s="267">
        <v>7.0552000000000004E-2</v>
      </c>
      <c r="CO46" s="256">
        <v>8.1620000000000009E-3</v>
      </c>
      <c r="CP46" s="257"/>
      <c r="CQ46" s="257"/>
      <c r="CR46" s="257"/>
      <c r="CS46" s="296"/>
    </row>
    <row r="47" spans="1:97">
      <c r="A47" s="41" t="s">
        <v>142</v>
      </c>
      <c r="B47" s="40" t="s">
        <v>78</v>
      </c>
      <c r="C47" s="145" t="s">
        <v>34</v>
      </c>
      <c r="D47" s="310" t="s">
        <v>136</v>
      </c>
      <c r="E47" s="266" t="b">
        <f>IF('INTRODUCIR DATOS'!$D$20="ENERO",'RESULTADO INDEXADO'!O47,IF('INTRODUCIR DATOS'!$D$20="FEBRERO",'RESULTADO INDEXADO'!V47,IF('INTRODUCIR DATOS'!$D$20="MARZO",'RESULTADO INDEXADO'!AC47,IF('INTRODUCIR DATOS'!$D$20="ABRIL",'RESULTADO INDEXADO'!AJ47,IF('INTRODUCIR DATOS'!$D$20="MAYO",'RESULTADO INDEXADO'!AQ47,IF('INTRODUCIR DATOS'!$D$20="JUNIO",'RESULTADO INDEXADO'!AX47,IF('INTRODUCIR DATOS'!$D$20="JULIO",'RESULTADO INDEXADO'!BE47,IF('INTRODUCIR DATOS'!$D$20="AGOSTO",'RESULTADO INDEXADO'!BL47,IF('INTRODUCIR DATOS'!$D$20="SEPTIEMBRE",'RESULTADO INDEXADO'!BS47,IF('INTRODUCIR DATOS'!$D$20="OCTUBRE",'RESULTADO INDEXADO'!BZ47,IF('INTRODUCIR DATOS'!$D$20="NOVIEMBRE",'RESULTADO INDEXADO'!CG47,IF('INTRODUCIR DATOS'!$D$20="DICIEMBRE",'RESULTADO INDEXADO'!CN47))))))))))))</f>
        <v>0</v>
      </c>
      <c r="F47" s="253" t="b">
        <f>IF('INTRODUCIR DATOS'!$D$20="ENERO",'RESULTADO INDEXADO'!P47,IF('INTRODUCIR DATOS'!$D$20="FEBRERO",'RESULTADO INDEXADO'!W47,IF('INTRODUCIR DATOS'!$D$20="MARZO",'RESULTADO INDEXADO'!AD47,IF('INTRODUCIR DATOS'!$D$20="ABRIL",'RESULTADO INDEXADO'!AK47,IF('INTRODUCIR DATOS'!$D$20="MAYO",'RESULTADO INDEXADO'!AR47,IF('INTRODUCIR DATOS'!$D$20="JUNIO",'RESULTADO INDEXADO'!AY47,IF('INTRODUCIR DATOS'!$D$20="JULIO",'RESULTADO INDEXADO'!BF47,IF('INTRODUCIR DATOS'!$D$20="AGOSTO",'RESULTADO INDEXADO'!BM47,IF('INTRODUCIR DATOS'!$D$20="SEPTIEMBRE",'RESULTADO INDEXADO'!BT47,IF('INTRODUCIR DATOS'!$D$20="OCTUBRE",'RESULTADO INDEXADO'!CA47,IF('INTRODUCIR DATOS'!$D$20="NOVIEMBRE",'RESULTADO INDEXADO'!CH47,IF('INTRODUCIR DATOS'!$D$20="DICIEMBRE",'RESULTADO INDEXADO'!CO47))))))))))))</f>
        <v>0</v>
      </c>
      <c r="G47" s="253" t="b">
        <f>IF('INTRODUCIR DATOS'!$D$20="ENERO",'RESULTADO INDEXADO'!Q47,IF('INTRODUCIR DATOS'!$D$20="FEBRERO",'RESULTADO INDEXADO'!X47,IF('INTRODUCIR DATOS'!$D$20="MARZO",'RESULTADO INDEXADO'!AE47,IF('INTRODUCIR DATOS'!$D$20="ABRIL",'RESULTADO INDEXADO'!AL47,IF('INTRODUCIR DATOS'!$D$20="MAYO",'RESULTADO INDEXADO'!AS47,IF('INTRODUCIR DATOS'!$D$20="JUNIO",'RESULTADO INDEXADO'!AZ47,IF('INTRODUCIR DATOS'!$D$20="JULIO",'RESULTADO INDEXADO'!BG47,IF('INTRODUCIR DATOS'!$D$20="AGOSTO",'RESULTADO INDEXADO'!BN47,IF('INTRODUCIR DATOS'!$D$20="SEPTIEMBRE",'RESULTADO INDEXADO'!BU47,IF('INTRODUCIR DATOS'!$D$20="OCTUBRE",'RESULTADO INDEXADO'!CB47,IF('INTRODUCIR DATOS'!$D$20="NOVIEMBRE",'RESULTADO INDEXADO'!CI47,IF('INTRODUCIR DATOS'!$D$20="DICIEMBRE",'RESULTADO INDEXADO'!CP47))))))))))))</f>
        <v>0</v>
      </c>
      <c r="H47" s="254" t="b">
        <f>IF('INTRODUCIR DATOS'!$D$20="ENERO",'RESULTADO INDEXADO'!R47,IF('INTRODUCIR DATOS'!$D$20="FEBRERO",'RESULTADO INDEXADO'!Y47,IF('INTRODUCIR DATOS'!$D$20="MARZO",'RESULTADO INDEXADO'!AF47,IF('INTRODUCIR DATOS'!$D$20="ABRIL",'RESULTADO INDEXADO'!AM47,IF('INTRODUCIR DATOS'!$D$20="MAYO",'RESULTADO INDEXADO'!AT47,IF('INTRODUCIR DATOS'!$D$20="JUNIO",'RESULTADO INDEXADO'!BA47,IF('INTRODUCIR DATOS'!$D$20="JULIO",'RESULTADO INDEXADO'!BH47,IF('INTRODUCIR DATOS'!$D$20="AGOSTO",'RESULTADO INDEXADO'!BO47,IF('INTRODUCIR DATOS'!$D$20="SEPTIEMBRE",'RESULTADO INDEXADO'!BV47,IF('INTRODUCIR DATOS'!$D$20="OCTUBRE",'RESULTADO INDEXADO'!CC47,IF('INTRODUCIR DATOS'!$D$20="NOVIEMBRE",'RESULTADO INDEXADO'!CJ47,IF('INTRODUCIR DATOS'!$D$20="DICIEMBRE",'RESULTADO INDEXADO'!CQ47))))))))))))</f>
        <v>0</v>
      </c>
      <c r="I47" s="254" t="b">
        <f>IF('INTRODUCIR DATOS'!$D$20="ENERO",'RESULTADO INDEXADO'!S47,IF('INTRODUCIR DATOS'!$D$20="FEBRERO",'RESULTADO INDEXADO'!Z47,IF('INTRODUCIR DATOS'!$D$20="MARZO",'RESULTADO INDEXADO'!AG47,IF('INTRODUCIR DATOS'!$D$20="ABRIL",'RESULTADO INDEXADO'!AN47,IF('INTRODUCIR DATOS'!$D$20="MAYO",'RESULTADO INDEXADO'!AU47,IF('INTRODUCIR DATOS'!$D$20="JUNIO",'RESULTADO INDEXADO'!BB47,IF('INTRODUCIR DATOS'!$D$20="JULIO",'RESULTADO INDEXADO'!BI47,IF('INTRODUCIR DATOS'!$D$20="AGOSTO",'RESULTADO INDEXADO'!BP47,IF('INTRODUCIR DATOS'!$D$20="SEPTIEMBRE",'RESULTADO INDEXADO'!BW47,IF('INTRODUCIR DATOS'!$D$20="OCTUBRE",'RESULTADO INDEXADO'!CD47,IF('INTRODUCIR DATOS'!$D$20="NOVIEMBRE",'RESULTADO INDEXADO'!CK47,IF('INTRODUCIR DATOS'!$D$20="DICIEMBRE",'RESULTADO INDEXADO'!CR47))))))))))))</f>
        <v>0</v>
      </c>
      <c r="J47" s="295" t="b">
        <f>IF('INTRODUCIR DATOS'!$D$20="ENERO",'RESULTADO INDEXADO'!T47,IF('INTRODUCIR DATOS'!$D$20="FEBRERO",'RESULTADO INDEXADO'!AA47,IF('INTRODUCIR DATOS'!$D$20="MARZO",'RESULTADO INDEXADO'!AH47,IF('INTRODUCIR DATOS'!$D$20="ABRIL",'RESULTADO INDEXADO'!AO47,IF('INTRODUCIR DATOS'!$D$20="MAYO",'RESULTADO INDEXADO'!AV47,IF('INTRODUCIR DATOS'!$D$20="JUNIO",'RESULTADO INDEXADO'!BC47,IF('INTRODUCIR DATOS'!$D$20="JULIO",'RESULTADO INDEXADO'!BJ47,IF('INTRODUCIR DATOS'!$D$20="AGOSTO",'RESULTADO INDEXADO'!BQ47,IF('INTRODUCIR DATOS'!$D$20="SEPTIEMBRE",'RESULTADO INDEXADO'!BX47,IF('INTRODUCIR DATOS'!$D$20="OCTUBRE",'RESULTADO INDEXADO'!CE47,IF('INTRODUCIR DATOS'!$D$20="NOVIEMBRE",'RESULTADO INDEXADO'!CL47,IF('INTRODUCIR DATOS'!$D$20="DICIEMBRE",'RESULTADO INDEXADO'!CS47))))))))))))</f>
        <v>0</v>
      </c>
      <c r="K47" s="290">
        <f>('INTRODUCIR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DATOS'!$D$17)+'INTRODUCIR DATOS'!$D$15+'INTRODUCIR DATOS'!$D$16+IF('INTRODUCIR DATOS'!$D$21=21%,(('INTRODUCIR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DATOS'!$D$17)+'INTRODUCIR DATOS'!$D$16)*21/100,IF('INTRODUCIR DATOS'!$D$21=10%,(('INTRODUCIR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DATOS'!$D$17)+'INTRODUCIR DATOS'!$D$16)*10/100))</f>
        <v>1.0285</v>
      </c>
      <c r="L47" s="292">
        <f>IF(K47=0,"",'INTRODUCIR DATOS'!$D$14-K47)</f>
        <v>113.12150000000001</v>
      </c>
      <c r="M47" s="271">
        <f>IF(K47=0,"",('INTRODUCIR DATOS'!$D$14-K47)/'INTRODUCIR DATOS'!$D$14)</f>
        <v>0.99098992553657472</v>
      </c>
      <c r="N47" s="274" t="s">
        <v>136</v>
      </c>
      <c r="O47" s="266">
        <v>0.155445</v>
      </c>
      <c r="P47" s="253">
        <v>0.13605800000000001</v>
      </c>
      <c r="Q47" s="253">
        <v>9.3565999999999996E-2</v>
      </c>
      <c r="R47" s="254"/>
      <c r="S47" s="254"/>
      <c r="T47" s="295"/>
      <c r="U47" s="274" t="s">
        <v>136</v>
      </c>
      <c r="V47" s="266">
        <v>0.108416</v>
      </c>
      <c r="W47" s="253">
        <v>8.8461999999999999E-2</v>
      </c>
      <c r="X47" s="253">
        <v>5.4135999999999997E-2</v>
      </c>
      <c r="Y47" s="254"/>
      <c r="Z47" s="254"/>
      <c r="AA47" s="295"/>
      <c r="AB47" s="274" t="s">
        <v>136</v>
      </c>
      <c r="AC47" s="266">
        <v>0.123477</v>
      </c>
      <c r="AD47" s="253">
        <v>0.106929</v>
      </c>
      <c r="AE47" s="253">
        <v>8.1642999999999993E-2</v>
      </c>
      <c r="AF47" s="254"/>
      <c r="AG47" s="254"/>
      <c r="AH47" s="295"/>
      <c r="AI47" s="274" t="s">
        <v>136</v>
      </c>
      <c r="AJ47" s="266">
        <v>0.146423</v>
      </c>
      <c r="AK47" s="253">
        <v>0.13117100000000001</v>
      </c>
      <c r="AL47" s="253">
        <v>0.106877</v>
      </c>
      <c r="AM47" s="254"/>
      <c r="AN47" s="254"/>
      <c r="AO47" s="295"/>
      <c r="AP47" s="274" t="s">
        <v>136</v>
      </c>
      <c r="AQ47" s="254">
        <v>0.148228</v>
      </c>
      <c r="AR47" s="254">
        <v>0.133966</v>
      </c>
      <c r="AS47" s="295">
        <v>0.107054</v>
      </c>
      <c r="AT47" s="254"/>
      <c r="AU47" s="254"/>
      <c r="AV47" s="295"/>
      <c r="AW47" s="274" t="s">
        <v>136</v>
      </c>
      <c r="AX47" s="266">
        <v>0.163019</v>
      </c>
      <c r="AY47" s="253">
        <v>0.148447</v>
      </c>
      <c r="AZ47" s="253">
        <v>0.12354800000000001</v>
      </c>
      <c r="BA47" s="254"/>
      <c r="BB47" s="254"/>
      <c r="BC47" s="295"/>
      <c r="BD47" s="274" t="s">
        <v>136</v>
      </c>
      <c r="BE47" s="266">
        <v>0.17268700000000001</v>
      </c>
      <c r="BF47" s="253">
        <v>0.15839800000000001</v>
      </c>
      <c r="BG47" s="253">
        <v>0.13409299999999999</v>
      </c>
      <c r="BH47" s="254"/>
      <c r="BI47" s="254"/>
      <c r="BJ47" s="295"/>
      <c r="BK47" s="274" t="s">
        <v>136</v>
      </c>
      <c r="BL47" s="266">
        <v>0.19104699999999999</v>
      </c>
      <c r="BM47" s="253">
        <v>0.17680599999999999</v>
      </c>
      <c r="BN47" s="253">
        <v>0.149145</v>
      </c>
      <c r="BO47" s="254"/>
      <c r="BP47" s="254"/>
      <c r="BQ47" s="295"/>
      <c r="BR47" s="274" t="s">
        <v>136</v>
      </c>
      <c r="BS47" s="266"/>
      <c r="BT47" s="253"/>
      <c r="BU47" s="253"/>
      <c r="BV47" s="254"/>
      <c r="BW47" s="254"/>
      <c r="BX47" s="295"/>
      <c r="BY47" s="274" t="s">
        <v>136</v>
      </c>
      <c r="BZ47" s="266"/>
      <c r="CA47" s="253"/>
      <c r="CB47" s="253"/>
      <c r="CC47" s="254"/>
      <c r="CD47" s="254"/>
      <c r="CE47" s="295"/>
      <c r="CF47" s="274" t="s">
        <v>136</v>
      </c>
      <c r="CG47" s="266"/>
      <c r="CH47" s="253"/>
      <c r="CI47" s="253"/>
      <c r="CJ47" s="254"/>
      <c r="CK47" s="254"/>
      <c r="CL47" s="295"/>
      <c r="CM47" s="274" t="s">
        <v>136</v>
      </c>
      <c r="CN47" s="266"/>
      <c r="CO47" s="253"/>
      <c r="CP47" s="253"/>
      <c r="CQ47" s="254"/>
      <c r="CR47" s="254"/>
      <c r="CS47" s="295"/>
    </row>
    <row r="48" spans="1:97">
      <c r="A48" s="41" t="s">
        <v>142</v>
      </c>
      <c r="B48" s="40" t="s">
        <v>81</v>
      </c>
      <c r="C48" s="145" t="s">
        <v>34</v>
      </c>
      <c r="D48" s="311" t="s">
        <v>134</v>
      </c>
      <c r="E48" s="267" t="b">
        <f>IF('INTRODUCIR DATOS'!$D$20="ENERO",'RESULTADO INDEXADO'!O48,IF('INTRODUCIR DATOS'!$D$20="FEBRERO",'RESULTADO INDEXADO'!V48,IF('INTRODUCIR DATOS'!$D$20="MARZO",'RESULTADO INDEXADO'!AC48,IF('INTRODUCIR DATOS'!$D$20="ABRIL",'RESULTADO INDEXADO'!AJ48,IF('INTRODUCIR DATOS'!$D$20="MAYO",'RESULTADO INDEXADO'!AQ48,IF('INTRODUCIR DATOS'!$D$20="JUNIO",'RESULTADO INDEXADO'!AX48,IF('INTRODUCIR DATOS'!$D$20="JULIO",'RESULTADO INDEXADO'!BE48,IF('INTRODUCIR DATOS'!$D$20="AGOSTO",'RESULTADO INDEXADO'!BL48,IF('INTRODUCIR DATOS'!$D$20="SEPTIEMBRE",'RESULTADO INDEXADO'!BS48,IF('INTRODUCIR DATOS'!$D$20="OCTUBRE",'RESULTADO INDEXADO'!BZ48,IF('INTRODUCIR DATOS'!$D$20="NOVIEMBRE",'RESULTADO INDEXADO'!CG48,IF('INTRODUCIR DATOS'!$D$20="DICIEMBRE",'RESULTADO INDEXADO'!CN48))))))))))))</f>
        <v>0</v>
      </c>
      <c r="F48" s="256" t="b">
        <f>IF('INTRODUCIR DATOS'!$D$20="ENERO",'RESULTADO INDEXADO'!P48,IF('INTRODUCIR DATOS'!$D$20="FEBRERO",'RESULTADO INDEXADO'!W48,IF('INTRODUCIR DATOS'!$D$20="MARZO",'RESULTADO INDEXADO'!AD48,IF('INTRODUCIR DATOS'!$D$20="ABRIL",'RESULTADO INDEXADO'!AK48,IF('INTRODUCIR DATOS'!$D$20="MAYO",'RESULTADO INDEXADO'!AR48,IF('INTRODUCIR DATOS'!$D$20="JUNIO",'RESULTADO INDEXADO'!AY48,IF('INTRODUCIR DATOS'!$D$20="JULIO",'RESULTADO INDEXADO'!BF48,IF('INTRODUCIR DATOS'!$D$20="AGOSTO",'RESULTADO INDEXADO'!BM48,IF('INTRODUCIR DATOS'!$D$20="SEPTIEMBRE",'RESULTADO INDEXADO'!BT48,IF('INTRODUCIR DATOS'!$D$20="OCTUBRE",'RESULTADO INDEXADO'!CA48,IF('INTRODUCIR DATOS'!$D$20="NOVIEMBRE",'RESULTADO INDEXADO'!CH48,IF('INTRODUCIR DATOS'!$D$20="DICIEMBRE",'RESULTADO INDEXADO'!CO48))))))))))))</f>
        <v>0</v>
      </c>
      <c r="G48" s="257" t="b">
        <f>IF('INTRODUCIR DATOS'!$D$20="ENERO",'RESULTADO INDEXADO'!Q48,IF('INTRODUCIR DATOS'!$D$20="FEBRERO",'RESULTADO INDEXADO'!X48,IF('INTRODUCIR DATOS'!$D$20="MARZO",'RESULTADO INDEXADO'!AE48,IF('INTRODUCIR DATOS'!$D$20="ABRIL",'RESULTADO INDEXADO'!AL48,IF('INTRODUCIR DATOS'!$D$20="MAYO",'RESULTADO INDEXADO'!AS48,IF('INTRODUCIR DATOS'!$D$20="JUNIO",'RESULTADO INDEXADO'!AZ48,IF('INTRODUCIR DATOS'!$D$20="JULIO",'RESULTADO INDEXADO'!BG48,IF('INTRODUCIR DATOS'!$D$20="AGOSTO",'RESULTADO INDEXADO'!BN48,IF('INTRODUCIR DATOS'!$D$20="SEPTIEMBRE",'RESULTADO INDEXADO'!BU48,IF('INTRODUCIR DATOS'!$D$20="OCTUBRE",'RESULTADO INDEXADO'!CB48,IF('INTRODUCIR DATOS'!$D$20="NOVIEMBRE",'RESULTADO INDEXADO'!CI48,IF('INTRODUCIR DATOS'!$D$20="DICIEMBRE",'RESULTADO INDEXADO'!CP48))))))))))))</f>
        <v>0</v>
      </c>
      <c r="H48" s="257" t="b">
        <f>IF('INTRODUCIR DATOS'!$D$20="ENERO",'RESULTADO INDEXADO'!R48,IF('INTRODUCIR DATOS'!$D$20="FEBRERO",'RESULTADO INDEXADO'!Y48,IF('INTRODUCIR DATOS'!$D$20="MARZO",'RESULTADO INDEXADO'!AF48,IF('INTRODUCIR DATOS'!$D$20="ABRIL",'RESULTADO INDEXADO'!AM48,IF('INTRODUCIR DATOS'!$D$20="MAYO",'RESULTADO INDEXADO'!AT48,IF('INTRODUCIR DATOS'!$D$20="JUNIO",'RESULTADO INDEXADO'!BA48,IF('INTRODUCIR DATOS'!$D$20="JULIO",'RESULTADO INDEXADO'!BH48,IF('INTRODUCIR DATOS'!$D$20="AGOSTO",'RESULTADO INDEXADO'!BO48,IF('INTRODUCIR DATOS'!$D$20="SEPTIEMBRE",'RESULTADO INDEXADO'!BV48,IF('INTRODUCIR DATOS'!$D$20="OCTUBRE",'RESULTADO INDEXADO'!CC48,IF('INTRODUCIR DATOS'!$D$20="NOVIEMBRE",'RESULTADO INDEXADO'!CJ48,IF('INTRODUCIR DATOS'!$D$20="DICIEMBRE",'RESULTADO INDEXADO'!CQ48))))))))))))</f>
        <v>0</v>
      </c>
      <c r="I48" s="257" t="b">
        <f>IF('INTRODUCIR DATOS'!$D$20="ENERO",'RESULTADO INDEXADO'!S48,IF('INTRODUCIR DATOS'!$D$20="FEBRERO",'RESULTADO INDEXADO'!Z48,IF('INTRODUCIR DATOS'!$D$20="MARZO",'RESULTADO INDEXADO'!AG48,IF('INTRODUCIR DATOS'!$D$20="ABRIL",'RESULTADO INDEXADO'!AN48,IF('INTRODUCIR DATOS'!$D$20="MAYO",'RESULTADO INDEXADO'!AU48,IF('INTRODUCIR DATOS'!$D$20="JUNIO",'RESULTADO INDEXADO'!BB48,IF('INTRODUCIR DATOS'!$D$20="JULIO",'RESULTADO INDEXADO'!BI48,IF('INTRODUCIR DATOS'!$D$20="AGOSTO",'RESULTADO INDEXADO'!BP48,IF('INTRODUCIR DATOS'!$D$20="SEPTIEMBRE",'RESULTADO INDEXADO'!BW48,IF('INTRODUCIR DATOS'!$D$20="OCTUBRE",'RESULTADO INDEXADO'!CD48,IF('INTRODUCIR DATOS'!$D$20="NOVIEMBRE",'RESULTADO INDEXADO'!CK48,IF('INTRODUCIR DATOS'!$D$20="DICIEMBRE",'RESULTADO INDEXADO'!CR48))))))))))))</f>
        <v>0</v>
      </c>
      <c r="J48" s="296" t="b">
        <f>IF('INTRODUCIR DATOS'!$D$20="ENERO",'RESULTADO INDEXADO'!T48,IF('INTRODUCIR DATOS'!$D$20="FEBRERO",'RESULTADO INDEXADO'!AA48,IF('INTRODUCIR DATOS'!$D$20="MARZO",'RESULTADO INDEXADO'!AH48,IF('INTRODUCIR DATOS'!$D$20="ABRIL",'RESULTADO INDEXADO'!AO48,IF('INTRODUCIR DATOS'!$D$20="MAYO",'RESULTADO INDEXADO'!AV48,IF('INTRODUCIR DATOS'!$D$20="JUNIO",'RESULTADO INDEXADO'!BC48,IF('INTRODUCIR DATOS'!$D$20="JULIO",'RESULTADO INDEXADO'!BJ48,IF('INTRODUCIR DATOS'!$D$20="AGOSTO",'RESULTADO INDEXADO'!BQ48,IF('INTRODUCIR DATOS'!$D$20="SEPTIEMBRE",'RESULTADO INDEXADO'!BX48,IF('INTRODUCIR DATOS'!$D$20="OCTUBRE",'RESULTADO INDEXADO'!CE48,IF('INTRODUCIR DATOS'!$D$20="NOVIEMBRE",'RESULTADO INDEXADO'!CL48,IF('INTRODUCIR DATOS'!$D$20="DICIEMBRE",'RESULTADO INDEXADO'!CS48))))))))))))</f>
        <v>0</v>
      </c>
      <c r="K48" s="41"/>
      <c r="L48" s="40"/>
      <c r="M48" s="145"/>
      <c r="N48" s="275" t="s">
        <v>134</v>
      </c>
      <c r="O48" s="267">
        <v>6.5072000000000005E-2</v>
      </c>
      <c r="P48" s="256">
        <v>2.6830000000000001E-3</v>
      </c>
      <c r="Q48" s="257"/>
      <c r="R48" s="257"/>
      <c r="S48" s="257"/>
      <c r="T48" s="296"/>
      <c r="U48" s="275" t="s">
        <v>134</v>
      </c>
      <c r="V48" s="267">
        <v>6.5072000000000005E-2</v>
      </c>
      <c r="W48" s="256">
        <v>2.6830000000000001E-3</v>
      </c>
      <c r="X48" s="257"/>
      <c r="Y48" s="257"/>
      <c r="Z48" s="257"/>
      <c r="AA48" s="296"/>
      <c r="AB48" s="275" t="s">
        <v>134</v>
      </c>
      <c r="AC48" s="267">
        <v>6.5072000000000005E-2</v>
      </c>
      <c r="AD48" s="256">
        <v>2.6830000000000001E-3</v>
      </c>
      <c r="AE48" s="257"/>
      <c r="AF48" s="257"/>
      <c r="AG48" s="257"/>
      <c r="AH48" s="296"/>
      <c r="AI48" s="275" t="s">
        <v>134</v>
      </c>
      <c r="AJ48" s="267">
        <v>6.5072000000000005E-2</v>
      </c>
      <c r="AK48" s="256">
        <v>2.6830000000000001E-3</v>
      </c>
      <c r="AL48" s="257"/>
      <c r="AM48" s="257"/>
      <c r="AN48" s="257"/>
      <c r="AO48" s="296"/>
      <c r="AP48" s="275" t="s">
        <v>134</v>
      </c>
      <c r="AQ48" s="267">
        <v>6.5072000000000005E-2</v>
      </c>
      <c r="AR48" s="256">
        <v>2.6830000000000001E-3</v>
      </c>
      <c r="AS48" s="257"/>
      <c r="AT48" s="257"/>
      <c r="AU48" s="257"/>
      <c r="AV48" s="296"/>
      <c r="AW48" s="275" t="s">
        <v>134</v>
      </c>
      <c r="AX48" s="267">
        <v>6.5072000000000005E-2</v>
      </c>
      <c r="AY48" s="256">
        <v>2.6830000000000001E-3</v>
      </c>
      <c r="AZ48" s="257"/>
      <c r="BA48" s="257"/>
      <c r="BB48" s="257"/>
      <c r="BC48" s="296"/>
      <c r="BD48" s="275" t="s">
        <v>134</v>
      </c>
      <c r="BE48" s="267">
        <v>6.5072000000000005E-2</v>
      </c>
      <c r="BF48" s="256">
        <v>2.6830000000000001E-3</v>
      </c>
      <c r="BG48" s="257"/>
      <c r="BH48" s="257"/>
      <c r="BI48" s="257"/>
      <c r="BJ48" s="296"/>
      <c r="BK48" s="275" t="s">
        <v>134</v>
      </c>
      <c r="BL48" s="267">
        <v>6.5072000000000005E-2</v>
      </c>
      <c r="BM48" s="256">
        <v>2.6830000000000001E-3</v>
      </c>
      <c r="BN48" s="257"/>
      <c r="BO48" s="257"/>
      <c r="BP48" s="257"/>
      <c r="BQ48" s="296"/>
      <c r="BR48" s="275" t="s">
        <v>134</v>
      </c>
      <c r="BS48" s="267">
        <v>6.5072000000000005E-2</v>
      </c>
      <c r="BT48" s="256">
        <v>2.6830000000000001E-3</v>
      </c>
      <c r="BU48" s="257"/>
      <c r="BV48" s="257"/>
      <c r="BW48" s="257"/>
      <c r="BX48" s="296"/>
      <c r="BY48" s="275" t="s">
        <v>134</v>
      </c>
      <c r="BZ48" s="267">
        <v>6.5072000000000005E-2</v>
      </c>
      <c r="CA48" s="256">
        <v>2.6830000000000001E-3</v>
      </c>
      <c r="CB48" s="257"/>
      <c r="CC48" s="257"/>
      <c r="CD48" s="257"/>
      <c r="CE48" s="296"/>
      <c r="CF48" s="275" t="s">
        <v>134</v>
      </c>
      <c r="CG48" s="267">
        <v>6.5072000000000005E-2</v>
      </c>
      <c r="CH48" s="256">
        <v>2.6830000000000001E-3</v>
      </c>
      <c r="CI48" s="257"/>
      <c r="CJ48" s="257"/>
      <c r="CK48" s="257"/>
      <c r="CL48" s="296"/>
      <c r="CM48" s="275" t="s">
        <v>134</v>
      </c>
      <c r="CN48" s="267">
        <v>6.5072000000000005E-2</v>
      </c>
      <c r="CO48" s="256">
        <v>2.6830000000000001E-3</v>
      </c>
      <c r="CP48" s="257"/>
      <c r="CQ48" s="257"/>
      <c r="CR48" s="257"/>
      <c r="CS48" s="296"/>
    </row>
    <row r="49" spans="1:97">
      <c r="A49" s="41" t="s">
        <v>142</v>
      </c>
      <c r="B49" s="40" t="s">
        <v>81</v>
      </c>
      <c r="C49" s="145" t="s">
        <v>34</v>
      </c>
      <c r="D49" s="310" t="s">
        <v>136</v>
      </c>
      <c r="E49" s="266" t="b">
        <f>IF('INTRODUCIR DATOS'!$D$20="ENERO",'RESULTADO INDEXADO'!O49,IF('INTRODUCIR DATOS'!$D$20="FEBRERO",'RESULTADO INDEXADO'!V49,IF('INTRODUCIR DATOS'!$D$20="MARZO",'RESULTADO INDEXADO'!AC49,IF('INTRODUCIR DATOS'!$D$20="ABRIL",'RESULTADO INDEXADO'!AJ49,IF('INTRODUCIR DATOS'!$D$20="MAYO",'RESULTADO INDEXADO'!AQ49,IF('INTRODUCIR DATOS'!$D$20="JUNIO",'RESULTADO INDEXADO'!AX49,IF('INTRODUCIR DATOS'!$D$20="JULIO",'RESULTADO INDEXADO'!BE49,IF('INTRODUCIR DATOS'!$D$20="AGOSTO",'RESULTADO INDEXADO'!BL49,IF('INTRODUCIR DATOS'!$D$20="SEPTIEMBRE",'RESULTADO INDEXADO'!BS49,IF('INTRODUCIR DATOS'!$D$20="OCTUBRE",'RESULTADO INDEXADO'!BZ49,IF('INTRODUCIR DATOS'!$D$20="NOVIEMBRE",'RESULTADO INDEXADO'!CG49,IF('INTRODUCIR DATOS'!$D$20="DICIEMBRE",'RESULTADO INDEXADO'!CN49))))))))))))</f>
        <v>0</v>
      </c>
      <c r="F49" s="253" t="b">
        <f>IF('INTRODUCIR DATOS'!$D$20="ENERO",'RESULTADO INDEXADO'!P49,IF('INTRODUCIR DATOS'!$D$20="FEBRERO",'RESULTADO INDEXADO'!W49,IF('INTRODUCIR DATOS'!$D$20="MARZO",'RESULTADO INDEXADO'!AD49,IF('INTRODUCIR DATOS'!$D$20="ABRIL",'RESULTADO INDEXADO'!AK49,IF('INTRODUCIR DATOS'!$D$20="MAYO",'RESULTADO INDEXADO'!AR49,IF('INTRODUCIR DATOS'!$D$20="JUNIO",'RESULTADO INDEXADO'!AY49,IF('INTRODUCIR DATOS'!$D$20="JULIO",'RESULTADO INDEXADO'!BF49,IF('INTRODUCIR DATOS'!$D$20="AGOSTO",'RESULTADO INDEXADO'!BM49,IF('INTRODUCIR DATOS'!$D$20="SEPTIEMBRE",'RESULTADO INDEXADO'!BT49,IF('INTRODUCIR DATOS'!$D$20="OCTUBRE",'RESULTADO INDEXADO'!CA49,IF('INTRODUCIR DATOS'!$D$20="NOVIEMBRE",'RESULTADO INDEXADO'!CH49,IF('INTRODUCIR DATOS'!$D$20="DICIEMBRE",'RESULTADO INDEXADO'!CO49))))))))))))</f>
        <v>0</v>
      </c>
      <c r="G49" s="253" t="b">
        <f>IF('INTRODUCIR DATOS'!$D$20="ENERO",'RESULTADO INDEXADO'!Q49,IF('INTRODUCIR DATOS'!$D$20="FEBRERO",'RESULTADO INDEXADO'!X49,IF('INTRODUCIR DATOS'!$D$20="MARZO",'RESULTADO INDEXADO'!AE49,IF('INTRODUCIR DATOS'!$D$20="ABRIL",'RESULTADO INDEXADO'!AL49,IF('INTRODUCIR DATOS'!$D$20="MAYO",'RESULTADO INDEXADO'!AS49,IF('INTRODUCIR DATOS'!$D$20="JUNIO",'RESULTADO INDEXADO'!AZ49,IF('INTRODUCIR DATOS'!$D$20="JULIO",'RESULTADO INDEXADO'!BG49,IF('INTRODUCIR DATOS'!$D$20="AGOSTO",'RESULTADO INDEXADO'!BN49,IF('INTRODUCIR DATOS'!$D$20="SEPTIEMBRE",'RESULTADO INDEXADO'!BU49,IF('INTRODUCIR DATOS'!$D$20="OCTUBRE",'RESULTADO INDEXADO'!CB49,IF('INTRODUCIR DATOS'!$D$20="NOVIEMBRE",'RESULTADO INDEXADO'!CI49,IF('INTRODUCIR DATOS'!$D$20="DICIEMBRE",'RESULTADO INDEXADO'!CP49))))))))))))</f>
        <v>0</v>
      </c>
      <c r="H49" s="254" t="b">
        <f>IF('INTRODUCIR DATOS'!$D$20="ENERO",'RESULTADO INDEXADO'!R49,IF('INTRODUCIR DATOS'!$D$20="FEBRERO",'RESULTADO INDEXADO'!Y49,IF('INTRODUCIR DATOS'!$D$20="MARZO",'RESULTADO INDEXADO'!AF49,IF('INTRODUCIR DATOS'!$D$20="ABRIL",'RESULTADO INDEXADO'!AM49,IF('INTRODUCIR DATOS'!$D$20="MAYO",'RESULTADO INDEXADO'!AT49,IF('INTRODUCIR DATOS'!$D$20="JUNIO",'RESULTADO INDEXADO'!BA49,IF('INTRODUCIR DATOS'!$D$20="JULIO",'RESULTADO INDEXADO'!BH49,IF('INTRODUCIR DATOS'!$D$20="AGOSTO",'RESULTADO INDEXADO'!BO49,IF('INTRODUCIR DATOS'!$D$20="SEPTIEMBRE",'RESULTADO INDEXADO'!BV49,IF('INTRODUCIR DATOS'!$D$20="OCTUBRE",'RESULTADO INDEXADO'!CC49,IF('INTRODUCIR DATOS'!$D$20="NOVIEMBRE",'RESULTADO INDEXADO'!CJ49,IF('INTRODUCIR DATOS'!$D$20="DICIEMBRE",'RESULTADO INDEXADO'!CQ49))))))))))))</f>
        <v>0</v>
      </c>
      <c r="I49" s="254" t="b">
        <f>IF('INTRODUCIR DATOS'!$D$20="ENERO",'RESULTADO INDEXADO'!S49,IF('INTRODUCIR DATOS'!$D$20="FEBRERO",'RESULTADO INDEXADO'!Z49,IF('INTRODUCIR DATOS'!$D$20="MARZO",'RESULTADO INDEXADO'!AG49,IF('INTRODUCIR DATOS'!$D$20="ABRIL",'RESULTADO INDEXADO'!AN49,IF('INTRODUCIR DATOS'!$D$20="MAYO",'RESULTADO INDEXADO'!AU49,IF('INTRODUCIR DATOS'!$D$20="JUNIO",'RESULTADO INDEXADO'!BB49,IF('INTRODUCIR DATOS'!$D$20="JULIO",'RESULTADO INDEXADO'!BI49,IF('INTRODUCIR DATOS'!$D$20="AGOSTO",'RESULTADO INDEXADO'!BP49,IF('INTRODUCIR DATOS'!$D$20="SEPTIEMBRE",'RESULTADO INDEXADO'!BW49,IF('INTRODUCIR DATOS'!$D$20="OCTUBRE",'RESULTADO INDEXADO'!CD49,IF('INTRODUCIR DATOS'!$D$20="NOVIEMBRE",'RESULTADO INDEXADO'!CK49,IF('INTRODUCIR DATOS'!$D$20="DICIEMBRE",'RESULTADO INDEXADO'!CR49))))))))))))</f>
        <v>0</v>
      </c>
      <c r="J49" s="295" t="b">
        <f>IF('INTRODUCIR DATOS'!$D$20="ENERO",'RESULTADO INDEXADO'!T49,IF('INTRODUCIR DATOS'!$D$20="FEBRERO",'RESULTADO INDEXADO'!AA49,IF('INTRODUCIR DATOS'!$D$20="MARZO",'RESULTADO INDEXADO'!AH49,IF('INTRODUCIR DATOS'!$D$20="ABRIL",'RESULTADO INDEXADO'!AO49,IF('INTRODUCIR DATOS'!$D$20="MAYO",'RESULTADO INDEXADO'!AV49,IF('INTRODUCIR DATOS'!$D$20="JUNIO",'RESULTADO INDEXADO'!BC49,IF('INTRODUCIR DATOS'!$D$20="JULIO",'RESULTADO INDEXADO'!BJ49,IF('INTRODUCIR DATOS'!$D$20="AGOSTO",'RESULTADO INDEXADO'!BQ49,IF('INTRODUCIR DATOS'!$D$20="SEPTIEMBRE",'RESULTADO INDEXADO'!BX49,IF('INTRODUCIR DATOS'!$D$20="OCTUBRE",'RESULTADO INDEXADO'!CE49,IF('INTRODUCIR DATOS'!$D$20="NOVIEMBRE",'RESULTADO INDEXADO'!CL49,IF('INTRODUCIR DATOS'!$D$20="DICIEMBRE",'RESULTADO INDEXADO'!CS49))))))))))))</f>
        <v>0</v>
      </c>
      <c r="K49" s="290">
        <f>('INTRODUCIR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DATOS'!$D$17)+'INTRODUCIR DATOS'!$D$15+'INTRODUCIR DATOS'!$D$16+IF('INTRODUCIR DATOS'!$D$21=21%,(('INTRODUCIR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DATOS'!$D$17)+'INTRODUCIR DATOS'!$D$16)*21/100,IF('INTRODUCIR DATOS'!$D$21=10%,(('INTRODUCIR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DATOS'!$D$17)+'INTRODUCIR DATOS'!$D$16)*10/100))</f>
        <v>1.0285</v>
      </c>
      <c r="L49" s="292">
        <f>IF(K49=0,"",'INTRODUCIR DATOS'!$D$14-K49)</f>
        <v>113.12150000000001</v>
      </c>
      <c r="M49" s="271">
        <f>IF(K49=0,"",('INTRODUCIR DATOS'!$D$14-K49)/'INTRODUCIR DATOS'!$D$14)</f>
        <v>0.99098992553657472</v>
      </c>
      <c r="N49" s="274" t="s">
        <v>136</v>
      </c>
      <c r="O49" s="266">
        <v>0.154445</v>
      </c>
      <c r="P49" s="253">
        <v>0.13505800000000001</v>
      </c>
      <c r="Q49" s="253">
        <v>9.2565999999999996E-2</v>
      </c>
      <c r="R49" s="254"/>
      <c r="S49" s="254"/>
      <c r="T49" s="295"/>
      <c r="U49" s="274" t="s">
        <v>136</v>
      </c>
      <c r="V49" s="266">
        <v>0.107416</v>
      </c>
      <c r="W49" s="253">
        <v>8.7461999999999998E-2</v>
      </c>
      <c r="X49" s="253">
        <v>5.3136000000000003E-2</v>
      </c>
      <c r="Y49" s="254"/>
      <c r="Z49" s="254"/>
      <c r="AA49" s="295"/>
      <c r="AB49" s="274" t="s">
        <v>136</v>
      </c>
      <c r="AC49" s="266">
        <v>0.122477</v>
      </c>
      <c r="AD49" s="253">
        <v>0.105929</v>
      </c>
      <c r="AE49" s="253">
        <v>8.0643000000000006E-2</v>
      </c>
      <c r="AF49" s="254"/>
      <c r="AG49" s="254"/>
      <c r="AH49" s="295"/>
      <c r="AI49" s="274" t="s">
        <v>136</v>
      </c>
      <c r="AJ49" s="266">
        <v>0.145423</v>
      </c>
      <c r="AK49" s="253">
        <v>0.13017100000000001</v>
      </c>
      <c r="AL49" s="253">
        <v>0.105877</v>
      </c>
      <c r="AM49" s="254"/>
      <c r="AN49" s="254"/>
      <c r="AO49" s="295"/>
      <c r="AP49" s="274" t="s">
        <v>136</v>
      </c>
      <c r="AQ49" s="266">
        <v>0.147228</v>
      </c>
      <c r="AR49" s="253">
        <v>0.132966</v>
      </c>
      <c r="AS49" s="253">
        <v>0.106054</v>
      </c>
      <c r="AT49" s="254"/>
      <c r="AU49" s="254"/>
      <c r="AV49" s="295"/>
      <c r="AW49" s="274" t="s">
        <v>136</v>
      </c>
      <c r="AX49" s="266">
        <v>0.162019</v>
      </c>
      <c r="AY49" s="253">
        <v>0.14744699999999999</v>
      </c>
      <c r="AZ49" s="253">
        <v>0.122548</v>
      </c>
      <c r="BA49" s="254"/>
      <c r="BB49" s="254"/>
      <c r="BC49" s="295"/>
      <c r="BD49" s="274" t="s">
        <v>136</v>
      </c>
      <c r="BE49" s="266">
        <v>0.17168900000000001</v>
      </c>
      <c r="BF49" s="253">
        <v>0.15739800000000001</v>
      </c>
      <c r="BG49" s="253">
        <v>0.13309299999999999</v>
      </c>
      <c r="BH49" s="254"/>
      <c r="BI49" s="254"/>
      <c r="BJ49" s="295"/>
      <c r="BK49" s="274" t="s">
        <v>136</v>
      </c>
      <c r="BL49" s="266">
        <v>0.19004699999999999</v>
      </c>
      <c r="BM49" s="253">
        <v>0.17580599999999999</v>
      </c>
      <c r="BN49" s="253">
        <v>0.148145</v>
      </c>
      <c r="BO49" s="254"/>
      <c r="BP49" s="254"/>
      <c r="BQ49" s="295"/>
      <c r="BR49" s="274" t="s">
        <v>136</v>
      </c>
      <c r="BS49" s="266"/>
      <c r="BT49" s="253"/>
      <c r="BU49" s="253"/>
      <c r="BV49" s="254"/>
      <c r="BW49" s="254"/>
      <c r="BX49" s="295"/>
      <c r="BY49" s="274" t="s">
        <v>136</v>
      </c>
      <c r="BZ49" s="266"/>
      <c r="CA49" s="253"/>
      <c r="CB49" s="253"/>
      <c r="CC49" s="254"/>
      <c r="CD49" s="254"/>
      <c r="CE49" s="295"/>
      <c r="CF49" s="274" t="s">
        <v>136</v>
      </c>
      <c r="CG49" s="266"/>
      <c r="CH49" s="253"/>
      <c r="CI49" s="253"/>
      <c r="CJ49" s="254"/>
      <c r="CK49" s="254"/>
      <c r="CL49" s="295"/>
      <c r="CM49" s="274" t="s">
        <v>136</v>
      </c>
      <c r="CN49" s="266"/>
      <c r="CO49" s="253"/>
      <c r="CP49" s="253"/>
      <c r="CQ49" s="254"/>
      <c r="CR49" s="254"/>
      <c r="CS49" s="295"/>
    </row>
    <row r="50" spans="1:97">
      <c r="A50" s="41" t="s">
        <v>142</v>
      </c>
      <c r="B50" s="40" t="s">
        <v>22</v>
      </c>
      <c r="C50" s="145" t="s">
        <v>34</v>
      </c>
      <c r="D50" s="311" t="s">
        <v>134</v>
      </c>
      <c r="E50" s="267" t="b">
        <f>IF('INTRODUCIR DATOS'!$D$20="ENERO",'RESULTADO INDEXADO'!O50,IF('INTRODUCIR DATOS'!$D$20="FEBRERO",'RESULTADO INDEXADO'!V50,IF('INTRODUCIR DATOS'!$D$20="MARZO",'RESULTADO INDEXADO'!AC50,IF('INTRODUCIR DATOS'!$D$20="ABRIL",'RESULTADO INDEXADO'!AJ50,IF('INTRODUCIR DATOS'!$D$20="MAYO",'RESULTADO INDEXADO'!AQ50,IF('INTRODUCIR DATOS'!$D$20="JUNIO",'RESULTADO INDEXADO'!AX50,IF('INTRODUCIR DATOS'!$D$20="JULIO",'RESULTADO INDEXADO'!BE50,IF('INTRODUCIR DATOS'!$D$20="AGOSTO",'RESULTADO INDEXADO'!BL50,IF('INTRODUCIR DATOS'!$D$20="SEPTIEMBRE",'RESULTADO INDEXADO'!BS50,IF('INTRODUCIR DATOS'!$D$20="OCTUBRE",'RESULTADO INDEXADO'!BZ50,IF('INTRODUCIR DATOS'!$D$20="NOVIEMBRE",'RESULTADO INDEXADO'!CG50,IF('INTRODUCIR DATOS'!$D$20="DICIEMBRE",'RESULTADO INDEXADO'!CN50))))))))))))</f>
        <v>0</v>
      </c>
      <c r="F50" s="256" t="b">
        <f>IF('INTRODUCIR DATOS'!$D$20="ENERO",'RESULTADO INDEXADO'!P50,IF('INTRODUCIR DATOS'!$D$20="FEBRERO",'RESULTADO INDEXADO'!W50,IF('INTRODUCIR DATOS'!$D$20="MARZO",'RESULTADO INDEXADO'!AD50,IF('INTRODUCIR DATOS'!$D$20="ABRIL",'RESULTADO INDEXADO'!AK50,IF('INTRODUCIR DATOS'!$D$20="MAYO",'RESULTADO INDEXADO'!AR50,IF('INTRODUCIR DATOS'!$D$20="JUNIO",'RESULTADO INDEXADO'!AY50,IF('INTRODUCIR DATOS'!$D$20="JULIO",'RESULTADO INDEXADO'!BF50,IF('INTRODUCIR DATOS'!$D$20="AGOSTO",'RESULTADO INDEXADO'!BM50,IF('INTRODUCIR DATOS'!$D$20="SEPTIEMBRE",'RESULTADO INDEXADO'!BT50,IF('INTRODUCIR DATOS'!$D$20="OCTUBRE",'RESULTADO INDEXADO'!CA50,IF('INTRODUCIR DATOS'!$D$20="NOVIEMBRE",'RESULTADO INDEXADO'!CH50,IF('INTRODUCIR DATOS'!$D$20="DICIEMBRE",'RESULTADO INDEXADO'!CO50))))))))))))</f>
        <v>0</v>
      </c>
      <c r="G50" s="257" t="b">
        <f>IF('INTRODUCIR DATOS'!$D$20="ENERO",'RESULTADO INDEXADO'!Q50,IF('INTRODUCIR DATOS'!$D$20="FEBRERO",'RESULTADO INDEXADO'!X50,IF('INTRODUCIR DATOS'!$D$20="MARZO",'RESULTADO INDEXADO'!AE50,IF('INTRODUCIR DATOS'!$D$20="ABRIL",'RESULTADO INDEXADO'!AL50,IF('INTRODUCIR DATOS'!$D$20="MAYO",'RESULTADO INDEXADO'!AS50,IF('INTRODUCIR DATOS'!$D$20="JUNIO",'RESULTADO INDEXADO'!AZ50,IF('INTRODUCIR DATOS'!$D$20="JULIO",'RESULTADO INDEXADO'!BG50,IF('INTRODUCIR DATOS'!$D$20="AGOSTO",'RESULTADO INDEXADO'!BN50,IF('INTRODUCIR DATOS'!$D$20="SEPTIEMBRE",'RESULTADO INDEXADO'!BU50,IF('INTRODUCIR DATOS'!$D$20="OCTUBRE",'RESULTADO INDEXADO'!CB50,IF('INTRODUCIR DATOS'!$D$20="NOVIEMBRE",'RESULTADO INDEXADO'!CI50,IF('INTRODUCIR DATOS'!$D$20="DICIEMBRE",'RESULTADO INDEXADO'!CP50))))))))))))</f>
        <v>0</v>
      </c>
      <c r="H50" s="257" t="b">
        <f>IF('INTRODUCIR DATOS'!$D$20="ENERO",'RESULTADO INDEXADO'!R50,IF('INTRODUCIR DATOS'!$D$20="FEBRERO",'RESULTADO INDEXADO'!Y50,IF('INTRODUCIR DATOS'!$D$20="MARZO",'RESULTADO INDEXADO'!AF50,IF('INTRODUCIR DATOS'!$D$20="ABRIL",'RESULTADO INDEXADO'!AM50,IF('INTRODUCIR DATOS'!$D$20="MAYO",'RESULTADO INDEXADO'!AT50,IF('INTRODUCIR DATOS'!$D$20="JUNIO",'RESULTADO INDEXADO'!BA50,IF('INTRODUCIR DATOS'!$D$20="JULIO",'RESULTADO INDEXADO'!BH50,IF('INTRODUCIR DATOS'!$D$20="AGOSTO",'RESULTADO INDEXADO'!BO50,IF('INTRODUCIR DATOS'!$D$20="SEPTIEMBRE",'RESULTADO INDEXADO'!BV50,IF('INTRODUCIR DATOS'!$D$20="OCTUBRE",'RESULTADO INDEXADO'!CC50,IF('INTRODUCIR DATOS'!$D$20="NOVIEMBRE",'RESULTADO INDEXADO'!CJ50,IF('INTRODUCIR DATOS'!$D$20="DICIEMBRE",'RESULTADO INDEXADO'!CQ50))))))))))))</f>
        <v>0</v>
      </c>
      <c r="I50" s="257" t="b">
        <f>IF('INTRODUCIR DATOS'!$D$20="ENERO",'RESULTADO INDEXADO'!S50,IF('INTRODUCIR DATOS'!$D$20="FEBRERO",'RESULTADO INDEXADO'!Z50,IF('INTRODUCIR DATOS'!$D$20="MARZO",'RESULTADO INDEXADO'!AG50,IF('INTRODUCIR DATOS'!$D$20="ABRIL",'RESULTADO INDEXADO'!AN50,IF('INTRODUCIR DATOS'!$D$20="MAYO",'RESULTADO INDEXADO'!AU50,IF('INTRODUCIR DATOS'!$D$20="JUNIO",'RESULTADO INDEXADO'!BB50,IF('INTRODUCIR DATOS'!$D$20="JULIO",'RESULTADO INDEXADO'!BI50,IF('INTRODUCIR DATOS'!$D$20="AGOSTO",'RESULTADO INDEXADO'!BP50,IF('INTRODUCIR DATOS'!$D$20="SEPTIEMBRE",'RESULTADO INDEXADO'!BW50,IF('INTRODUCIR DATOS'!$D$20="OCTUBRE",'RESULTADO INDEXADO'!CD50,IF('INTRODUCIR DATOS'!$D$20="NOVIEMBRE",'RESULTADO INDEXADO'!CK50,IF('INTRODUCIR DATOS'!$D$20="DICIEMBRE",'RESULTADO INDEXADO'!CR50))))))))))))</f>
        <v>0</v>
      </c>
      <c r="J50" s="296" t="b">
        <f>IF('INTRODUCIR DATOS'!$D$20="ENERO",'RESULTADO INDEXADO'!T50,IF('INTRODUCIR DATOS'!$D$20="FEBRERO",'RESULTADO INDEXADO'!AA50,IF('INTRODUCIR DATOS'!$D$20="MARZO",'RESULTADO INDEXADO'!AH50,IF('INTRODUCIR DATOS'!$D$20="ABRIL",'RESULTADO INDEXADO'!AO50,IF('INTRODUCIR DATOS'!$D$20="MAYO",'RESULTADO INDEXADO'!AV50,IF('INTRODUCIR DATOS'!$D$20="JUNIO",'RESULTADO INDEXADO'!BC50,IF('INTRODUCIR DATOS'!$D$20="JULIO",'RESULTADO INDEXADO'!BJ50,IF('INTRODUCIR DATOS'!$D$20="AGOSTO",'RESULTADO INDEXADO'!BQ50,IF('INTRODUCIR DATOS'!$D$20="SEPTIEMBRE",'RESULTADO INDEXADO'!BX50,IF('INTRODUCIR DATOS'!$D$20="OCTUBRE",'RESULTADO INDEXADO'!CE50,IF('INTRODUCIR DATOS'!$D$20="NOVIEMBRE",'RESULTADO INDEXADO'!CL50,IF('INTRODUCIR DATOS'!$D$20="DICIEMBRE",'RESULTADO INDEXADO'!CS50))))))))))))</f>
        <v>0</v>
      </c>
      <c r="K50" s="41"/>
      <c r="L50" s="40"/>
      <c r="M50" s="145"/>
      <c r="N50" s="275" t="s">
        <v>134</v>
      </c>
      <c r="O50" s="267">
        <v>7.8770000000000007E-2</v>
      </c>
      <c r="P50" s="256">
        <v>1.6381E-2</v>
      </c>
      <c r="Q50" s="257"/>
      <c r="R50" s="257"/>
      <c r="S50" s="257"/>
      <c r="T50" s="296"/>
      <c r="U50" s="275" t="s">
        <v>134</v>
      </c>
      <c r="V50" s="267">
        <v>7.8770000000000007E-2</v>
      </c>
      <c r="W50" s="256">
        <v>1.6381E-2</v>
      </c>
      <c r="X50" s="257"/>
      <c r="Y50" s="257"/>
      <c r="Z50" s="257"/>
      <c r="AA50" s="296"/>
      <c r="AB50" s="275" t="s">
        <v>134</v>
      </c>
      <c r="AC50" s="267">
        <v>7.8770000000000007E-2</v>
      </c>
      <c r="AD50" s="256">
        <v>1.6381E-2</v>
      </c>
      <c r="AE50" s="257"/>
      <c r="AF50" s="257"/>
      <c r="AG50" s="257"/>
      <c r="AH50" s="296"/>
      <c r="AI50" s="275" t="s">
        <v>134</v>
      </c>
      <c r="AJ50" s="267">
        <v>7.8770000000000007E-2</v>
      </c>
      <c r="AK50" s="256">
        <v>1.6381E-2</v>
      </c>
      <c r="AL50" s="257"/>
      <c r="AM50" s="257"/>
      <c r="AN50" s="257"/>
      <c r="AO50" s="296"/>
      <c r="AP50" s="275" t="s">
        <v>134</v>
      </c>
      <c r="AQ50" s="267">
        <v>7.8770000000000007E-2</v>
      </c>
      <c r="AR50" s="256">
        <v>1.6381E-2</v>
      </c>
      <c r="AS50" s="257"/>
      <c r="AT50" s="257"/>
      <c r="AU50" s="257"/>
      <c r="AV50" s="296"/>
      <c r="AW50" s="275" t="s">
        <v>134</v>
      </c>
      <c r="AX50" s="267">
        <v>7.8770000000000007E-2</v>
      </c>
      <c r="AY50" s="256">
        <v>1.6381E-2</v>
      </c>
      <c r="AZ50" s="257"/>
      <c r="BA50" s="257"/>
      <c r="BB50" s="257"/>
      <c r="BC50" s="296"/>
      <c r="BD50" s="275" t="s">
        <v>134</v>
      </c>
      <c r="BE50" s="267">
        <v>7.8770000000000007E-2</v>
      </c>
      <c r="BF50" s="256">
        <v>1.6381E-2</v>
      </c>
      <c r="BG50" s="257"/>
      <c r="BH50" s="257"/>
      <c r="BI50" s="257"/>
      <c r="BJ50" s="296"/>
      <c r="BK50" s="275" t="s">
        <v>134</v>
      </c>
      <c r="BL50" s="267">
        <v>7.8770000000000007E-2</v>
      </c>
      <c r="BM50" s="256">
        <v>1.6381E-2</v>
      </c>
      <c r="BN50" s="257"/>
      <c r="BO50" s="257"/>
      <c r="BP50" s="257"/>
      <c r="BQ50" s="296"/>
      <c r="BR50" s="275" t="s">
        <v>134</v>
      </c>
      <c r="BS50" s="267">
        <v>7.8770000000000007E-2</v>
      </c>
      <c r="BT50" s="256">
        <v>1.6381E-2</v>
      </c>
      <c r="BU50" s="257"/>
      <c r="BV50" s="257"/>
      <c r="BW50" s="257"/>
      <c r="BX50" s="296"/>
      <c r="BY50" s="275" t="s">
        <v>134</v>
      </c>
      <c r="BZ50" s="267">
        <v>7.8770000000000007E-2</v>
      </c>
      <c r="CA50" s="256">
        <v>1.6381E-2</v>
      </c>
      <c r="CB50" s="257"/>
      <c r="CC50" s="257"/>
      <c r="CD50" s="257"/>
      <c r="CE50" s="296"/>
      <c r="CF50" s="275" t="s">
        <v>134</v>
      </c>
      <c r="CG50" s="267">
        <v>7.8770000000000007E-2</v>
      </c>
      <c r="CH50" s="256">
        <v>1.6381E-2</v>
      </c>
      <c r="CI50" s="257"/>
      <c r="CJ50" s="257"/>
      <c r="CK50" s="257"/>
      <c r="CL50" s="296"/>
      <c r="CM50" s="275" t="s">
        <v>134</v>
      </c>
      <c r="CN50" s="267">
        <v>7.8770000000000007E-2</v>
      </c>
      <c r="CO50" s="256">
        <v>1.6381E-2</v>
      </c>
      <c r="CP50" s="257"/>
      <c r="CQ50" s="257"/>
      <c r="CR50" s="257"/>
      <c r="CS50" s="296"/>
    </row>
    <row r="51" spans="1:97">
      <c r="A51" s="41" t="s">
        <v>142</v>
      </c>
      <c r="B51" s="40" t="s">
        <v>22</v>
      </c>
      <c r="C51" s="145" t="s">
        <v>34</v>
      </c>
      <c r="D51" s="310" t="s">
        <v>136</v>
      </c>
      <c r="E51" s="266" t="b">
        <f>IF('INTRODUCIR DATOS'!$D$20="ENERO",'RESULTADO INDEXADO'!O51,IF('INTRODUCIR DATOS'!$D$20="FEBRERO",'RESULTADO INDEXADO'!V51,IF('INTRODUCIR DATOS'!$D$20="MARZO",'RESULTADO INDEXADO'!AC51,IF('INTRODUCIR DATOS'!$D$20="ABRIL",'RESULTADO INDEXADO'!AJ51,IF('INTRODUCIR DATOS'!$D$20="MAYO",'RESULTADO INDEXADO'!AQ51,IF('INTRODUCIR DATOS'!$D$20="JUNIO",'RESULTADO INDEXADO'!AX51,IF('INTRODUCIR DATOS'!$D$20="JULIO",'RESULTADO INDEXADO'!BE51,IF('INTRODUCIR DATOS'!$D$20="AGOSTO",'RESULTADO INDEXADO'!BL51,IF('INTRODUCIR DATOS'!$D$20="SEPTIEMBRE",'RESULTADO INDEXADO'!BS51,IF('INTRODUCIR DATOS'!$D$20="OCTUBRE",'RESULTADO INDEXADO'!BZ51,IF('INTRODUCIR DATOS'!$D$20="NOVIEMBRE",'RESULTADO INDEXADO'!CG51,IF('INTRODUCIR DATOS'!$D$20="DICIEMBRE",'RESULTADO INDEXADO'!CN51))))))))))))</f>
        <v>0</v>
      </c>
      <c r="F51" s="253" t="b">
        <f>IF('INTRODUCIR DATOS'!$D$20="ENERO",'RESULTADO INDEXADO'!P51,IF('INTRODUCIR DATOS'!$D$20="FEBRERO",'RESULTADO INDEXADO'!W51,IF('INTRODUCIR DATOS'!$D$20="MARZO",'RESULTADO INDEXADO'!AD51,IF('INTRODUCIR DATOS'!$D$20="ABRIL",'RESULTADO INDEXADO'!AK51,IF('INTRODUCIR DATOS'!$D$20="MAYO",'RESULTADO INDEXADO'!AR51,IF('INTRODUCIR DATOS'!$D$20="JUNIO",'RESULTADO INDEXADO'!AY51,IF('INTRODUCIR DATOS'!$D$20="JULIO",'RESULTADO INDEXADO'!BF51,IF('INTRODUCIR DATOS'!$D$20="AGOSTO",'RESULTADO INDEXADO'!BM51,IF('INTRODUCIR DATOS'!$D$20="SEPTIEMBRE",'RESULTADO INDEXADO'!BT51,IF('INTRODUCIR DATOS'!$D$20="OCTUBRE",'RESULTADO INDEXADO'!CA51,IF('INTRODUCIR DATOS'!$D$20="NOVIEMBRE",'RESULTADO INDEXADO'!CH51,IF('INTRODUCIR DATOS'!$D$20="DICIEMBRE",'RESULTADO INDEXADO'!CO51))))))))))))</f>
        <v>0</v>
      </c>
      <c r="G51" s="253" t="b">
        <f>IF('INTRODUCIR DATOS'!$D$20="ENERO",'RESULTADO INDEXADO'!Q51,IF('INTRODUCIR DATOS'!$D$20="FEBRERO",'RESULTADO INDEXADO'!X51,IF('INTRODUCIR DATOS'!$D$20="MARZO",'RESULTADO INDEXADO'!AE51,IF('INTRODUCIR DATOS'!$D$20="ABRIL",'RESULTADO INDEXADO'!AL51,IF('INTRODUCIR DATOS'!$D$20="MAYO",'RESULTADO INDEXADO'!AS51,IF('INTRODUCIR DATOS'!$D$20="JUNIO",'RESULTADO INDEXADO'!AZ51,IF('INTRODUCIR DATOS'!$D$20="JULIO",'RESULTADO INDEXADO'!BG51,IF('INTRODUCIR DATOS'!$D$20="AGOSTO",'RESULTADO INDEXADO'!BN51,IF('INTRODUCIR DATOS'!$D$20="SEPTIEMBRE",'RESULTADO INDEXADO'!BU51,IF('INTRODUCIR DATOS'!$D$20="OCTUBRE",'RESULTADO INDEXADO'!CB51,IF('INTRODUCIR DATOS'!$D$20="NOVIEMBRE",'RESULTADO INDEXADO'!CI51,IF('INTRODUCIR DATOS'!$D$20="DICIEMBRE",'RESULTADO INDEXADO'!CP51))))))))))))</f>
        <v>0</v>
      </c>
      <c r="H51" s="254" t="b">
        <f>IF('INTRODUCIR DATOS'!$D$20="ENERO",'RESULTADO INDEXADO'!R51,IF('INTRODUCIR DATOS'!$D$20="FEBRERO",'RESULTADO INDEXADO'!Y51,IF('INTRODUCIR DATOS'!$D$20="MARZO",'RESULTADO INDEXADO'!AF51,IF('INTRODUCIR DATOS'!$D$20="ABRIL",'RESULTADO INDEXADO'!AM51,IF('INTRODUCIR DATOS'!$D$20="MAYO",'RESULTADO INDEXADO'!AT51,IF('INTRODUCIR DATOS'!$D$20="JUNIO",'RESULTADO INDEXADO'!BA51,IF('INTRODUCIR DATOS'!$D$20="JULIO",'RESULTADO INDEXADO'!BH51,IF('INTRODUCIR DATOS'!$D$20="AGOSTO",'RESULTADO INDEXADO'!BO51,IF('INTRODUCIR DATOS'!$D$20="SEPTIEMBRE",'RESULTADO INDEXADO'!BV51,IF('INTRODUCIR DATOS'!$D$20="OCTUBRE",'RESULTADO INDEXADO'!CC51,IF('INTRODUCIR DATOS'!$D$20="NOVIEMBRE",'RESULTADO INDEXADO'!CJ51,IF('INTRODUCIR DATOS'!$D$20="DICIEMBRE",'RESULTADO INDEXADO'!CQ51))))))))))))</f>
        <v>0</v>
      </c>
      <c r="I51" s="254" t="b">
        <f>IF('INTRODUCIR DATOS'!$D$20="ENERO",'RESULTADO INDEXADO'!S51,IF('INTRODUCIR DATOS'!$D$20="FEBRERO",'RESULTADO INDEXADO'!Z51,IF('INTRODUCIR DATOS'!$D$20="MARZO",'RESULTADO INDEXADO'!AG51,IF('INTRODUCIR DATOS'!$D$20="ABRIL",'RESULTADO INDEXADO'!AN51,IF('INTRODUCIR DATOS'!$D$20="MAYO",'RESULTADO INDEXADO'!AU51,IF('INTRODUCIR DATOS'!$D$20="JUNIO",'RESULTADO INDEXADO'!BB51,IF('INTRODUCIR DATOS'!$D$20="JULIO",'RESULTADO INDEXADO'!BI51,IF('INTRODUCIR DATOS'!$D$20="AGOSTO",'RESULTADO INDEXADO'!BP51,IF('INTRODUCIR DATOS'!$D$20="SEPTIEMBRE",'RESULTADO INDEXADO'!BW51,IF('INTRODUCIR DATOS'!$D$20="OCTUBRE",'RESULTADO INDEXADO'!CD51,IF('INTRODUCIR DATOS'!$D$20="NOVIEMBRE",'RESULTADO INDEXADO'!CK51,IF('INTRODUCIR DATOS'!$D$20="DICIEMBRE",'RESULTADO INDEXADO'!CR51))))))))))))</f>
        <v>0</v>
      </c>
      <c r="J51" s="295" t="b">
        <f>IF('INTRODUCIR DATOS'!$D$20="ENERO",'RESULTADO INDEXADO'!T51,IF('INTRODUCIR DATOS'!$D$20="FEBRERO",'RESULTADO INDEXADO'!AA51,IF('INTRODUCIR DATOS'!$D$20="MARZO",'RESULTADO INDEXADO'!AH51,IF('INTRODUCIR DATOS'!$D$20="ABRIL",'RESULTADO INDEXADO'!AO51,IF('INTRODUCIR DATOS'!$D$20="MAYO",'RESULTADO INDEXADO'!AV51,IF('INTRODUCIR DATOS'!$D$20="JUNIO",'RESULTADO INDEXADO'!BC51,IF('INTRODUCIR DATOS'!$D$20="JULIO",'RESULTADO INDEXADO'!BJ51,IF('INTRODUCIR DATOS'!$D$20="AGOSTO",'RESULTADO INDEXADO'!BQ51,IF('INTRODUCIR DATOS'!$D$20="SEPTIEMBRE",'RESULTADO INDEXADO'!BX51,IF('INTRODUCIR DATOS'!$D$20="OCTUBRE",'RESULTADO INDEXADO'!CE51,IF('INTRODUCIR DATOS'!$D$20="NOVIEMBRE",'RESULTADO INDEXADO'!CL51,IF('INTRODUCIR DATOS'!$D$20="DICIEMBRE",'RESULTADO INDEXADO'!CS51))))))))))))</f>
        <v>0</v>
      </c>
      <c r="K51" s="290">
        <f>('INTRODUCIR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DATOS'!$D$17)+'INTRODUCIR DATOS'!$D$15+'INTRODUCIR DATOS'!$D$16+IF('INTRODUCIR DATOS'!$D$21=21%,(('INTRODUCIR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DATOS'!$D$17)+'INTRODUCIR DATOS'!$D$16)*21/100,IF('INTRODUCIR DATOS'!$D$21=10%,(('INTRODUCIR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DATOS'!$D$17)+'INTRODUCIR DATOS'!$D$16)*10/100))</f>
        <v>1.0285</v>
      </c>
      <c r="L51" s="292">
        <f>IF(K51=0,"",'INTRODUCIR DATOS'!$D$14-K51)</f>
        <v>113.12150000000001</v>
      </c>
      <c r="M51" s="271">
        <f>IF(K51=0,"",('INTRODUCIR DATOS'!$D$14-K51)/'INTRODUCIR DATOS'!$D$14)</f>
        <v>0.99098992553657472</v>
      </c>
      <c r="N51" s="274" t="s">
        <v>136</v>
      </c>
      <c r="O51" s="266">
        <v>0.150445</v>
      </c>
      <c r="P51" s="253">
        <v>0.13105800000000001</v>
      </c>
      <c r="Q51" s="253">
        <v>8.8566599999999995E-2</v>
      </c>
      <c r="R51" s="254"/>
      <c r="S51" s="254"/>
      <c r="T51" s="295"/>
      <c r="U51" s="274" t="s">
        <v>136</v>
      </c>
      <c r="V51" s="266">
        <v>0.10341599999999999</v>
      </c>
      <c r="W51" s="253">
        <v>8.3461999999999995E-2</v>
      </c>
      <c r="X51" s="253">
        <v>4.9135999999999999E-2</v>
      </c>
      <c r="Y51" s="254"/>
      <c r="Z51" s="254"/>
      <c r="AA51" s="295"/>
      <c r="AB51" s="274" t="s">
        <v>136</v>
      </c>
      <c r="AC51" s="266">
        <v>0.118477</v>
      </c>
      <c r="AD51" s="253">
        <v>0.10192900000000001</v>
      </c>
      <c r="AE51" s="253">
        <v>7.6643000000000003E-2</v>
      </c>
      <c r="AF51" s="254"/>
      <c r="AG51" s="254"/>
      <c r="AH51" s="295"/>
      <c r="AI51" s="274" t="s">
        <v>136</v>
      </c>
      <c r="AJ51" s="266">
        <v>0.14142299999999999</v>
      </c>
      <c r="AK51" s="253">
        <v>0.12617100000000001</v>
      </c>
      <c r="AL51" s="253">
        <v>0.101877</v>
      </c>
      <c r="AM51" s="254"/>
      <c r="AN51" s="254"/>
      <c r="AO51" s="295"/>
      <c r="AP51" s="274" t="s">
        <v>136</v>
      </c>
      <c r="AQ51" s="266">
        <v>0.14322799999999999</v>
      </c>
      <c r="AR51" s="253">
        <v>0.128966</v>
      </c>
      <c r="AS51" s="253">
        <v>0.10205400000000001</v>
      </c>
      <c r="AT51" s="254"/>
      <c r="AU51" s="254"/>
      <c r="AV51" s="295"/>
      <c r="AW51" s="274" t="s">
        <v>136</v>
      </c>
      <c r="AX51" s="266">
        <v>0.15801899999999999</v>
      </c>
      <c r="AY51" s="253">
        <v>0.14344699999999999</v>
      </c>
      <c r="AZ51" s="253">
        <v>0.118548</v>
      </c>
      <c r="BA51" s="254"/>
      <c r="BB51" s="254"/>
      <c r="BC51" s="295"/>
      <c r="BD51" s="274" t="s">
        <v>136</v>
      </c>
      <c r="BE51" s="266">
        <v>0.167689</v>
      </c>
      <c r="BF51" s="253">
        <v>0.15339800000000001</v>
      </c>
      <c r="BG51" s="253">
        <v>0.12909300000000001</v>
      </c>
      <c r="BH51" s="254"/>
      <c r="BI51" s="254"/>
      <c r="BJ51" s="295"/>
      <c r="BK51" s="274" t="s">
        <v>136</v>
      </c>
      <c r="BL51" s="266">
        <v>0.18604699999999999</v>
      </c>
      <c r="BM51" s="253">
        <v>0.17180599999999999</v>
      </c>
      <c r="BN51" s="253">
        <v>0.144145</v>
      </c>
      <c r="BO51" s="254"/>
      <c r="BP51" s="254"/>
      <c r="BQ51" s="295"/>
      <c r="BR51" s="274" t="s">
        <v>136</v>
      </c>
      <c r="BS51" s="266"/>
      <c r="BT51" s="253"/>
      <c r="BU51" s="253"/>
      <c r="BV51" s="254"/>
      <c r="BW51" s="254"/>
      <c r="BX51" s="295"/>
      <c r="BY51" s="274" t="s">
        <v>136</v>
      </c>
      <c r="BZ51" s="266"/>
      <c r="CA51" s="253"/>
      <c r="CB51" s="253"/>
      <c r="CC51" s="254"/>
      <c r="CD51" s="254"/>
      <c r="CE51" s="295"/>
      <c r="CF51" s="274" t="s">
        <v>136</v>
      </c>
      <c r="CG51" s="266"/>
      <c r="CH51" s="253"/>
      <c r="CI51" s="253"/>
      <c r="CJ51" s="254"/>
      <c r="CK51" s="254"/>
      <c r="CL51" s="295"/>
      <c r="CM51" s="274" t="s">
        <v>136</v>
      </c>
      <c r="CN51" s="266"/>
      <c r="CO51" s="253"/>
      <c r="CP51" s="253"/>
      <c r="CQ51" s="254"/>
      <c r="CR51" s="254"/>
      <c r="CS51" s="295"/>
    </row>
    <row r="52" spans="1:97">
      <c r="A52" s="41" t="s">
        <v>142</v>
      </c>
      <c r="B52" s="40" t="s">
        <v>84</v>
      </c>
      <c r="C52" s="145" t="s">
        <v>34</v>
      </c>
      <c r="D52" s="311" t="s">
        <v>134</v>
      </c>
      <c r="E52" s="267" t="b">
        <f>IF('INTRODUCIR DATOS'!$D$20="ENERO",'RESULTADO INDEXADO'!O52,IF('INTRODUCIR DATOS'!$D$20="FEBRERO",'RESULTADO INDEXADO'!V52,IF('INTRODUCIR DATOS'!$D$20="MARZO",'RESULTADO INDEXADO'!AC52,IF('INTRODUCIR DATOS'!$D$20="ABRIL",'RESULTADO INDEXADO'!AJ52,IF('INTRODUCIR DATOS'!$D$20="MAYO",'RESULTADO INDEXADO'!AQ52,IF('INTRODUCIR DATOS'!$D$20="JUNIO",'RESULTADO INDEXADO'!AX52,IF('INTRODUCIR DATOS'!$D$20="JULIO",'RESULTADO INDEXADO'!BE52,IF('INTRODUCIR DATOS'!$D$20="AGOSTO",'RESULTADO INDEXADO'!BL52,IF('INTRODUCIR DATOS'!$D$20="SEPTIEMBRE",'RESULTADO INDEXADO'!BS52,IF('INTRODUCIR DATOS'!$D$20="OCTUBRE",'RESULTADO INDEXADO'!BZ52,IF('INTRODUCIR DATOS'!$D$20="NOVIEMBRE",'RESULTADO INDEXADO'!CG52,IF('INTRODUCIR DATOS'!$D$20="DICIEMBRE",'RESULTADO INDEXADO'!CN52))))))))))))</f>
        <v>0</v>
      </c>
      <c r="F52" s="256" t="b">
        <f>IF('INTRODUCIR DATOS'!$D$20="ENERO",'RESULTADO INDEXADO'!P52,IF('INTRODUCIR DATOS'!$D$20="FEBRERO",'RESULTADO INDEXADO'!W52,IF('INTRODUCIR DATOS'!$D$20="MARZO",'RESULTADO INDEXADO'!AD52,IF('INTRODUCIR DATOS'!$D$20="ABRIL",'RESULTADO INDEXADO'!AK52,IF('INTRODUCIR DATOS'!$D$20="MAYO",'RESULTADO INDEXADO'!AR52,IF('INTRODUCIR DATOS'!$D$20="JUNIO",'RESULTADO INDEXADO'!AY52,IF('INTRODUCIR DATOS'!$D$20="JULIO",'RESULTADO INDEXADO'!BF52,IF('INTRODUCIR DATOS'!$D$20="AGOSTO",'RESULTADO INDEXADO'!BM52,IF('INTRODUCIR DATOS'!$D$20="SEPTIEMBRE",'RESULTADO INDEXADO'!BT52,IF('INTRODUCIR DATOS'!$D$20="OCTUBRE",'RESULTADO INDEXADO'!CA52,IF('INTRODUCIR DATOS'!$D$20="NOVIEMBRE",'RESULTADO INDEXADO'!CH52,IF('INTRODUCIR DATOS'!$D$20="DICIEMBRE",'RESULTADO INDEXADO'!CO52))))))))))))</f>
        <v>0</v>
      </c>
      <c r="G52" s="257" t="b">
        <f>IF('INTRODUCIR DATOS'!$D$20="ENERO",'RESULTADO INDEXADO'!Q52,IF('INTRODUCIR DATOS'!$D$20="FEBRERO",'RESULTADO INDEXADO'!X52,IF('INTRODUCIR DATOS'!$D$20="MARZO",'RESULTADO INDEXADO'!AE52,IF('INTRODUCIR DATOS'!$D$20="ABRIL",'RESULTADO INDEXADO'!AL52,IF('INTRODUCIR DATOS'!$D$20="MAYO",'RESULTADO INDEXADO'!AS52,IF('INTRODUCIR DATOS'!$D$20="JUNIO",'RESULTADO INDEXADO'!AZ52,IF('INTRODUCIR DATOS'!$D$20="JULIO",'RESULTADO INDEXADO'!BG52,IF('INTRODUCIR DATOS'!$D$20="AGOSTO",'RESULTADO INDEXADO'!BN52,IF('INTRODUCIR DATOS'!$D$20="SEPTIEMBRE",'RESULTADO INDEXADO'!BU52,IF('INTRODUCIR DATOS'!$D$20="OCTUBRE",'RESULTADO INDEXADO'!CB52,IF('INTRODUCIR DATOS'!$D$20="NOVIEMBRE",'RESULTADO INDEXADO'!CI52,IF('INTRODUCIR DATOS'!$D$20="DICIEMBRE",'RESULTADO INDEXADO'!CP52))))))))))))</f>
        <v>0</v>
      </c>
      <c r="H52" s="257" t="b">
        <f>IF('INTRODUCIR DATOS'!$D$20="ENERO",'RESULTADO INDEXADO'!R52,IF('INTRODUCIR DATOS'!$D$20="FEBRERO",'RESULTADO INDEXADO'!Y52,IF('INTRODUCIR DATOS'!$D$20="MARZO",'RESULTADO INDEXADO'!AF52,IF('INTRODUCIR DATOS'!$D$20="ABRIL",'RESULTADO INDEXADO'!AM52,IF('INTRODUCIR DATOS'!$D$20="MAYO",'RESULTADO INDEXADO'!AT52,IF('INTRODUCIR DATOS'!$D$20="JUNIO",'RESULTADO INDEXADO'!BA52,IF('INTRODUCIR DATOS'!$D$20="JULIO",'RESULTADO INDEXADO'!BH52,IF('INTRODUCIR DATOS'!$D$20="AGOSTO",'RESULTADO INDEXADO'!BO52,IF('INTRODUCIR DATOS'!$D$20="SEPTIEMBRE",'RESULTADO INDEXADO'!BV52,IF('INTRODUCIR DATOS'!$D$20="OCTUBRE",'RESULTADO INDEXADO'!CC52,IF('INTRODUCIR DATOS'!$D$20="NOVIEMBRE",'RESULTADO INDEXADO'!CJ52,IF('INTRODUCIR DATOS'!$D$20="DICIEMBRE",'RESULTADO INDEXADO'!CQ52))))))))))))</f>
        <v>0</v>
      </c>
      <c r="I52" s="257" t="b">
        <f>IF('INTRODUCIR DATOS'!$D$20="ENERO",'RESULTADO INDEXADO'!S52,IF('INTRODUCIR DATOS'!$D$20="FEBRERO",'RESULTADO INDEXADO'!Z52,IF('INTRODUCIR DATOS'!$D$20="MARZO",'RESULTADO INDEXADO'!AG52,IF('INTRODUCIR DATOS'!$D$20="ABRIL",'RESULTADO INDEXADO'!AN52,IF('INTRODUCIR DATOS'!$D$20="MAYO",'RESULTADO INDEXADO'!AU52,IF('INTRODUCIR DATOS'!$D$20="JUNIO",'RESULTADO INDEXADO'!BB52,IF('INTRODUCIR DATOS'!$D$20="JULIO",'RESULTADO INDEXADO'!BI52,IF('INTRODUCIR DATOS'!$D$20="AGOSTO",'RESULTADO INDEXADO'!BP52,IF('INTRODUCIR DATOS'!$D$20="SEPTIEMBRE",'RESULTADO INDEXADO'!BW52,IF('INTRODUCIR DATOS'!$D$20="OCTUBRE",'RESULTADO INDEXADO'!CD52,IF('INTRODUCIR DATOS'!$D$20="NOVIEMBRE",'RESULTADO INDEXADO'!CK52,IF('INTRODUCIR DATOS'!$D$20="DICIEMBRE",'RESULTADO INDEXADO'!CR52))))))))))))</f>
        <v>0</v>
      </c>
      <c r="J52" s="296" t="b">
        <f>IF('INTRODUCIR DATOS'!$D$20="ENERO",'RESULTADO INDEXADO'!T52,IF('INTRODUCIR DATOS'!$D$20="FEBRERO",'RESULTADO INDEXADO'!AA52,IF('INTRODUCIR DATOS'!$D$20="MARZO",'RESULTADO INDEXADO'!AH52,IF('INTRODUCIR DATOS'!$D$20="ABRIL",'RESULTADO INDEXADO'!AO52,IF('INTRODUCIR DATOS'!$D$20="MAYO",'RESULTADO INDEXADO'!AV52,IF('INTRODUCIR DATOS'!$D$20="JUNIO",'RESULTADO INDEXADO'!BC52,IF('INTRODUCIR DATOS'!$D$20="JULIO",'RESULTADO INDEXADO'!BJ52,IF('INTRODUCIR DATOS'!$D$20="AGOSTO",'RESULTADO INDEXADO'!BQ52,IF('INTRODUCIR DATOS'!$D$20="SEPTIEMBRE",'RESULTADO INDEXADO'!BX52,IF('INTRODUCIR DATOS'!$D$20="OCTUBRE",'RESULTADO INDEXADO'!CE52,IF('INTRODUCIR DATOS'!$D$20="NOVIEMBRE",'RESULTADO INDEXADO'!CL52,IF('INTRODUCIR DATOS'!$D$20="DICIEMBRE",'RESULTADO INDEXADO'!CS52))))))))))))</f>
        <v>0</v>
      </c>
      <c r="K52" s="41"/>
      <c r="L52" s="40"/>
      <c r="M52" s="145"/>
      <c r="N52" s="275" t="s">
        <v>134</v>
      </c>
      <c r="O52" s="267">
        <v>7.6031000000000001E-2</v>
      </c>
      <c r="P52" s="256">
        <v>1.3641E-2</v>
      </c>
      <c r="Q52" s="257"/>
      <c r="R52" s="257"/>
      <c r="S52" s="257"/>
      <c r="T52" s="296"/>
      <c r="U52" s="275" t="s">
        <v>134</v>
      </c>
      <c r="V52" s="267">
        <v>7.6031000000000001E-2</v>
      </c>
      <c r="W52" s="256">
        <v>1.3641E-2</v>
      </c>
      <c r="X52" s="257"/>
      <c r="Y52" s="257"/>
      <c r="Z52" s="257"/>
      <c r="AA52" s="296"/>
      <c r="AB52" s="275" t="s">
        <v>134</v>
      </c>
      <c r="AC52" s="267">
        <v>7.6031000000000001E-2</v>
      </c>
      <c r="AD52" s="256">
        <v>1.3641E-2</v>
      </c>
      <c r="AE52" s="257"/>
      <c r="AF52" s="257"/>
      <c r="AG52" s="257"/>
      <c r="AH52" s="296"/>
      <c r="AI52" s="275" t="s">
        <v>134</v>
      </c>
      <c r="AJ52" s="267">
        <v>7.6031000000000001E-2</v>
      </c>
      <c r="AK52" s="256">
        <v>1.3641E-2</v>
      </c>
      <c r="AL52" s="257"/>
      <c r="AM52" s="257"/>
      <c r="AN52" s="257"/>
      <c r="AO52" s="296"/>
      <c r="AP52" s="275" t="s">
        <v>134</v>
      </c>
      <c r="AQ52" s="267">
        <v>7.6031000000000001E-2</v>
      </c>
      <c r="AR52" s="256">
        <v>1.3641E-2</v>
      </c>
      <c r="AS52" s="257"/>
      <c r="AT52" s="257"/>
      <c r="AU52" s="257"/>
      <c r="AV52" s="296"/>
      <c r="AW52" s="275" t="s">
        <v>134</v>
      </c>
      <c r="AX52" s="267">
        <v>7.6031000000000001E-2</v>
      </c>
      <c r="AY52" s="256">
        <v>1.3641E-2</v>
      </c>
      <c r="AZ52" s="257"/>
      <c r="BA52" s="257"/>
      <c r="BB52" s="257"/>
      <c r="BC52" s="296"/>
      <c r="BD52" s="275" t="s">
        <v>134</v>
      </c>
      <c r="BE52" s="267">
        <v>7.6031000000000001E-2</v>
      </c>
      <c r="BF52" s="256">
        <v>1.3641E-2</v>
      </c>
      <c r="BG52" s="257"/>
      <c r="BH52" s="257"/>
      <c r="BI52" s="257"/>
      <c r="BJ52" s="296"/>
      <c r="BK52" s="275" t="s">
        <v>134</v>
      </c>
      <c r="BL52" s="267">
        <v>7.6031000000000001E-2</v>
      </c>
      <c r="BM52" s="256">
        <v>1.3641E-2</v>
      </c>
      <c r="BN52" s="257"/>
      <c r="BO52" s="257"/>
      <c r="BP52" s="257"/>
      <c r="BQ52" s="296"/>
      <c r="BR52" s="275" t="s">
        <v>134</v>
      </c>
      <c r="BS52" s="267">
        <v>7.6031000000000001E-2</v>
      </c>
      <c r="BT52" s="256">
        <v>1.3641E-2</v>
      </c>
      <c r="BU52" s="257"/>
      <c r="BV52" s="257"/>
      <c r="BW52" s="257"/>
      <c r="BX52" s="296"/>
      <c r="BY52" s="275" t="s">
        <v>134</v>
      </c>
      <c r="BZ52" s="267">
        <v>7.6031000000000001E-2</v>
      </c>
      <c r="CA52" s="256">
        <v>1.3641E-2</v>
      </c>
      <c r="CB52" s="257"/>
      <c r="CC52" s="257"/>
      <c r="CD52" s="257"/>
      <c r="CE52" s="296"/>
      <c r="CF52" s="275" t="s">
        <v>134</v>
      </c>
      <c r="CG52" s="267">
        <v>7.6031000000000001E-2</v>
      </c>
      <c r="CH52" s="256">
        <v>1.3641E-2</v>
      </c>
      <c r="CI52" s="257"/>
      <c r="CJ52" s="257"/>
      <c r="CK52" s="257"/>
      <c r="CL52" s="296"/>
      <c r="CM52" s="275" t="s">
        <v>134</v>
      </c>
      <c r="CN52" s="267">
        <v>7.6031000000000001E-2</v>
      </c>
      <c r="CO52" s="256">
        <v>1.3641E-2</v>
      </c>
      <c r="CP52" s="257"/>
      <c r="CQ52" s="257"/>
      <c r="CR52" s="257"/>
      <c r="CS52" s="296"/>
    </row>
    <row r="53" spans="1:97">
      <c r="A53" s="41" t="s">
        <v>142</v>
      </c>
      <c r="B53" s="40" t="s">
        <v>84</v>
      </c>
      <c r="C53" s="145" t="s">
        <v>34</v>
      </c>
      <c r="D53" s="310" t="s">
        <v>136</v>
      </c>
      <c r="E53" s="266" t="b">
        <f>IF('INTRODUCIR DATOS'!$D$20="ENERO",'RESULTADO INDEXADO'!O53,IF('INTRODUCIR DATOS'!$D$20="FEBRERO",'RESULTADO INDEXADO'!V53,IF('INTRODUCIR DATOS'!$D$20="MARZO",'RESULTADO INDEXADO'!AC53,IF('INTRODUCIR DATOS'!$D$20="ABRIL",'RESULTADO INDEXADO'!AJ53,IF('INTRODUCIR DATOS'!$D$20="MAYO",'RESULTADO INDEXADO'!AQ53,IF('INTRODUCIR DATOS'!$D$20="JUNIO",'RESULTADO INDEXADO'!AX53,IF('INTRODUCIR DATOS'!$D$20="JULIO",'RESULTADO INDEXADO'!BE53,IF('INTRODUCIR DATOS'!$D$20="AGOSTO",'RESULTADO INDEXADO'!BL53,IF('INTRODUCIR DATOS'!$D$20="SEPTIEMBRE",'RESULTADO INDEXADO'!BS53,IF('INTRODUCIR DATOS'!$D$20="OCTUBRE",'RESULTADO INDEXADO'!BZ53,IF('INTRODUCIR DATOS'!$D$20="NOVIEMBRE",'RESULTADO INDEXADO'!CG53,IF('INTRODUCIR DATOS'!$D$20="DICIEMBRE",'RESULTADO INDEXADO'!CN53))))))))))))</f>
        <v>0</v>
      </c>
      <c r="F53" s="253" t="b">
        <f>IF('INTRODUCIR DATOS'!$D$20="ENERO",'RESULTADO INDEXADO'!P53,IF('INTRODUCIR DATOS'!$D$20="FEBRERO",'RESULTADO INDEXADO'!W53,IF('INTRODUCIR DATOS'!$D$20="MARZO",'RESULTADO INDEXADO'!AD53,IF('INTRODUCIR DATOS'!$D$20="ABRIL",'RESULTADO INDEXADO'!AK53,IF('INTRODUCIR DATOS'!$D$20="MAYO",'RESULTADO INDEXADO'!AR53,IF('INTRODUCIR DATOS'!$D$20="JUNIO",'RESULTADO INDEXADO'!AY53,IF('INTRODUCIR DATOS'!$D$20="JULIO",'RESULTADO INDEXADO'!BF53,IF('INTRODUCIR DATOS'!$D$20="AGOSTO",'RESULTADO INDEXADO'!BM53,IF('INTRODUCIR DATOS'!$D$20="SEPTIEMBRE",'RESULTADO INDEXADO'!BT53,IF('INTRODUCIR DATOS'!$D$20="OCTUBRE",'RESULTADO INDEXADO'!CA53,IF('INTRODUCIR DATOS'!$D$20="NOVIEMBRE",'RESULTADO INDEXADO'!CH53,IF('INTRODUCIR DATOS'!$D$20="DICIEMBRE",'RESULTADO INDEXADO'!CO53))))))))))))</f>
        <v>0</v>
      </c>
      <c r="G53" s="253" t="b">
        <f>IF('INTRODUCIR DATOS'!$D$20="ENERO",'RESULTADO INDEXADO'!Q53,IF('INTRODUCIR DATOS'!$D$20="FEBRERO",'RESULTADO INDEXADO'!X53,IF('INTRODUCIR DATOS'!$D$20="MARZO",'RESULTADO INDEXADO'!AE53,IF('INTRODUCIR DATOS'!$D$20="ABRIL",'RESULTADO INDEXADO'!AL53,IF('INTRODUCIR DATOS'!$D$20="MAYO",'RESULTADO INDEXADO'!AS53,IF('INTRODUCIR DATOS'!$D$20="JUNIO",'RESULTADO INDEXADO'!AZ53,IF('INTRODUCIR DATOS'!$D$20="JULIO",'RESULTADO INDEXADO'!BG53,IF('INTRODUCIR DATOS'!$D$20="AGOSTO",'RESULTADO INDEXADO'!BN53,IF('INTRODUCIR DATOS'!$D$20="SEPTIEMBRE",'RESULTADO INDEXADO'!BU53,IF('INTRODUCIR DATOS'!$D$20="OCTUBRE",'RESULTADO INDEXADO'!CB53,IF('INTRODUCIR DATOS'!$D$20="NOVIEMBRE",'RESULTADO INDEXADO'!CI53,IF('INTRODUCIR DATOS'!$D$20="DICIEMBRE",'RESULTADO INDEXADO'!CP53))))))))))))</f>
        <v>0</v>
      </c>
      <c r="H53" s="254" t="b">
        <f>IF('INTRODUCIR DATOS'!$D$20="ENERO",'RESULTADO INDEXADO'!R53,IF('INTRODUCIR DATOS'!$D$20="FEBRERO",'RESULTADO INDEXADO'!Y53,IF('INTRODUCIR DATOS'!$D$20="MARZO",'RESULTADO INDEXADO'!AF53,IF('INTRODUCIR DATOS'!$D$20="ABRIL",'RESULTADO INDEXADO'!AM53,IF('INTRODUCIR DATOS'!$D$20="MAYO",'RESULTADO INDEXADO'!AT53,IF('INTRODUCIR DATOS'!$D$20="JUNIO",'RESULTADO INDEXADO'!BA53,IF('INTRODUCIR DATOS'!$D$20="JULIO",'RESULTADO INDEXADO'!BH53,IF('INTRODUCIR DATOS'!$D$20="AGOSTO",'RESULTADO INDEXADO'!BO53,IF('INTRODUCIR DATOS'!$D$20="SEPTIEMBRE",'RESULTADO INDEXADO'!BV53,IF('INTRODUCIR DATOS'!$D$20="OCTUBRE",'RESULTADO INDEXADO'!CC53,IF('INTRODUCIR DATOS'!$D$20="NOVIEMBRE",'RESULTADO INDEXADO'!CJ53,IF('INTRODUCIR DATOS'!$D$20="DICIEMBRE",'RESULTADO INDEXADO'!CQ53))))))))))))</f>
        <v>0</v>
      </c>
      <c r="I53" s="254" t="b">
        <f>IF('INTRODUCIR DATOS'!$D$20="ENERO",'RESULTADO INDEXADO'!S53,IF('INTRODUCIR DATOS'!$D$20="FEBRERO",'RESULTADO INDEXADO'!Z53,IF('INTRODUCIR DATOS'!$D$20="MARZO",'RESULTADO INDEXADO'!AG53,IF('INTRODUCIR DATOS'!$D$20="ABRIL",'RESULTADO INDEXADO'!AN53,IF('INTRODUCIR DATOS'!$D$20="MAYO",'RESULTADO INDEXADO'!AU53,IF('INTRODUCIR DATOS'!$D$20="JUNIO",'RESULTADO INDEXADO'!BB53,IF('INTRODUCIR DATOS'!$D$20="JULIO",'RESULTADO INDEXADO'!BI53,IF('INTRODUCIR DATOS'!$D$20="AGOSTO",'RESULTADO INDEXADO'!BP53,IF('INTRODUCIR DATOS'!$D$20="SEPTIEMBRE",'RESULTADO INDEXADO'!BW53,IF('INTRODUCIR DATOS'!$D$20="OCTUBRE",'RESULTADO INDEXADO'!CD53,IF('INTRODUCIR DATOS'!$D$20="NOVIEMBRE",'RESULTADO INDEXADO'!CK53,IF('INTRODUCIR DATOS'!$D$20="DICIEMBRE",'RESULTADO INDEXADO'!CR53))))))))))))</f>
        <v>0</v>
      </c>
      <c r="J53" s="295" t="b">
        <f>IF('INTRODUCIR DATOS'!$D$20="ENERO",'RESULTADO INDEXADO'!T53,IF('INTRODUCIR DATOS'!$D$20="FEBRERO",'RESULTADO INDEXADO'!AA53,IF('INTRODUCIR DATOS'!$D$20="MARZO",'RESULTADO INDEXADO'!AH53,IF('INTRODUCIR DATOS'!$D$20="ABRIL",'RESULTADO INDEXADO'!AO53,IF('INTRODUCIR DATOS'!$D$20="MAYO",'RESULTADO INDEXADO'!AV53,IF('INTRODUCIR DATOS'!$D$20="JUNIO",'RESULTADO INDEXADO'!BC53,IF('INTRODUCIR DATOS'!$D$20="JULIO",'RESULTADO INDEXADO'!BJ53,IF('INTRODUCIR DATOS'!$D$20="AGOSTO",'RESULTADO INDEXADO'!BQ53,IF('INTRODUCIR DATOS'!$D$20="SEPTIEMBRE",'RESULTADO INDEXADO'!BX53,IF('INTRODUCIR DATOS'!$D$20="OCTUBRE",'RESULTADO INDEXADO'!CE53,IF('INTRODUCIR DATOS'!$D$20="NOVIEMBRE",'RESULTADO INDEXADO'!CL53,IF('INTRODUCIR DATOS'!$D$20="DICIEMBRE",'RESULTADO INDEXADO'!CS53))))))))))))</f>
        <v>0</v>
      </c>
      <c r="K53" s="290">
        <f>('INTRODUCIR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DATOS'!$D$17)+'INTRODUCIR DATOS'!$D$15+'INTRODUCIR DATOS'!$D$16+IF('INTRODUCIR DATOS'!$D$21=21%,(('INTRODUCIR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DATOS'!$D$17)+'INTRODUCIR DATOS'!$D$16)*21/100,IF('INTRODUCIR DATOS'!$D$21=10%,(('INTRODUCIR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DATOS'!$D$17)+'INTRODUCIR DATOS'!$D$16)*10/100))</f>
        <v>1.0285</v>
      </c>
      <c r="L53" s="292">
        <f>IF(K53=0,"",'INTRODUCIR DATOS'!$D$14-K53)</f>
        <v>113.12150000000001</v>
      </c>
      <c r="M53" s="271">
        <f>IF(K53=0,"",('INTRODUCIR DATOS'!$D$14-K53)/'INTRODUCIR DATOS'!$D$14)</f>
        <v>0.99098992553657472</v>
      </c>
      <c r="N53" s="274" t="s">
        <v>136</v>
      </c>
      <c r="O53" s="266">
        <v>0.14544499999999999</v>
      </c>
      <c r="P53" s="253">
        <v>0.126058</v>
      </c>
      <c r="Q53" s="253">
        <v>8.3566000000000001E-2</v>
      </c>
      <c r="R53" s="254"/>
      <c r="S53" s="254"/>
      <c r="T53" s="295"/>
      <c r="U53" s="274" t="s">
        <v>136</v>
      </c>
      <c r="V53" s="266">
        <v>9.8416000000000003E-2</v>
      </c>
      <c r="W53" s="253">
        <v>7.8462000000000004E-2</v>
      </c>
      <c r="X53" s="253">
        <v>4.4136000000000002E-2</v>
      </c>
      <c r="Y53" s="254"/>
      <c r="Z53" s="254"/>
      <c r="AA53" s="295"/>
      <c r="AB53" s="274" t="s">
        <v>136</v>
      </c>
      <c r="AC53" s="266">
        <v>0.11347699999999999</v>
      </c>
      <c r="AD53" s="253">
        <v>9.6929000000000001E-2</v>
      </c>
      <c r="AE53" s="253">
        <v>7.1642999999999998E-2</v>
      </c>
      <c r="AF53" s="254"/>
      <c r="AG53" s="254"/>
      <c r="AH53" s="295"/>
      <c r="AI53" s="274" t="s">
        <v>136</v>
      </c>
      <c r="AJ53" s="266">
        <v>0.13642299999999999</v>
      </c>
      <c r="AK53" s="253">
        <v>0.121171</v>
      </c>
      <c r="AL53" s="253">
        <v>9.6877000000000005E-2</v>
      </c>
      <c r="AM53" s="254"/>
      <c r="AN53" s="254"/>
      <c r="AO53" s="295"/>
      <c r="AP53" s="274" t="s">
        <v>136</v>
      </c>
      <c r="AQ53" s="266">
        <v>0.13822799999999999</v>
      </c>
      <c r="AR53" s="253">
        <v>0.12396600000000001</v>
      </c>
      <c r="AS53" s="253">
        <v>9.7054000000000001E-2</v>
      </c>
      <c r="AT53" s="254"/>
      <c r="AU53" s="254"/>
      <c r="AV53" s="295"/>
      <c r="AW53" s="274" t="s">
        <v>136</v>
      </c>
      <c r="AX53" s="266">
        <v>0.15301899999999999</v>
      </c>
      <c r="AY53" s="253">
        <v>0.13844699999999999</v>
      </c>
      <c r="AZ53" s="253">
        <v>0.113548</v>
      </c>
      <c r="BA53" s="254"/>
      <c r="BB53" s="254"/>
      <c r="BC53" s="295"/>
      <c r="BD53" s="274" t="s">
        <v>136</v>
      </c>
      <c r="BE53" s="266">
        <v>0.162689</v>
      </c>
      <c r="BF53" s="253">
        <v>0.148398</v>
      </c>
      <c r="BG53" s="253">
        <v>0.12409299999999999</v>
      </c>
      <c r="BH53" s="254"/>
      <c r="BI53" s="254"/>
      <c r="BJ53" s="295"/>
      <c r="BK53" s="274" t="s">
        <v>136</v>
      </c>
      <c r="BL53" s="266">
        <v>0.18104700000000001</v>
      </c>
      <c r="BM53" s="253">
        <v>0.16680600000000001</v>
      </c>
      <c r="BN53" s="253">
        <v>0.13914499999999999</v>
      </c>
      <c r="BO53" s="254"/>
      <c r="BP53" s="254"/>
      <c r="BQ53" s="295"/>
      <c r="BR53" s="274" t="s">
        <v>136</v>
      </c>
      <c r="BS53" s="266"/>
      <c r="BT53" s="253"/>
      <c r="BU53" s="253"/>
      <c r="BV53" s="254"/>
      <c r="BW53" s="254"/>
      <c r="BX53" s="295"/>
      <c r="BY53" s="274" t="s">
        <v>136</v>
      </c>
      <c r="BZ53" s="266"/>
      <c r="CA53" s="253"/>
      <c r="CB53" s="253"/>
      <c r="CC53" s="254"/>
      <c r="CD53" s="254"/>
      <c r="CE53" s="295"/>
      <c r="CF53" s="274" t="s">
        <v>136</v>
      </c>
      <c r="CG53" s="266"/>
      <c r="CH53" s="253"/>
      <c r="CI53" s="253"/>
      <c r="CJ53" s="254"/>
      <c r="CK53" s="254"/>
      <c r="CL53" s="295"/>
      <c r="CM53" s="274" t="s">
        <v>136</v>
      </c>
      <c r="CN53" s="266"/>
      <c r="CO53" s="253"/>
      <c r="CP53" s="253"/>
      <c r="CQ53" s="254"/>
      <c r="CR53" s="254"/>
      <c r="CS53" s="295"/>
    </row>
    <row r="54" spans="1:97">
      <c r="A54" s="41" t="s">
        <v>142</v>
      </c>
      <c r="B54" s="40"/>
      <c r="C54" s="145" t="s">
        <v>34</v>
      </c>
      <c r="D54" s="311" t="s">
        <v>134</v>
      </c>
      <c r="E54" s="267" t="b">
        <f>IF('INTRODUCIR DATOS'!$D$20="ENERO",'RESULTADO INDEXADO'!O54,IF('INTRODUCIR DATOS'!$D$20="FEBRERO",'RESULTADO INDEXADO'!V54,IF('INTRODUCIR DATOS'!$D$20="MARZO",'RESULTADO INDEXADO'!AC54,IF('INTRODUCIR DATOS'!$D$20="ABRIL",'RESULTADO INDEXADO'!AJ54,IF('INTRODUCIR DATOS'!$D$20="MAYO",'RESULTADO INDEXADO'!AQ54,IF('INTRODUCIR DATOS'!$D$20="JUNIO",'RESULTADO INDEXADO'!AX54,IF('INTRODUCIR DATOS'!$D$20="JULIO",'RESULTADO INDEXADO'!BE54,IF('INTRODUCIR DATOS'!$D$20="AGOSTO",'RESULTADO INDEXADO'!BL54,IF('INTRODUCIR DATOS'!$D$20="SEPTIEMBRE",'RESULTADO INDEXADO'!BS54,IF('INTRODUCIR DATOS'!$D$20="OCTUBRE",'RESULTADO INDEXADO'!BZ54,IF('INTRODUCIR DATOS'!$D$20="NOVIEMBRE",'RESULTADO INDEXADO'!CG54,IF('INTRODUCIR DATOS'!$D$20="DICIEMBRE",'RESULTADO INDEXADO'!CN54))))))))))))</f>
        <v>0</v>
      </c>
      <c r="F54" s="256" t="b">
        <f>IF('INTRODUCIR DATOS'!$D$20="ENERO",'RESULTADO INDEXADO'!P54,IF('INTRODUCIR DATOS'!$D$20="FEBRERO",'RESULTADO INDEXADO'!W54,IF('INTRODUCIR DATOS'!$D$20="MARZO",'RESULTADO INDEXADO'!AD54,IF('INTRODUCIR DATOS'!$D$20="ABRIL",'RESULTADO INDEXADO'!AK54,IF('INTRODUCIR DATOS'!$D$20="MAYO",'RESULTADO INDEXADO'!AR54,IF('INTRODUCIR DATOS'!$D$20="JUNIO",'RESULTADO INDEXADO'!AY54,IF('INTRODUCIR DATOS'!$D$20="JULIO",'RESULTADO INDEXADO'!BF54,IF('INTRODUCIR DATOS'!$D$20="AGOSTO",'RESULTADO INDEXADO'!BM54,IF('INTRODUCIR DATOS'!$D$20="SEPTIEMBRE",'RESULTADO INDEXADO'!BT54,IF('INTRODUCIR DATOS'!$D$20="OCTUBRE",'RESULTADO INDEXADO'!CA54,IF('INTRODUCIR DATOS'!$D$20="NOVIEMBRE",'RESULTADO INDEXADO'!CH54,IF('INTRODUCIR DATOS'!$D$20="DICIEMBRE",'RESULTADO INDEXADO'!CO54))))))))))))</f>
        <v>0</v>
      </c>
      <c r="G54" s="257" t="b">
        <f>IF('INTRODUCIR DATOS'!$D$20="ENERO",'RESULTADO INDEXADO'!Q54,IF('INTRODUCIR DATOS'!$D$20="FEBRERO",'RESULTADO INDEXADO'!X54,IF('INTRODUCIR DATOS'!$D$20="MARZO",'RESULTADO INDEXADO'!AE54,IF('INTRODUCIR DATOS'!$D$20="ABRIL",'RESULTADO INDEXADO'!AL54,IF('INTRODUCIR DATOS'!$D$20="MAYO",'RESULTADO INDEXADO'!AS54,IF('INTRODUCIR DATOS'!$D$20="JUNIO",'RESULTADO INDEXADO'!AZ54,IF('INTRODUCIR DATOS'!$D$20="JULIO",'RESULTADO INDEXADO'!BG54,IF('INTRODUCIR DATOS'!$D$20="AGOSTO",'RESULTADO INDEXADO'!BN54,IF('INTRODUCIR DATOS'!$D$20="SEPTIEMBRE",'RESULTADO INDEXADO'!BU54,IF('INTRODUCIR DATOS'!$D$20="OCTUBRE",'RESULTADO INDEXADO'!CB54,IF('INTRODUCIR DATOS'!$D$20="NOVIEMBRE",'RESULTADO INDEXADO'!CI54,IF('INTRODUCIR DATOS'!$D$20="DICIEMBRE",'RESULTADO INDEXADO'!CP54))))))))))))</f>
        <v>0</v>
      </c>
      <c r="H54" s="257" t="b">
        <f>IF('INTRODUCIR DATOS'!$D$20="ENERO",'RESULTADO INDEXADO'!R54,IF('INTRODUCIR DATOS'!$D$20="FEBRERO",'RESULTADO INDEXADO'!Y54,IF('INTRODUCIR DATOS'!$D$20="MARZO",'RESULTADO INDEXADO'!AF54,IF('INTRODUCIR DATOS'!$D$20="ABRIL",'RESULTADO INDEXADO'!AM54,IF('INTRODUCIR DATOS'!$D$20="MAYO",'RESULTADO INDEXADO'!AT54,IF('INTRODUCIR DATOS'!$D$20="JUNIO",'RESULTADO INDEXADO'!BA54,IF('INTRODUCIR DATOS'!$D$20="JULIO",'RESULTADO INDEXADO'!BH54,IF('INTRODUCIR DATOS'!$D$20="AGOSTO",'RESULTADO INDEXADO'!BO54,IF('INTRODUCIR DATOS'!$D$20="SEPTIEMBRE",'RESULTADO INDEXADO'!BV54,IF('INTRODUCIR DATOS'!$D$20="OCTUBRE",'RESULTADO INDEXADO'!CC54,IF('INTRODUCIR DATOS'!$D$20="NOVIEMBRE",'RESULTADO INDEXADO'!CJ54,IF('INTRODUCIR DATOS'!$D$20="DICIEMBRE",'RESULTADO INDEXADO'!CQ54))))))))))))</f>
        <v>0</v>
      </c>
      <c r="I54" s="257" t="b">
        <f>IF('INTRODUCIR DATOS'!$D$20="ENERO",'RESULTADO INDEXADO'!S54,IF('INTRODUCIR DATOS'!$D$20="FEBRERO",'RESULTADO INDEXADO'!Z54,IF('INTRODUCIR DATOS'!$D$20="MARZO",'RESULTADO INDEXADO'!AG54,IF('INTRODUCIR DATOS'!$D$20="ABRIL",'RESULTADO INDEXADO'!AN54,IF('INTRODUCIR DATOS'!$D$20="MAYO",'RESULTADO INDEXADO'!AU54,IF('INTRODUCIR DATOS'!$D$20="JUNIO",'RESULTADO INDEXADO'!BB54,IF('INTRODUCIR DATOS'!$D$20="JULIO",'RESULTADO INDEXADO'!BI54,IF('INTRODUCIR DATOS'!$D$20="AGOSTO",'RESULTADO INDEXADO'!BP54,IF('INTRODUCIR DATOS'!$D$20="SEPTIEMBRE",'RESULTADO INDEXADO'!BW54,IF('INTRODUCIR DATOS'!$D$20="OCTUBRE",'RESULTADO INDEXADO'!CD54,IF('INTRODUCIR DATOS'!$D$20="NOVIEMBRE",'RESULTADO INDEXADO'!CK54,IF('INTRODUCIR DATOS'!$D$20="DICIEMBRE",'RESULTADO INDEXADO'!CR54))))))))))))</f>
        <v>0</v>
      </c>
      <c r="J54" s="296" t="b">
        <f>IF('INTRODUCIR DATOS'!$D$20="ENERO",'RESULTADO INDEXADO'!T54,IF('INTRODUCIR DATOS'!$D$20="FEBRERO",'RESULTADO INDEXADO'!AA54,IF('INTRODUCIR DATOS'!$D$20="MARZO",'RESULTADO INDEXADO'!AH54,IF('INTRODUCIR DATOS'!$D$20="ABRIL",'RESULTADO INDEXADO'!AO54,IF('INTRODUCIR DATOS'!$D$20="MAYO",'RESULTADO INDEXADO'!AV54,IF('INTRODUCIR DATOS'!$D$20="JUNIO",'RESULTADO INDEXADO'!BC54,IF('INTRODUCIR DATOS'!$D$20="JULIO",'RESULTADO INDEXADO'!BJ54,IF('INTRODUCIR DATOS'!$D$20="AGOSTO",'RESULTADO INDEXADO'!BQ54,IF('INTRODUCIR DATOS'!$D$20="SEPTIEMBRE",'RESULTADO INDEXADO'!BX54,IF('INTRODUCIR DATOS'!$D$20="OCTUBRE",'RESULTADO INDEXADO'!CE54,IF('INTRODUCIR DATOS'!$D$20="NOVIEMBRE",'RESULTADO INDEXADO'!CL54,IF('INTRODUCIR DATOS'!$D$20="DICIEMBRE",'RESULTADO INDEXADO'!CS54))))))))))))</f>
        <v>0</v>
      </c>
      <c r="K54" s="41"/>
      <c r="L54" s="40"/>
      <c r="M54" s="145"/>
      <c r="N54" s="275" t="s">
        <v>134</v>
      </c>
      <c r="O54" s="267"/>
      <c r="P54" s="256"/>
      <c r="Q54" s="257"/>
      <c r="R54" s="257"/>
      <c r="S54" s="257"/>
      <c r="T54" s="296"/>
      <c r="U54" s="275" t="s">
        <v>134</v>
      </c>
      <c r="V54" s="267"/>
      <c r="W54" s="256"/>
      <c r="X54" s="257"/>
      <c r="Y54" s="257"/>
      <c r="Z54" s="257"/>
      <c r="AA54" s="296"/>
      <c r="AB54" s="275" t="s">
        <v>134</v>
      </c>
      <c r="AC54" s="267"/>
      <c r="AD54" s="256"/>
      <c r="AE54" s="257"/>
      <c r="AF54" s="257"/>
      <c r="AG54" s="257"/>
      <c r="AH54" s="296"/>
      <c r="AI54" s="275" t="s">
        <v>134</v>
      </c>
      <c r="AJ54" s="267"/>
      <c r="AK54" s="256"/>
      <c r="AL54" s="257"/>
      <c r="AM54" s="257"/>
      <c r="AN54" s="257"/>
      <c r="AO54" s="296"/>
      <c r="AP54" s="275" t="s">
        <v>134</v>
      </c>
      <c r="AQ54" s="267"/>
      <c r="AR54" s="256"/>
      <c r="AS54" s="257"/>
      <c r="AT54" s="257"/>
      <c r="AU54" s="257"/>
      <c r="AV54" s="296"/>
      <c r="AW54" s="275" t="s">
        <v>134</v>
      </c>
      <c r="AX54" s="267"/>
      <c r="AY54" s="256"/>
      <c r="AZ54" s="257"/>
      <c r="BA54" s="257"/>
      <c r="BB54" s="257"/>
      <c r="BC54" s="296"/>
      <c r="BD54" s="275" t="s">
        <v>134</v>
      </c>
      <c r="BE54" s="267"/>
      <c r="BF54" s="256"/>
      <c r="BG54" s="257"/>
      <c r="BH54" s="257"/>
      <c r="BI54" s="257"/>
      <c r="BJ54" s="296"/>
      <c r="BK54" s="275" t="s">
        <v>134</v>
      </c>
      <c r="BL54" s="267"/>
      <c r="BM54" s="256"/>
      <c r="BN54" s="257"/>
      <c r="BO54" s="257"/>
      <c r="BP54" s="257"/>
      <c r="BQ54" s="296"/>
      <c r="BR54" s="275" t="s">
        <v>134</v>
      </c>
      <c r="BS54" s="267"/>
      <c r="BT54" s="256"/>
      <c r="BU54" s="257"/>
      <c r="BV54" s="257"/>
      <c r="BW54" s="257"/>
      <c r="BX54" s="296"/>
      <c r="BY54" s="275" t="s">
        <v>134</v>
      </c>
      <c r="BZ54" s="267"/>
      <c r="CA54" s="256"/>
      <c r="CB54" s="257"/>
      <c r="CC54" s="257"/>
      <c r="CD54" s="257"/>
      <c r="CE54" s="296"/>
      <c r="CF54" s="275" t="s">
        <v>134</v>
      </c>
      <c r="CG54" s="267"/>
      <c r="CH54" s="256"/>
      <c r="CI54" s="257"/>
      <c r="CJ54" s="257"/>
      <c r="CK54" s="257"/>
      <c r="CL54" s="296"/>
      <c r="CM54" s="275" t="s">
        <v>134</v>
      </c>
      <c r="CN54" s="267"/>
      <c r="CO54" s="256"/>
      <c r="CP54" s="257"/>
      <c r="CQ54" s="257"/>
      <c r="CR54" s="257"/>
      <c r="CS54" s="296"/>
    </row>
    <row r="55" spans="1:97">
      <c r="A55" s="41" t="s">
        <v>142</v>
      </c>
      <c r="B55" s="40"/>
      <c r="C55" s="145" t="s">
        <v>34</v>
      </c>
      <c r="D55" s="310" t="s">
        <v>136</v>
      </c>
      <c r="E55" s="266" t="b">
        <f>IF('INTRODUCIR DATOS'!$D$20="ENERO",'RESULTADO INDEXADO'!O55,IF('INTRODUCIR DATOS'!$D$20="FEBRERO",'RESULTADO INDEXADO'!V55,IF('INTRODUCIR DATOS'!$D$20="MARZO",'RESULTADO INDEXADO'!AC55,IF('INTRODUCIR DATOS'!$D$20="ABRIL",'RESULTADO INDEXADO'!AJ55,IF('INTRODUCIR DATOS'!$D$20="MAYO",'RESULTADO INDEXADO'!AQ55,IF('INTRODUCIR DATOS'!$D$20="JUNIO",'RESULTADO INDEXADO'!AX55,IF('INTRODUCIR DATOS'!$D$20="JULIO",'RESULTADO INDEXADO'!BE55,IF('INTRODUCIR DATOS'!$D$20="AGOSTO",'RESULTADO INDEXADO'!BL55,IF('INTRODUCIR DATOS'!$D$20="SEPTIEMBRE",'RESULTADO INDEXADO'!BS55,IF('INTRODUCIR DATOS'!$D$20="OCTUBRE",'RESULTADO INDEXADO'!BZ55,IF('INTRODUCIR DATOS'!$D$20="NOVIEMBRE",'RESULTADO INDEXADO'!CG55,IF('INTRODUCIR DATOS'!$D$20="DICIEMBRE",'RESULTADO INDEXADO'!CN55))))))))))))</f>
        <v>0</v>
      </c>
      <c r="F55" s="253" t="b">
        <f>IF('INTRODUCIR DATOS'!$D$20="ENERO",'RESULTADO INDEXADO'!P55,IF('INTRODUCIR DATOS'!$D$20="FEBRERO",'RESULTADO INDEXADO'!W55,IF('INTRODUCIR DATOS'!$D$20="MARZO",'RESULTADO INDEXADO'!AD55,IF('INTRODUCIR DATOS'!$D$20="ABRIL",'RESULTADO INDEXADO'!AK55,IF('INTRODUCIR DATOS'!$D$20="MAYO",'RESULTADO INDEXADO'!AR55,IF('INTRODUCIR DATOS'!$D$20="JUNIO",'RESULTADO INDEXADO'!AY55,IF('INTRODUCIR DATOS'!$D$20="JULIO",'RESULTADO INDEXADO'!BF55,IF('INTRODUCIR DATOS'!$D$20="AGOSTO",'RESULTADO INDEXADO'!BM55,IF('INTRODUCIR DATOS'!$D$20="SEPTIEMBRE",'RESULTADO INDEXADO'!BT55,IF('INTRODUCIR DATOS'!$D$20="OCTUBRE",'RESULTADO INDEXADO'!CA55,IF('INTRODUCIR DATOS'!$D$20="NOVIEMBRE",'RESULTADO INDEXADO'!CH55,IF('INTRODUCIR DATOS'!$D$20="DICIEMBRE",'RESULTADO INDEXADO'!CO55))))))))))))</f>
        <v>0</v>
      </c>
      <c r="G55" s="253" t="b">
        <f>IF('INTRODUCIR DATOS'!$D$20="ENERO",'RESULTADO INDEXADO'!Q55,IF('INTRODUCIR DATOS'!$D$20="FEBRERO",'RESULTADO INDEXADO'!X55,IF('INTRODUCIR DATOS'!$D$20="MARZO",'RESULTADO INDEXADO'!AE55,IF('INTRODUCIR DATOS'!$D$20="ABRIL",'RESULTADO INDEXADO'!AL55,IF('INTRODUCIR DATOS'!$D$20="MAYO",'RESULTADO INDEXADO'!AS55,IF('INTRODUCIR DATOS'!$D$20="JUNIO",'RESULTADO INDEXADO'!AZ55,IF('INTRODUCIR DATOS'!$D$20="JULIO",'RESULTADO INDEXADO'!BG55,IF('INTRODUCIR DATOS'!$D$20="AGOSTO",'RESULTADO INDEXADO'!BN55,IF('INTRODUCIR DATOS'!$D$20="SEPTIEMBRE",'RESULTADO INDEXADO'!BU55,IF('INTRODUCIR DATOS'!$D$20="OCTUBRE",'RESULTADO INDEXADO'!CB55,IF('INTRODUCIR DATOS'!$D$20="NOVIEMBRE",'RESULTADO INDEXADO'!CI55,IF('INTRODUCIR DATOS'!$D$20="DICIEMBRE",'RESULTADO INDEXADO'!CP55))))))))))))</f>
        <v>0</v>
      </c>
      <c r="H55" s="254" t="b">
        <f>IF('INTRODUCIR DATOS'!$D$20="ENERO",'RESULTADO INDEXADO'!R55,IF('INTRODUCIR DATOS'!$D$20="FEBRERO",'RESULTADO INDEXADO'!Y55,IF('INTRODUCIR DATOS'!$D$20="MARZO",'RESULTADO INDEXADO'!AF55,IF('INTRODUCIR DATOS'!$D$20="ABRIL",'RESULTADO INDEXADO'!AM55,IF('INTRODUCIR DATOS'!$D$20="MAYO",'RESULTADO INDEXADO'!AT55,IF('INTRODUCIR DATOS'!$D$20="JUNIO",'RESULTADO INDEXADO'!BA55,IF('INTRODUCIR DATOS'!$D$20="JULIO",'RESULTADO INDEXADO'!BH55,IF('INTRODUCIR DATOS'!$D$20="AGOSTO",'RESULTADO INDEXADO'!BO55,IF('INTRODUCIR DATOS'!$D$20="SEPTIEMBRE",'RESULTADO INDEXADO'!BV55,IF('INTRODUCIR DATOS'!$D$20="OCTUBRE",'RESULTADO INDEXADO'!CC55,IF('INTRODUCIR DATOS'!$D$20="NOVIEMBRE",'RESULTADO INDEXADO'!CJ55,IF('INTRODUCIR DATOS'!$D$20="DICIEMBRE",'RESULTADO INDEXADO'!CQ55))))))))))))</f>
        <v>0</v>
      </c>
      <c r="I55" s="254" t="b">
        <f>IF('INTRODUCIR DATOS'!$D$20="ENERO",'RESULTADO INDEXADO'!S55,IF('INTRODUCIR DATOS'!$D$20="FEBRERO",'RESULTADO INDEXADO'!Z55,IF('INTRODUCIR DATOS'!$D$20="MARZO",'RESULTADO INDEXADO'!AG55,IF('INTRODUCIR DATOS'!$D$20="ABRIL",'RESULTADO INDEXADO'!AN55,IF('INTRODUCIR DATOS'!$D$20="MAYO",'RESULTADO INDEXADO'!AU55,IF('INTRODUCIR DATOS'!$D$20="JUNIO",'RESULTADO INDEXADO'!BB55,IF('INTRODUCIR DATOS'!$D$20="JULIO",'RESULTADO INDEXADO'!BI55,IF('INTRODUCIR DATOS'!$D$20="AGOSTO",'RESULTADO INDEXADO'!BP55,IF('INTRODUCIR DATOS'!$D$20="SEPTIEMBRE",'RESULTADO INDEXADO'!BW55,IF('INTRODUCIR DATOS'!$D$20="OCTUBRE",'RESULTADO INDEXADO'!CD55,IF('INTRODUCIR DATOS'!$D$20="NOVIEMBRE",'RESULTADO INDEXADO'!CK55,IF('INTRODUCIR DATOS'!$D$20="DICIEMBRE",'RESULTADO INDEXADO'!CR55))))))))))))</f>
        <v>0</v>
      </c>
      <c r="J55" s="295" t="b">
        <f>IF('INTRODUCIR DATOS'!$D$20="ENERO",'RESULTADO INDEXADO'!T55,IF('INTRODUCIR DATOS'!$D$20="FEBRERO",'RESULTADO INDEXADO'!AA55,IF('INTRODUCIR DATOS'!$D$20="MARZO",'RESULTADO INDEXADO'!AH55,IF('INTRODUCIR DATOS'!$D$20="ABRIL",'RESULTADO INDEXADO'!AO55,IF('INTRODUCIR DATOS'!$D$20="MAYO",'RESULTADO INDEXADO'!AV55,IF('INTRODUCIR DATOS'!$D$20="JUNIO",'RESULTADO INDEXADO'!BC55,IF('INTRODUCIR DATOS'!$D$20="JULIO",'RESULTADO INDEXADO'!BJ55,IF('INTRODUCIR DATOS'!$D$20="AGOSTO",'RESULTADO INDEXADO'!BQ55,IF('INTRODUCIR DATOS'!$D$20="SEPTIEMBRE",'RESULTADO INDEXADO'!BX55,IF('INTRODUCIR DATOS'!$D$20="OCTUBRE",'RESULTADO INDEXADO'!CE55,IF('INTRODUCIR DATOS'!$D$20="NOVIEMBRE",'RESULTADO INDEXADO'!CL55,IF('INTRODUCIR DATOS'!$D$20="DICIEMBRE",'RESULTADO INDEXADO'!CS55))))))))))))</f>
        <v>0</v>
      </c>
      <c r="K55" s="290">
        <f>('INTRODUCIR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DATOS'!$D$17)+'INTRODUCIR DATOS'!$D$15+'INTRODUCIR DATOS'!$D$16+IF('INTRODUCIR DATOS'!$D$21=21%,(('INTRODUCIR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DATOS'!$D$17)+'INTRODUCIR DATOS'!$D$16)*21/100,IF('INTRODUCIR DATOS'!$D$21=10%,(('INTRODUCIR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DATOS'!$D$17)+'INTRODUCIR DATOS'!$D$16)*10/100))</f>
        <v>1.0285</v>
      </c>
      <c r="L55" s="292">
        <f>IF(K55=0,"",'INTRODUCIR DATOS'!$D$14-K55)</f>
        <v>113.12150000000001</v>
      </c>
      <c r="M55" s="271">
        <f>IF(K55=0,"",('INTRODUCIR DATOS'!$D$14-K55)/'INTRODUCIR DATOS'!$D$14)</f>
        <v>0.99098992553657472</v>
      </c>
      <c r="N55" s="274" t="s">
        <v>136</v>
      </c>
      <c r="O55" s="266"/>
      <c r="P55" s="253"/>
      <c r="Q55" s="253"/>
      <c r="R55" s="254"/>
      <c r="S55" s="254"/>
      <c r="T55" s="295"/>
      <c r="U55" s="274" t="s">
        <v>136</v>
      </c>
      <c r="V55" s="266"/>
      <c r="W55" s="253"/>
      <c r="X55" s="253"/>
      <c r="Y55" s="254"/>
      <c r="Z55" s="254"/>
      <c r="AA55" s="295"/>
      <c r="AB55" s="274" t="s">
        <v>136</v>
      </c>
      <c r="AC55" s="266"/>
      <c r="AD55" s="253"/>
      <c r="AE55" s="253"/>
      <c r="AF55" s="254"/>
      <c r="AG55" s="254"/>
      <c r="AH55" s="295"/>
      <c r="AI55" s="274" t="s">
        <v>136</v>
      </c>
      <c r="AJ55" s="266"/>
      <c r="AK55" s="253"/>
      <c r="AL55" s="253"/>
      <c r="AM55" s="254"/>
      <c r="AN55" s="254"/>
      <c r="AO55" s="295"/>
      <c r="AP55" s="274" t="s">
        <v>136</v>
      </c>
      <c r="AQ55" s="266"/>
      <c r="AR55" s="253"/>
      <c r="AS55" s="253"/>
      <c r="AT55" s="254"/>
      <c r="AU55" s="254"/>
      <c r="AV55" s="295"/>
      <c r="AW55" s="274" t="s">
        <v>136</v>
      </c>
      <c r="AX55" s="266"/>
      <c r="AY55" s="253"/>
      <c r="AZ55" s="253"/>
      <c r="BA55" s="254"/>
      <c r="BB55" s="254"/>
      <c r="BC55" s="295"/>
      <c r="BD55" s="274" t="s">
        <v>136</v>
      </c>
      <c r="BE55" s="266"/>
      <c r="BF55" s="253"/>
      <c r="BG55" s="253"/>
      <c r="BH55" s="254"/>
      <c r="BI55" s="254"/>
      <c r="BJ55" s="295"/>
      <c r="BK55" s="274" t="s">
        <v>136</v>
      </c>
      <c r="BL55" s="266"/>
      <c r="BM55" s="253"/>
      <c r="BN55" s="253"/>
      <c r="BO55" s="254"/>
      <c r="BP55" s="254"/>
      <c r="BQ55" s="295"/>
      <c r="BR55" s="274" t="s">
        <v>136</v>
      </c>
      <c r="BS55" s="266"/>
      <c r="BT55" s="253"/>
      <c r="BU55" s="253"/>
      <c r="BV55" s="254"/>
      <c r="BW55" s="254"/>
      <c r="BX55" s="295"/>
      <c r="BY55" s="274" t="s">
        <v>136</v>
      </c>
      <c r="BZ55" s="266"/>
      <c r="CA55" s="253"/>
      <c r="CB55" s="253"/>
      <c r="CC55" s="254"/>
      <c r="CD55" s="254"/>
      <c r="CE55" s="295"/>
      <c r="CF55" s="274" t="s">
        <v>136</v>
      </c>
      <c r="CG55" s="266"/>
      <c r="CH55" s="253"/>
      <c r="CI55" s="253"/>
      <c r="CJ55" s="254"/>
      <c r="CK55" s="254"/>
      <c r="CL55" s="295"/>
      <c r="CM55" s="274" t="s">
        <v>136</v>
      </c>
      <c r="CN55" s="266"/>
      <c r="CO55" s="253"/>
      <c r="CP55" s="253"/>
      <c r="CQ55" s="254"/>
      <c r="CR55" s="254"/>
      <c r="CS55" s="295"/>
    </row>
    <row r="56" spans="1:97">
      <c r="A56" s="41" t="s">
        <v>142</v>
      </c>
      <c r="B56" s="40"/>
      <c r="C56" s="145" t="s">
        <v>34</v>
      </c>
      <c r="D56" s="311" t="s">
        <v>134</v>
      </c>
      <c r="E56" s="267" t="b">
        <f>IF('INTRODUCIR DATOS'!$D$20="ENERO",'RESULTADO INDEXADO'!O56,IF('INTRODUCIR DATOS'!$D$20="FEBRERO",'RESULTADO INDEXADO'!V56,IF('INTRODUCIR DATOS'!$D$20="MARZO",'RESULTADO INDEXADO'!AC56,IF('INTRODUCIR DATOS'!$D$20="ABRIL",'RESULTADO INDEXADO'!AJ56,IF('INTRODUCIR DATOS'!$D$20="MAYO",'RESULTADO INDEXADO'!AQ56,IF('INTRODUCIR DATOS'!$D$20="JUNIO",'RESULTADO INDEXADO'!AX56,IF('INTRODUCIR DATOS'!$D$20="JULIO",'RESULTADO INDEXADO'!BE56,IF('INTRODUCIR DATOS'!$D$20="AGOSTO",'RESULTADO INDEXADO'!BL56,IF('INTRODUCIR DATOS'!$D$20="SEPTIEMBRE",'RESULTADO INDEXADO'!BS56,IF('INTRODUCIR DATOS'!$D$20="OCTUBRE",'RESULTADO INDEXADO'!BZ56,IF('INTRODUCIR DATOS'!$D$20="NOVIEMBRE",'RESULTADO INDEXADO'!CG56,IF('INTRODUCIR DATOS'!$D$20="DICIEMBRE",'RESULTADO INDEXADO'!CN56))))))))))))</f>
        <v>0</v>
      </c>
      <c r="F56" s="256" t="b">
        <f>IF('INTRODUCIR DATOS'!$D$20="ENERO",'RESULTADO INDEXADO'!P56,IF('INTRODUCIR DATOS'!$D$20="FEBRERO",'RESULTADO INDEXADO'!W56,IF('INTRODUCIR DATOS'!$D$20="MARZO",'RESULTADO INDEXADO'!AD56,IF('INTRODUCIR DATOS'!$D$20="ABRIL",'RESULTADO INDEXADO'!AK56,IF('INTRODUCIR DATOS'!$D$20="MAYO",'RESULTADO INDEXADO'!AR56,IF('INTRODUCIR DATOS'!$D$20="JUNIO",'RESULTADO INDEXADO'!AY56,IF('INTRODUCIR DATOS'!$D$20="JULIO",'RESULTADO INDEXADO'!BF56,IF('INTRODUCIR DATOS'!$D$20="AGOSTO",'RESULTADO INDEXADO'!BM56,IF('INTRODUCIR DATOS'!$D$20="SEPTIEMBRE",'RESULTADO INDEXADO'!BT56,IF('INTRODUCIR DATOS'!$D$20="OCTUBRE",'RESULTADO INDEXADO'!CA56,IF('INTRODUCIR DATOS'!$D$20="NOVIEMBRE",'RESULTADO INDEXADO'!CH56,IF('INTRODUCIR DATOS'!$D$20="DICIEMBRE",'RESULTADO INDEXADO'!CO56))))))))))))</f>
        <v>0</v>
      </c>
      <c r="G56" s="257" t="b">
        <f>IF('INTRODUCIR DATOS'!$D$20="ENERO",'RESULTADO INDEXADO'!Q56,IF('INTRODUCIR DATOS'!$D$20="FEBRERO",'RESULTADO INDEXADO'!X56,IF('INTRODUCIR DATOS'!$D$20="MARZO",'RESULTADO INDEXADO'!AE56,IF('INTRODUCIR DATOS'!$D$20="ABRIL",'RESULTADO INDEXADO'!AL56,IF('INTRODUCIR DATOS'!$D$20="MAYO",'RESULTADO INDEXADO'!AS56,IF('INTRODUCIR DATOS'!$D$20="JUNIO",'RESULTADO INDEXADO'!AZ56,IF('INTRODUCIR DATOS'!$D$20="JULIO",'RESULTADO INDEXADO'!BG56,IF('INTRODUCIR DATOS'!$D$20="AGOSTO",'RESULTADO INDEXADO'!BN56,IF('INTRODUCIR DATOS'!$D$20="SEPTIEMBRE",'RESULTADO INDEXADO'!BU56,IF('INTRODUCIR DATOS'!$D$20="OCTUBRE",'RESULTADO INDEXADO'!CB56,IF('INTRODUCIR DATOS'!$D$20="NOVIEMBRE",'RESULTADO INDEXADO'!CI56,IF('INTRODUCIR DATOS'!$D$20="DICIEMBRE",'RESULTADO INDEXADO'!CP56))))))))))))</f>
        <v>0</v>
      </c>
      <c r="H56" s="257" t="b">
        <f>IF('INTRODUCIR DATOS'!$D$20="ENERO",'RESULTADO INDEXADO'!R56,IF('INTRODUCIR DATOS'!$D$20="FEBRERO",'RESULTADO INDEXADO'!Y56,IF('INTRODUCIR DATOS'!$D$20="MARZO",'RESULTADO INDEXADO'!AF56,IF('INTRODUCIR DATOS'!$D$20="ABRIL",'RESULTADO INDEXADO'!AM56,IF('INTRODUCIR DATOS'!$D$20="MAYO",'RESULTADO INDEXADO'!AT56,IF('INTRODUCIR DATOS'!$D$20="JUNIO",'RESULTADO INDEXADO'!BA56,IF('INTRODUCIR DATOS'!$D$20="JULIO",'RESULTADO INDEXADO'!BH56,IF('INTRODUCIR DATOS'!$D$20="AGOSTO",'RESULTADO INDEXADO'!BO56,IF('INTRODUCIR DATOS'!$D$20="SEPTIEMBRE",'RESULTADO INDEXADO'!BV56,IF('INTRODUCIR DATOS'!$D$20="OCTUBRE",'RESULTADO INDEXADO'!CC56,IF('INTRODUCIR DATOS'!$D$20="NOVIEMBRE",'RESULTADO INDEXADO'!CJ56,IF('INTRODUCIR DATOS'!$D$20="DICIEMBRE",'RESULTADO INDEXADO'!CQ56))))))))))))</f>
        <v>0</v>
      </c>
      <c r="I56" s="257" t="b">
        <f>IF('INTRODUCIR DATOS'!$D$20="ENERO",'RESULTADO INDEXADO'!S56,IF('INTRODUCIR DATOS'!$D$20="FEBRERO",'RESULTADO INDEXADO'!Z56,IF('INTRODUCIR DATOS'!$D$20="MARZO",'RESULTADO INDEXADO'!AG56,IF('INTRODUCIR DATOS'!$D$20="ABRIL",'RESULTADO INDEXADO'!AN56,IF('INTRODUCIR DATOS'!$D$20="MAYO",'RESULTADO INDEXADO'!AU56,IF('INTRODUCIR DATOS'!$D$20="JUNIO",'RESULTADO INDEXADO'!BB56,IF('INTRODUCIR DATOS'!$D$20="JULIO",'RESULTADO INDEXADO'!BI56,IF('INTRODUCIR DATOS'!$D$20="AGOSTO",'RESULTADO INDEXADO'!BP56,IF('INTRODUCIR DATOS'!$D$20="SEPTIEMBRE",'RESULTADO INDEXADO'!BW56,IF('INTRODUCIR DATOS'!$D$20="OCTUBRE",'RESULTADO INDEXADO'!CD56,IF('INTRODUCIR DATOS'!$D$20="NOVIEMBRE",'RESULTADO INDEXADO'!CK56,IF('INTRODUCIR DATOS'!$D$20="DICIEMBRE",'RESULTADO INDEXADO'!CR56))))))))))))</f>
        <v>0</v>
      </c>
      <c r="J56" s="296" t="b">
        <f>IF('INTRODUCIR DATOS'!$D$20="ENERO",'RESULTADO INDEXADO'!T56,IF('INTRODUCIR DATOS'!$D$20="FEBRERO",'RESULTADO INDEXADO'!AA56,IF('INTRODUCIR DATOS'!$D$20="MARZO",'RESULTADO INDEXADO'!AH56,IF('INTRODUCIR DATOS'!$D$20="ABRIL",'RESULTADO INDEXADO'!AO56,IF('INTRODUCIR DATOS'!$D$20="MAYO",'RESULTADO INDEXADO'!AV56,IF('INTRODUCIR DATOS'!$D$20="JUNIO",'RESULTADO INDEXADO'!BC56,IF('INTRODUCIR DATOS'!$D$20="JULIO",'RESULTADO INDEXADO'!BJ56,IF('INTRODUCIR DATOS'!$D$20="AGOSTO",'RESULTADO INDEXADO'!BQ56,IF('INTRODUCIR DATOS'!$D$20="SEPTIEMBRE",'RESULTADO INDEXADO'!BX56,IF('INTRODUCIR DATOS'!$D$20="OCTUBRE",'RESULTADO INDEXADO'!CE56,IF('INTRODUCIR DATOS'!$D$20="NOVIEMBRE",'RESULTADO INDEXADO'!CL56,IF('INTRODUCIR DATOS'!$D$20="DICIEMBRE",'RESULTADO INDEXADO'!CS56))))))))))))</f>
        <v>0</v>
      </c>
      <c r="K56" s="41"/>
      <c r="L56" s="40"/>
      <c r="M56" s="145"/>
      <c r="N56" s="275" t="s">
        <v>134</v>
      </c>
      <c r="O56" s="267"/>
      <c r="P56" s="256"/>
      <c r="Q56" s="257"/>
      <c r="R56" s="257"/>
      <c r="S56" s="257"/>
      <c r="T56" s="296"/>
      <c r="U56" s="275" t="s">
        <v>134</v>
      </c>
      <c r="V56" s="267"/>
      <c r="W56" s="256"/>
      <c r="X56" s="257"/>
      <c r="Y56" s="257"/>
      <c r="Z56" s="257"/>
      <c r="AA56" s="296"/>
      <c r="AB56" s="275" t="s">
        <v>134</v>
      </c>
      <c r="AC56" s="267"/>
      <c r="AD56" s="256"/>
      <c r="AE56" s="257"/>
      <c r="AF56" s="257"/>
      <c r="AG56" s="257"/>
      <c r="AH56" s="296"/>
      <c r="AI56" s="275" t="s">
        <v>134</v>
      </c>
      <c r="AJ56" s="267"/>
      <c r="AK56" s="256"/>
      <c r="AL56" s="257"/>
      <c r="AM56" s="257"/>
      <c r="AN56" s="257"/>
      <c r="AO56" s="296"/>
      <c r="AP56" s="275" t="s">
        <v>134</v>
      </c>
      <c r="AQ56" s="267"/>
      <c r="AR56" s="256"/>
      <c r="AS56" s="257"/>
      <c r="AT56" s="257"/>
      <c r="AU56" s="257"/>
      <c r="AV56" s="296"/>
      <c r="AW56" s="275" t="s">
        <v>134</v>
      </c>
      <c r="AX56" s="267"/>
      <c r="AY56" s="256"/>
      <c r="AZ56" s="257"/>
      <c r="BA56" s="257"/>
      <c r="BB56" s="257"/>
      <c r="BC56" s="296"/>
      <c r="BD56" s="275" t="s">
        <v>134</v>
      </c>
      <c r="BE56" s="267"/>
      <c r="BF56" s="256"/>
      <c r="BG56" s="257"/>
      <c r="BH56" s="257"/>
      <c r="BI56" s="257"/>
      <c r="BJ56" s="296"/>
      <c r="BK56" s="275" t="s">
        <v>134</v>
      </c>
      <c r="BL56" s="267"/>
      <c r="BM56" s="256"/>
      <c r="BN56" s="257"/>
      <c r="BO56" s="257"/>
      <c r="BP56" s="257"/>
      <c r="BQ56" s="296"/>
      <c r="BR56" s="275" t="s">
        <v>134</v>
      </c>
      <c r="BS56" s="267"/>
      <c r="BT56" s="256"/>
      <c r="BU56" s="257"/>
      <c r="BV56" s="257"/>
      <c r="BW56" s="257"/>
      <c r="BX56" s="296"/>
      <c r="BY56" s="275" t="s">
        <v>134</v>
      </c>
      <c r="BZ56" s="267"/>
      <c r="CA56" s="256"/>
      <c r="CB56" s="257"/>
      <c r="CC56" s="257"/>
      <c r="CD56" s="257"/>
      <c r="CE56" s="296"/>
      <c r="CF56" s="275" t="s">
        <v>134</v>
      </c>
      <c r="CG56" s="267"/>
      <c r="CH56" s="256"/>
      <c r="CI56" s="257"/>
      <c r="CJ56" s="257"/>
      <c r="CK56" s="257"/>
      <c r="CL56" s="296"/>
      <c r="CM56" s="275" t="s">
        <v>134</v>
      </c>
      <c r="CN56" s="267"/>
      <c r="CO56" s="256"/>
      <c r="CP56" s="257"/>
      <c r="CQ56" s="257"/>
      <c r="CR56" s="257"/>
      <c r="CS56" s="296"/>
    </row>
    <row r="57" spans="1:97">
      <c r="A57" s="41" t="s">
        <v>142</v>
      </c>
      <c r="B57" s="40"/>
      <c r="C57" s="145" t="s">
        <v>34</v>
      </c>
      <c r="D57" s="310" t="s">
        <v>136</v>
      </c>
      <c r="E57" s="266" t="b">
        <f>IF('INTRODUCIR DATOS'!$D$20="ENERO",'RESULTADO INDEXADO'!O57,IF('INTRODUCIR DATOS'!$D$20="FEBRERO",'RESULTADO INDEXADO'!V57,IF('INTRODUCIR DATOS'!$D$20="MARZO",'RESULTADO INDEXADO'!AC57,IF('INTRODUCIR DATOS'!$D$20="ABRIL",'RESULTADO INDEXADO'!AJ57,IF('INTRODUCIR DATOS'!$D$20="MAYO",'RESULTADO INDEXADO'!AQ57,IF('INTRODUCIR DATOS'!$D$20="JUNIO",'RESULTADO INDEXADO'!AX57,IF('INTRODUCIR DATOS'!$D$20="JULIO",'RESULTADO INDEXADO'!BE57,IF('INTRODUCIR DATOS'!$D$20="AGOSTO",'RESULTADO INDEXADO'!BL57,IF('INTRODUCIR DATOS'!$D$20="SEPTIEMBRE",'RESULTADO INDEXADO'!BS57,IF('INTRODUCIR DATOS'!$D$20="OCTUBRE",'RESULTADO INDEXADO'!BZ57,IF('INTRODUCIR DATOS'!$D$20="NOVIEMBRE",'RESULTADO INDEXADO'!CG57,IF('INTRODUCIR DATOS'!$D$20="DICIEMBRE",'RESULTADO INDEXADO'!CN57))))))))))))</f>
        <v>0</v>
      </c>
      <c r="F57" s="253" t="b">
        <f>IF('INTRODUCIR DATOS'!$D$20="ENERO",'RESULTADO INDEXADO'!P57,IF('INTRODUCIR DATOS'!$D$20="FEBRERO",'RESULTADO INDEXADO'!W57,IF('INTRODUCIR DATOS'!$D$20="MARZO",'RESULTADO INDEXADO'!AD57,IF('INTRODUCIR DATOS'!$D$20="ABRIL",'RESULTADO INDEXADO'!AK57,IF('INTRODUCIR DATOS'!$D$20="MAYO",'RESULTADO INDEXADO'!AR57,IF('INTRODUCIR DATOS'!$D$20="JUNIO",'RESULTADO INDEXADO'!AY57,IF('INTRODUCIR DATOS'!$D$20="JULIO",'RESULTADO INDEXADO'!BF57,IF('INTRODUCIR DATOS'!$D$20="AGOSTO",'RESULTADO INDEXADO'!BM57,IF('INTRODUCIR DATOS'!$D$20="SEPTIEMBRE",'RESULTADO INDEXADO'!BT57,IF('INTRODUCIR DATOS'!$D$20="OCTUBRE",'RESULTADO INDEXADO'!CA57,IF('INTRODUCIR DATOS'!$D$20="NOVIEMBRE",'RESULTADO INDEXADO'!CH57,IF('INTRODUCIR DATOS'!$D$20="DICIEMBRE",'RESULTADO INDEXADO'!CO57))))))))))))</f>
        <v>0</v>
      </c>
      <c r="G57" s="253" t="b">
        <f>IF('INTRODUCIR DATOS'!$D$20="ENERO",'RESULTADO INDEXADO'!Q57,IF('INTRODUCIR DATOS'!$D$20="FEBRERO",'RESULTADO INDEXADO'!X57,IF('INTRODUCIR DATOS'!$D$20="MARZO",'RESULTADO INDEXADO'!AE57,IF('INTRODUCIR DATOS'!$D$20="ABRIL",'RESULTADO INDEXADO'!AL57,IF('INTRODUCIR DATOS'!$D$20="MAYO",'RESULTADO INDEXADO'!AS57,IF('INTRODUCIR DATOS'!$D$20="JUNIO",'RESULTADO INDEXADO'!AZ57,IF('INTRODUCIR DATOS'!$D$20="JULIO",'RESULTADO INDEXADO'!BG57,IF('INTRODUCIR DATOS'!$D$20="AGOSTO",'RESULTADO INDEXADO'!BN57,IF('INTRODUCIR DATOS'!$D$20="SEPTIEMBRE",'RESULTADO INDEXADO'!BU57,IF('INTRODUCIR DATOS'!$D$20="OCTUBRE",'RESULTADO INDEXADO'!CB57,IF('INTRODUCIR DATOS'!$D$20="NOVIEMBRE",'RESULTADO INDEXADO'!CI57,IF('INTRODUCIR DATOS'!$D$20="DICIEMBRE",'RESULTADO INDEXADO'!CP57))))))))))))</f>
        <v>0</v>
      </c>
      <c r="H57" s="254" t="b">
        <f>IF('INTRODUCIR DATOS'!$D$20="ENERO",'RESULTADO INDEXADO'!R57,IF('INTRODUCIR DATOS'!$D$20="FEBRERO",'RESULTADO INDEXADO'!Y57,IF('INTRODUCIR DATOS'!$D$20="MARZO",'RESULTADO INDEXADO'!AF57,IF('INTRODUCIR DATOS'!$D$20="ABRIL",'RESULTADO INDEXADO'!AM57,IF('INTRODUCIR DATOS'!$D$20="MAYO",'RESULTADO INDEXADO'!AT57,IF('INTRODUCIR DATOS'!$D$20="JUNIO",'RESULTADO INDEXADO'!BA57,IF('INTRODUCIR DATOS'!$D$20="JULIO",'RESULTADO INDEXADO'!BH57,IF('INTRODUCIR DATOS'!$D$20="AGOSTO",'RESULTADO INDEXADO'!BO57,IF('INTRODUCIR DATOS'!$D$20="SEPTIEMBRE",'RESULTADO INDEXADO'!BV57,IF('INTRODUCIR DATOS'!$D$20="OCTUBRE",'RESULTADO INDEXADO'!CC57,IF('INTRODUCIR DATOS'!$D$20="NOVIEMBRE",'RESULTADO INDEXADO'!CJ57,IF('INTRODUCIR DATOS'!$D$20="DICIEMBRE",'RESULTADO INDEXADO'!CQ57))))))))))))</f>
        <v>0</v>
      </c>
      <c r="I57" s="254" t="b">
        <f>IF('INTRODUCIR DATOS'!$D$20="ENERO",'RESULTADO INDEXADO'!S57,IF('INTRODUCIR DATOS'!$D$20="FEBRERO",'RESULTADO INDEXADO'!Z57,IF('INTRODUCIR DATOS'!$D$20="MARZO",'RESULTADO INDEXADO'!AG57,IF('INTRODUCIR DATOS'!$D$20="ABRIL",'RESULTADO INDEXADO'!AN57,IF('INTRODUCIR DATOS'!$D$20="MAYO",'RESULTADO INDEXADO'!AU57,IF('INTRODUCIR DATOS'!$D$20="JUNIO",'RESULTADO INDEXADO'!BB57,IF('INTRODUCIR DATOS'!$D$20="JULIO",'RESULTADO INDEXADO'!BI57,IF('INTRODUCIR DATOS'!$D$20="AGOSTO",'RESULTADO INDEXADO'!BP57,IF('INTRODUCIR DATOS'!$D$20="SEPTIEMBRE",'RESULTADO INDEXADO'!BW57,IF('INTRODUCIR DATOS'!$D$20="OCTUBRE",'RESULTADO INDEXADO'!CD57,IF('INTRODUCIR DATOS'!$D$20="NOVIEMBRE",'RESULTADO INDEXADO'!CK57,IF('INTRODUCIR DATOS'!$D$20="DICIEMBRE",'RESULTADO INDEXADO'!CR57))))))))))))</f>
        <v>0</v>
      </c>
      <c r="J57" s="295" t="b">
        <f>IF('INTRODUCIR DATOS'!$D$20="ENERO",'RESULTADO INDEXADO'!T57,IF('INTRODUCIR DATOS'!$D$20="FEBRERO",'RESULTADO INDEXADO'!AA57,IF('INTRODUCIR DATOS'!$D$20="MARZO",'RESULTADO INDEXADO'!AH57,IF('INTRODUCIR DATOS'!$D$20="ABRIL",'RESULTADO INDEXADO'!AO57,IF('INTRODUCIR DATOS'!$D$20="MAYO",'RESULTADO INDEXADO'!AV57,IF('INTRODUCIR DATOS'!$D$20="JUNIO",'RESULTADO INDEXADO'!BC57,IF('INTRODUCIR DATOS'!$D$20="JULIO",'RESULTADO INDEXADO'!BJ57,IF('INTRODUCIR DATOS'!$D$20="AGOSTO",'RESULTADO INDEXADO'!BQ57,IF('INTRODUCIR DATOS'!$D$20="SEPTIEMBRE",'RESULTADO INDEXADO'!BX57,IF('INTRODUCIR DATOS'!$D$20="OCTUBRE",'RESULTADO INDEXADO'!CE57,IF('INTRODUCIR DATOS'!$D$20="NOVIEMBRE",'RESULTADO INDEXADO'!CL57,IF('INTRODUCIR DATOS'!$D$20="DICIEMBRE",'RESULTADO INDEXADO'!CS57))))))))))))</f>
        <v>0</v>
      </c>
      <c r="K57" s="290">
        <f>('INTRODUCIR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DATOS'!$D$17)+'INTRODUCIR DATOS'!$D$15+'INTRODUCIR DATOS'!$D$16+IF('INTRODUCIR DATOS'!$D$21=21%,(('INTRODUCIR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DATOS'!$D$17)+'INTRODUCIR DATOS'!$D$16)*21/100,IF('INTRODUCIR DATOS'!$D$21=10%,(('INTRODUCIR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DATOS'!$D$17)+'INTRODUCIR DATOS'!$D$16)*10/100))</f>
        <v>1.0285</v>
      </c>
      <c r="L57" s="292">
        <f>IF(K57=0,"",'INTRODUCIR DATOS'!$D$14-K57)</f>
        <v>113.12150000000001</v>
      </c>
      <c r="M57" s="271">
        <f>IF(K57=0,"",('INTRODUCIR DATOS'!$D$14-K57)/'INTRODUCIR DATOS'!$D$14)</f>
        <v>0.99098992553657472</v>
      </c>
      <c r="N57" s="274" t="s">
        <v>136</v>
      </c>
      <c r="O57" s="266"/>
      <c r="P57" s="253"/>
      <c r="Q57" s="253"/>
      <c r="R57" s="254"/>
      <c r="S57" s="254"/>
      <c r="T57" s="295"/>
      <c r="U57" s="274" t="s">
        <v>136</v>
      </c>
      <c r="V57" s="266"/>
      <c r="W57" s="253"/>
      <c r="X57" s="253"/>
      <c r="Y57" s="254"/>
      <c r="Z57" s="254"/>
      <c r="AA57" s="295"/>
      <c r="AB57" s="274" t="s">
        <v>136</v>
      </c>
      <c r="AC57" s="266"/>
      <c r="AD57" s="253"/>
      <c r="AE57" s="253"/>
      <c r="AF57" s="254"/>
      <c r="AG57" s="254"/>
      <c r="AH57" s="295"/>
      <c r="AI57" s="274" t="s">
        <v>136</v>
      </c>
      <c r="AJ57" s="266"/>
      <c r="AK57" s="253"/>
      <c r="AL57" s="253"/>
      <c r="AM57" s="254"/>
      <c r="AN57" s="254"/>
      <c r="AO57" s="295"/>
      <c r="AP57" s="274" t="s">
        <v>136</v>
      </c>
      <c r="AQ57" s="266"/>
      <c r="AR57" s="253"/>
      <c r="AS57" s="253"/>
      <c r="AT57" s="254"/>
      <c r="AU57" s="254"/>
      <c r="AV57" s="295"/>
      <c r="AW57" s="274" t="s">
        <v>136</v>
      </c>
      <c r="AX57" s="266"/>
      <c r="AY57" s="253"/>
      <c r="AZ57" s="253"/>
      <c r="BA57" s="254"/>
      <c r="BB57" s="254"/>
      <c r="BC57" s="295"/>
      <c r="BD57" s="274" t="s">
        <v>136</v>
      </c>
      <c r="BE57" s="266"/>
      <c r="BF57" s="253"/>
      <c r="BG57" s="253"/>
      <c r="BH57" s="254"/>
      <c r="BI57" s="254"/>
      <c r="BJ57" s="295"/>
      <c r="BK57" s="274" t="s">
        <v>136</v>
      </c>
      <c r="BL57" s="266"/>
      <c r="BM57" s="253"/>
      <c r="BN57" s="253"/>
      <c r="BO57" s="254"/>
      <c r="BP57" s="254"/>
      <c r="BQ57" s="295"/>
      <c r="BR57" s="274" t="s">
        <v>136</v>
      </c>
      <c r="BS57" s="266"/>
      <c r="BT57" s="253"/>
      <c r="BU57" s="253"/>
      <c r="BV57" s="254"/>
      <c r="BW57" s="254"/>
      <c r="BX57" s="295"/>
      <c r="BY57" s="274" t="s">
        <v>136</v>
      </c>
      <c r="BZ57" s="266"/>
      <c r="CA57" s="253"/>
      <c r="CB57" s="253"/>
      <c r="CC57" s="254"/>
      <c r="CD57" s="254"/>
      <c r="CE57" s="295"/>
      <c r="CF57" s="274" t="s">
        <v>136</v>
      </c>
      <c r="CG57" s="266"/>
      <c r="CH57" s="253"/>
      <c r="CI57" s="253"/>
      <c r="CJ57" s="254"/>
      <c r="CK57" s="254"/>
      <c r="CL57" s="295"/>
      <c r="CM57" s="274" t="s">
        <v>136</v>
      </c>
      <c r="CN57" s="266"/>
      <c r="CO57" s="253"/>
      <c r="CP57" s="253"/>
      <c r="CQ57" s="254"/>
      <c r="CR57" s="254"/>
      <c r="CS57" s="295"/>
    </row>
    <row r="58" spans="1:97">
      <c r="A58" s="41" t="s">
        <v>142</v>
      </c>
      <c r="B58" s="40" t="s">
        <v>73</v>
      </c>
      <c r="C58" s="145" t="s">
        <v>139</v>
      </c>
      <c r="D58" s="311" t="s">
        <v>134</v>
      </c>
      <c r="E58" s="267" t="b">
        <f>IF('INTRODUCIR DATOS'!$D$20="ENERO",'RESULTADO INDEXADO'!O58,IF('INTRODUCIR DATOS'!$D$20="FEBRERO",'RESULTADO INDEXADO'!V58,IF('INTRODUCIR DATOS'!$D$20="MARZO",'RESULTADO INDEXADO'!AC58,IF('INTRODUCIR DATOS'!$D$20="ABRIL",'RESULTADO INDEXADO'!AJ58,IF('INTRODUCIR DATOS'!$D$20="MAYO",'RESULTADO INDEXADO'!AQ58,IF('INTRODUCIR DATOS'!$D$20="JUNIO",'RESULTADO INDEXADO'!AX58,IF('INTRODUCIR DATOS'!$D$20="JULIO",'RESULTADO INDEXADO'!BE58,IF('INTRODUCIR DATOS'!$D$20="AGOSTO",'RESULTADO INDEXADO'!BL58,IF('INTRODUCIR DATOS'!$D$20="SEPTIEMBRE",'RESULTADO INDEXADO'!BS58,IF('INTRODUCIR DATOS'!$D$20="OCTUBRE",'RESULTADO INDEXADO'!BZ58,IF('INTRODUCIR DATOS'!$D$20="NOVIEMBRE",'RESULTADO INDEXADO'!CG58,IF('INTRODUCIR DATOS'!$D$20="DICIEMBRE",'RESULTADO INDEXADO'!CN58))))))))))))</f>
        <v>0</v>
      </c>
      <c r="F58" s="256" t="b">
        <f>IF('INTRODUCIR DATOS'!$D$20="ENERO",'RESULTADO INDEXADO'!P58,IF('INTRODUCIR DATOS'!$D$20="FEBRERO",'RESULTADO INDEXADO'!W58,IF('INTRODUCIR DATOS'!$D$20="MARZO",'RESULTADO INDEXADO'!AD58,IF('INTRODUCIR DATOS'!$D$20="ABRIL",'RESULTADO INDEXADO'!AK58,IF('INTRODUCIR DATOS'!$D$20="MAYO",'RESULTADO INDEXADO'!AR58,IF('INTRODUCIR DATOS'!$D$20="JUNIO",'RESULTADO INDEXADO'!AY58,IF('INTRODUCIR DATOS'!$D$20="JULIO",'RESULTADO INDEXADO'!BF58,IF('INTRODUCIR DATOS'!$D$20="AGOSTO",'RESULTADO INDEXADO'!BM58,IF('INTRODUCIR DATOS'!$D$20="SEPTIEMBRE",'RESULTADO INDEXADO'!BT58,IF('INTRODUCIR DATOS'!$D$20="OCTUBRE",'RESULTADO INDEXADO'!CA58,IF('INTRODUCIR DATOS'!$D$20="NOVIEMBRE",'RESULTADO INDEXADO'!CH58,IF('INTRODUCIR DATOS'!$D$20="DICIEMBRE",'RESULTADO INDEXADO'!CO58))))))))))))</f>
        <v>0</v>
      </c>
      <c r="G58" s="257" t="b">
        <f>IF('INTRODUCIR DATOS'!$D$20="ENERO",'RESULTADO INDEXADO'!Q58,IF('INTRODUCIR DATOS'!$D$20="FEBRERO",'RESULTADO INDEXADO'!X58,IF('INTRODUCIR DATOS'!$D$20="MARZO",'RESULTADO INDEXADO'!AE58,IF('INTRODUCIR DATOS'!$D$20="ABRIL",'RESULTADO INDEXADO'!AL58,IF('INTRODUCIR DATOS'!$D$20="MAYO",'RESULTADO INDEXADO'!AS58,IF('INTRODUCIR DATOS'!$D$20="JUNIO",'RESULTADO INDEXADO'!AZ58,IF('INTRODUCIR DATOS'!$D$20="JULIO",'RESULTADO INDEXADO'!BG58,IF('INTRODUCIR DATOS'!$D$20="AGOSTO",'RESULTADO INDEXADO'!BN58,IF('INTRODUCIR DATOS'!$D$20="SEPTIEMBRE",'RESULTADO INDEXADO'!BU58,IF('INTRODUCIR DATOS'!$D$20="OCTUBRE",'RESULTADO INDEXADO'!CB58,IF('INTRODUCIR DATOS'!$D$20="NOVIEMBRE",'RESULTADO INDEXADO'!CI58,IF('INTRODUCIR DATOS'!$D$20="DICIEMBRE",'RESULTADO INDEXADO'!CP58))))))))))))</f>
        <v>0</v>
      </c>
      <c r="H58" s="257" t="b">
        <f>IF('INTRODUCIR DATOS'!$D$20="ENERO",'RESULTADO INDEXADO'!R58,IF('INTRODUCIR DATOS'!$D$20="FEBRERO",'RESULTADO INDEXADO'!Y58,IF('INTRODUCIR DATOS'!$D$20="MARZO",'RESULTADO INDEXADO'!AF58,IF('INTRODUCIR DATOS'!$D$20="ABRIL",'RESULTADO INDEXADO'!AM58,IF('INTRODUCIR DATOS'!$D$20="MAYO",'RESULTADO INDEXADO'!AT58,IF('INTRODUCIR DATOS'!$D$20="JUNIO",'RESULTADO INDEXADO'!BA58,IF('INTRODUCIR DATOS'!$D$20="JULIO",'RESULTADO INDEXADO'!BH58,IF('INTRODUCIR DATOS'!$D$20="AGOSTO",'RESULTADO INDEXADO'!BO58,IF('INTRODUCIR DATOS'!$D$20="SEPTIEMBRE",'RESULTADO INDEXADO'!BV58,IF('INTRODUCIR DATOS'!$D$20="OCTUBRE",'RESULTADO INDEXADO'!CC58,IF('INTRODUCIR DATOS'!$D$20="NOVIEMBRE",'RESULTADO INDEXADO'!CJ58,IF('INTRODUCIR DATOS'!$D$20="DICIEMBRE",'RESULTADO INDEXADO'!CQ58))))))))))))</f>
        <v>0</v>
      </c>
      <c r="I58" s="257" t="b">
        <f>IF('INTRODUCIR DATOS'!$D$20="ENERO",'RESULTADO INDEXADO'!S58,IF('INTRODUCIR DATOS'!$D$20="FEBRERO",'RESULTADO INDEXADO'!Z58,IF('INTRODUCIR DATOS'!$D$20="MARZO",'RESULTADO INDEXADO'!AG58,IF('INTRODUCIR DATOS'!$D$20="ABRIL",'RESULTADO INDEXADO'!AN58,IF('INTRODUCIR DATOS'!$D$20="MAYO",'RESULTADO INDEXADO'!AU58,IF('INTRODUCIR DATOS'!$D$20="JUNIO",'RESULTADO INDEXADO'!BB58,IF('INTRODUCIR DATOS'!$D$20="JULIO",'RESULTADO INDEXADO'!BI58,IF('INTRODUCIR DATOS'!$D$20="AGOSTO",'RESULTADO INDEXADO'!BP58,IF('INTRODUCIR DATOS'!$D$20="SEPTIEMBRE",'RESULTADO INDEXADO'!BW58,IF('INTRODUCIR DATOS'!$D$20="OCTUBRE",'RESULTADO INDEXADO'!CD58,IF('INTRODUCIR DATOS'!$D$20="NOVIEMBRE",'RESULTADO INDEXADO'!CK58,IF('INTRODUCIR DATOS'!$D$20="DICIEMBRE",'RESULTADO INDEXADO'!CR58))))))))))))</f>
        <v>0</v>
      </c>
      <c r="J58" s="296" t="b">
        <f>IF('INTRODUCIR DATOS'!$D$20="ENERO",'RESULTADO INDEXADO'!T58,IF('INTRODUCIR DATOS'!$D$20="FEBRERO",'RESULTADO INDEXADO'!AA58,IF('INTRODUCIR DATOS'!$D$20="MARZO",'RESULTADO INDEXADO'!AH58,IF('INTRODUCIR DATOS'!$D$20="ABRIL",'RESULTADO INDEXADO'!AO58,IF('INTRODUCIR DATOS'!$D$20="MAYO",'RESULTADO INDEXADO'!AV58,IF('INTRODUCIR DATOS'!$D$20="JUNIO",'RESULTADO INDEXADO'!BC58,IF('INTRODUCIR DATOS'!$D$20="JULIO",'RESULTADO INDEXADO'!BJ58,IF('INTRODUCIR DATOS'!$D$20="AGOSTO",'RESULTADO INDEXADO'!BQ58,IF('INTRODUCIR DATOS'!$D$20="SEPTIEMBRE",'RESULTADO INDEXADO'!BX58,IF('INTRODUCIR DATOS'!$D$20="OCTUBRE",'RESULTADO INDEXADO'!CE58,IF('INTRODUCIR DATOS'!$D$20="NOVIEMBRE",'RESULTADO INDEXADO'!CL58,IF('INTRODUCIR DATOS'!$D$20="DICIEMBRE",'RESULTADO INDEXADO'!CS58))))))))))))</f>
        <v>0</v>
      </c>
      <c r="K58" s="41"/>
      <c r="L58" s="40"/>
      <c r="M58" s="145"/>
      <c r="N58" s="275" t="s">
        <v>134</v>
      </c>
      <c r="O58" s="267">
        <v>4.6566000000000003E-2</v>
      </c>
      <c r="P58" s="256">
        <v>4.2405999999999999E-2</v>
      </c>
      <c r="Q58" s="257">
        <v>2.7064000000000001E-2</v>
      </c>
      <c r="R58" s="257">
        <v>2.4601000000000001E-2</v>
      </c>
      <c r="S58" s="257">
        <v>1.9924999999999998E-2</v>
      </c>
      <c r="T58" s="296">
        <v>1.9736E-2</v>
      </c>
      <c r="U58" s="275" t="s">
        <v>134</v>
      </c>
      <c r="V58" s="267">
        <v>4.6566000000000003E-2</v>
      </c>
      <c r="W58" s="256">
        <v>4.2405999999999999E-2</v>
      </c>
      <c r="X58" s="257">
        <v>2.7064000000000001E-2</v>
      </c>
      <c r="Y58" s="257">
        <v>2.4601000000000001E-2</v>
      </c>
      <c r="Z58" s="257">
        <v>1.9924999999999998E-2</v>
      </c>
      <c r="AA58" s="296">
        <v>1.9736E-2</v>
      </c>
      <c r="AB58" s="275" t="s">
        <v>134</v>
      </c>
      <c r="AC58" s="267">
        <v>4.6566000000000003E-2</v>
      </c>
      <c r="AD58" s="256">
        <v>4.2405999999999999E-2</v>
      </c>
      <c r="AE58" s="257">
        <v>2.7064000000000001E-2</v>
      </c>
      <c r="AF58" s="257">
        <v>2.4601000000000001E-2</v>
      </c>
      <c r="AG58" s="257">
        <v>1.9924999999999998E-2</v>
      </c>
      <c r="AH58" s="296">
        <v>1.9736E-2</v>
      </c>
      <c r="AI58" s="275" t="s">
        <v>134</v>
      </c>
      <c r="AJ58" s="267">
        <v>4.6566000000000003E-2</v>
      </c>
      <c r="AK58" s="256">
        <v>4.2405999999999999E-2</v>
      </c>
      <c r="AL58" s="257">
        <v>2.7064000000000001E-2</v>
      </c>
      <c r="AM58" s="257">
        <v>2.4601000000000001E-2</v>
      </c>
      <c r="AN58" s="257">
        <v>1.9924999999999998E-2</v>
      </c>
      <c r="AO58" s="296">
        <v>1.9736E-2</v>
      </c>
      <c r="AP58" s="275" t="s">
        <v>134</v>
      </c>
      <c r="AQ58" s="267">
        <v>4.6566000000000003E-2</v>
      </c>
      <c r="AR58" s="256">
        <v>4.2405999999999999E-2</v>
      </c>
      <c r="AS58" s="257">
        <v>2.7064000000000001E-2</v>
      </c>
      <c r="AT58" s="257">
        <v>2.4601000000000001E-2</v>
      </c>
      <c r="AU58" s="257">
        <v>1.9924999999999998E-2</v>
      </c>
      <c r="AV58" s="296">
        <v>1.9736E-2</v>
      </c>
      <c r="AW58" s="275" t="s">
        <v>134</v>
      </c>
      <c r="AX58" s="267">
        <v>4.6566000000000003E-2</v>
      </c>
      <c r="AY58" s="256">
        <v>4.2405999999999999E-2</v>
      </c>
      <c r="AZ58" s="257">
        <v>2.7064000000000001E-2</v>
      </c>
      <c r="BA58" s="257">
        <v>2.4601000000000001E-2</v>
      </c>
      <c r="BB58" s="257">
        <v>1.9924999999999998E-2</v>
      </c>
      <c r="BC58" s="296">
        <v>1.9736E-2</v>
      </c>
      <c r="BD58" s="275" t="s">
        <v>134</v>
      </c>
      <c r="BE58" s="267">
        <v>4.6566000000000003E-2</v>
      </c>
      <c r="BF58" s="256">
        <v>4.2405999999999999E-2</v>
      </c>
      <c r="BG58" s="257">
        <v>2.7064000000000001E-2</v>
      </c>
      <c r="BH58" s="257">
        <v>2.4601000000000001E-2</v>
      </c>
      <c r="BI58" s="257">
        <v>1.9924999999999998E-2</v>
      </c>
      <c r="BJ58" s="296">
        <v>1.9736E-2</v>
      </c>
      <c r="BK58" s="275" t="s">
        <v>134</v>
      </c>
      <c r="BL58" s="267">
        <v>4.6566000000000003E-2</v>
      </c>
      <c r="BM58" s="256">
        <v>4.2405999999999999E-2</v>
      </c>
      <c r="BN58" s="257">
        <v>2.7064000000000001E-2</v>
      </c>
      <c r="BO58" s="257">
        <v>2.4601000000000001E-2</v>
      </c>
      <c r="BP58" s="257">
        <v>1.9924999999999998E-2</v>
      </c>
      <c r="BQ58" s="296">
        <v>1.9736E-2</v>
      </c>
      <c r="BR58" s="275" t="s">
        <v>134</v>
      </c>
      <c r="BS58" s="267">
        <v>4.6566000000000003E-2</v>
      </c>
      <c r="BT58" s="256">
        <v>4.2405999999999999E-2</v>
      </c>
      <c r="BU58" s="257">
        <v>2.7064000000000001E-2</v>
      </c>
      <c r="BV58" s="257">
        <v>2.4601000000000001E-2</v>
      </c>
      <c r="BW58" s="257">
        <v>1.9924999999999998E-2</v>
      </c>
      <c r="BX58" s="296">
        <v>1.9736E-2</v>
      </c>
      <c r="BY58" s="275" t="s">
        <v>134</v>
      </c>
      <c r="BZ58" s="267">
        <v>4.6566000000000003E-2</v>
      </c>
      <c r="CA58" s="256">
        <v>4.2405999999999999E-2</v>
      </c>
      <c r="CB58" s="257">
        <v>2.7064000000000001E-2</v>
      </c>
      <c r="CC58" s="257">
        <v>2.4601000000000001E-2</v>
      </c>
      <c r="CD58" s="257">
        <v>1.9924999999999998E-2</v>
      </c>
      <c r="CE58" s="296">
        <v>1.9736E-2</v>
      </c>
      <c r="CF58" s="275" t="s">
        <v>134</v>
      </c>
      <c r="CG58" s="267">
        <v>4.6566000000000003E-2</v>
      </c>
      <c r="CH58" s="256">
        <v>4.2405999999999999E-2</v>
      </c>
      <c r="CI58" s="257">
        <v>2.7064000000000001E-2</v>
      </c>
      <c r="CJ58" s="257">
        <v>2.4601000000000001E-2</v>
      </c>
      <c r="CK58" s="257">
        <v>1.9924999999999998E-2</v>
      </c>
      <c r="CL58" s="296">
        <v>1.9736E-2</v>
      </c>
      <c r="CM58" s="275" t="s">
        <v>134</v>
      </c>
      <c r="CN58" s="267">
        <v>4.6566000000000003E-2</v>
      </c>
      <c r="CO58" s="256">
        <v>4.2405999999999999E-2</v>
      </c>
      <c r="CP58" s="257">
        <v>2.7064000000000001E-2</v>
      </c>
      <c r="CQ58" s="257">
        <v>2.4601000000000001E-2</v>
      </c>
      <c r="CR58" s="257">
        <v>1.9924999999999998E-2</v>
      </c>
      <c r="CS58" s="296">
        <v>1.9736E-2</v>
      </c>
    </row>
    <row r="59" spans="1:97">
      <c r="A59" s="41" t="s">
        <v>142</v>
      </c>
      <c r="B59" s="40" t="s">
        <v>73</v>
      </c>
      <c r="C59" s="145" t="s">
        <v>139</v>
      </c>
      <c r="D59" s="310" t="s">
        <v>136</v>
      </c>
      <c r="E59" s="266" t="b">
        <f>IF('INTRODUCIR DATOS'!$D$20="ENERO",'RESULTADO INDEXADO'!O59,IF('INTRODUCIR DATOS'!$D$20="FEBRERO",'RESULTADO INDEXADO'!V59,IF('INTRODUCIR DATOS'!$D$20="MARZO",'RESULTADO INDEXADO'!AC59,IF('INTRODUCIR DATOS'!$D$20="ABRIL",'RESULTADO INDEXADO'!AJ59,IF('INTRODUCIR DATOS'!$D$20="MAYO",'RESULTADO INDEXADO'!AQ59,IF('INTRODUCIR DATOS'!$D$20="JUNIO",'RESULTADO INDEXADO'!AX59,IF('INTRODUCIR DATOS'!$D$20="JULIO",'RESULTADO INDEXADO'!BE59,IF('INTRODUCIR DATOS'!$D$20="AGOSTO",'RESULTADO INDEXADO'!BL59,IF('INTRODUCIR DATOS'!$D$20="SEPTIEMBRE",'RESULTADO INDEXADO'!BS59,IF('INTRODUCIR DATOS'!$D$20="OCTUBRE",'RESULTADO INDEXADO'!BZ59,IF('INTRODUCIR DATOS'!$D$20="NOVIEMBRE",'RESULTADO INDEXADO'!CG59,IF('INTRODUCIR DATOS'!$D$20="DICIEMBRE",'RESULTADO INDEXADO'!CN59))))))))))))</f>
        <v>0</v>
      </c>
      <c r="F59" s="253" t="b">
        <f>IF('INTRODUCIR DATOS'!$D$20="ENERO",'RESULTADO INDEXADO'!P59,IF('INTRODUCIR DATOS'!$D$20="FEBRERO",'RESULTADO INDEXADO'!W59,IF('INTRODUCIR DATOS'!$D$20="MARZO",'RESULTADO INDEXADO'!AD59,IF('INTRODUCIR DATOS'!$D$20="ABRIL",'RESULTADO INDEXADO'!AK59,IF('INTRODUCIR DATOS'!$D$20="MAYO",'RESULTADO INDEXADO'!AR59,IF('INTRODUCIR DATOS'!$D$20="JUNIO",'RESULTADO INDEXADO'!AY59,IF('INTRODUCIR DATOS'!$D$20="JULIO",'RESULTADO INDEXADO'!BF59,IF('INTRODUCIR DATOS'!$D$20="AGOSTO",'RESULTADO INDEXADO'!BM59,IF('INTRODUCIR DATOS'!$D$20="SEPTIEMBRE",'RESULTADO INDEXADO'!BT59,IF('INTRODUCIR DATOS'!$D$20="OCTUBRE",'RESULTADO INDEXADO'!CA59,IF('INTRODUCIR DATOS'!$D$20="NOVIEMBRE",'RESULTADO INDEXADO'!CH59,IF('INTRODUCIR DATOS'!$D$20="DICIEMBRE",'RESULTADO INDEXADO'!CO59))))))))))))</f>
        <v>0</v>
      </c>
      <c r="G59" s="253" t="b">
        <f>IF('INTRODUCIR DATOS'!$D$20="ENERO",'RESULTADO INDEXADO'!Q59,IF('INTRODUCIR DATOS'!$D$20="FEBRERO",'RESULTADO INDEXADO'!X59,IF('INTRODUCIR DATOS'!$D$20="MARZO",'RESULTADO INDEXADO'!AE59,IF('INTRODUCIR DATOS'!$D$20="ABRIL",'RESULTADO INDEXADO'!AL59,IF('INTRODUCIR DATOS'!$D$20="MAYO",'RESULTADO INDEXADO'!AS59,IF('INTRODUCIR DATOS'!$D$20="JUNIO",'RESULTADO INDEXADO'!AZ59,IF('INTRODUCIR DATOS'!$D$20="JULIO",'RESULTADO INDEXADO'!BG59,IF('INTRODUCIR DATOS'!$D$20="AGOSTO",'RESULTADO INDEXADO'!BN59,IF('INTRODUCIR DATOS'!$D$20="SEPTIEMBRE",'RESULTADO INDEXADO'!BU59,IF('INTRODUCIR DATOS'!$D$20="OCTUBRE",'RESULTADO INDEXADO'!CB59,IF('INTRODUCIR DATOS'!$D$20="NOVIEMBRE",'RESULTADO INDEXADO'!CI59,IF('INTRODUCIR DATOS'!$D$20="DICIEMBRE",'RESULTADO INDEXADO'!CP59))))))))))))</f>
        <v>0</v>
      </c>
      <c r="H59" s="254" t="b">
        <f>IF('INTRODUCIR DATOS'!$D$20="ENERO",'RESULTADO INDEXADO'!R59,IF('INTRODUCIR DATOS'!$D$20="FEBRERO",'RESULTADO INDEXADO'!Y59,IF('INTRODUCIR DATOS'!$D$20="MARZO",'RESULTADO INDEXADO'!AF59,IF('INTRODUCIR DATOS'!$D$20="ABRIL",'RESULTADO INDEXADO'!AM59,IF('INTRODUCIR DATOS'!$D$20="MAYO",'RESULTADO INDEXADO'!AT59,IF('INTRODUCIR DATOS'!$D$20="JUNIO",'RESULTADO INDEXADO'!BA59,IF('INTRODUCIR DATOS'!$D$20="JULIO",'RESULTADO INDEXADO'!BH59,IF('INTRODUCIR DATOS'!$D$20="AGOSTO",'RESULTADO INDEXADO'!BO59,IF('INTRODUCIR DATOS'!$D$20="SEPTIEMBRE",'RESULTADO INDEXADO'!BV59,IF('INTRODUCIR DATOS'!$D$20="OCTUBRE",'RESULTADO INDEXADO'!CC59,IF('INTRODUCIR DATOS'!$D$20="NOVIEMBRE",'RESULTADO INDEXADO'!CJ59,IF('INTRODUCIR DATOS'!$D$20="DICIEMBRE",'RESULTADO INDEXADO'!CQ59))))))))))))</f>
        <v>0</v>
      </c>
      <c r="I59" s="254" t="b">
        <f>IF('INTRODUCIR DATOS'!$D$20="ENERO",'RESULTADO INDEXADO'!S59,IF('INTRODUCIR DATOS'!$D$20="FEBRERO",'RESULTADO INDEXADO'!Z59,IF('INTRODUCIR DATOS'!$D$20="MARZO",'RESULTADO INDEXADO'!AG59,IF('INTRODUCIR DATOS'!$D$20="ABRIL",'RESULTADO INDEXADO'!AN59,IF('INTRODUCIR DATOS'!$D$20="MAYO",'RESULTADO INDEXADO'!AU59,IF('INTRODUCIR DATOS'!$D$20="JUNIO",'RESULTADO INDEXADO'!BB59,IF('INTRODUCIR DATOS'!$D$20="JULIO",'RESULTADO INDEXADO'!BI59,IF('INTRODUCIR DATOS'!$D$20="AGOSTO",'RESULTADO INDEXADO'!BP59,IF('INTRODUCIR DATOS'!$D$20="SEPTIEMBRE",'RESULTADO INDEXADO'!BW59,IF('INTRODUCIR DATOS'!$D$20="OCTUBRE",'RESULTADO INDEXADO'!CD59,IF('INTRODUCIR DATOS'!$D$20="NOVIEMBRE",'RESULTADO INDEXADO'!CK59,IF('INTRODUCIR DATOS'!$D$20="DICIEMBRE",'RESULTADO INDEXADO'!CR59))))))))))))</f>
        <v>0</v>
      </c>
      <c r="J59" s="295" t="b">
        <f>IF('INTRODUCIR DATOS'!$D$20="ENERO",'RESULTADO INDEXADO'!T59,IF('INTRODUCIR DATOS'!$D$20="FEBRERO",'RESULTADO INDEXADO'!AA59,IF('INTRODUCIR DATOS'!$D$20="MARZO",'RESULTADO INDEXADO'!AH59,IF('INTRODUCIR DATOS'!$D$20="ABRIL",'RESULTADO INDEXADO'!AO59,IF('INTRODUCIR DATOS'!$D$20="MAYO",'RESULTADO INDEXADO'!AV59,IF('INTRODUCIR DATOS'!$D$20="JUNIO",'RESULTADO INDEXADO'!BC59,IF('INTRODUCIR DATOS'!$D$20="JULIO",'RESULTADO INDEXADO'!BJ59,IF('INTRODUCIR DATOS'!$D$20="AGOSTO",'RESULTADO INDEXADO'!BQ59,IF('INTRODUCIR DATOS'!$D$20="SEPTIEMBRE",'RESULTADO INDEXADO'!BX59,IF('INTRODUCIR DATOS'!$D$20="OCTUBRE",'RESULTADO INDEXADO'!CE59,IF('INTRODUCIR DATOS'!$D$20="NOVIEMBRE",'RESULTADO INDEXADO'!CL59,IF('INTRODUCIR DATOS'!$D$20="DICIEMBRE",'RESULTADO INDEXADO'!CS59))))))))))))</f>
        <v>0</v>
      </c>
      <c r="K59" s="290">
        <f>('INTRODUCIR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DATOS'!$D$17)+'INTRODUCIR DATOS'!$D$15+'INTRODUCIR DATOS'!$D$16+IF('INTRODUCIR DATOS'!$D$21=21%,(('INTRODUCIR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DATOS'!$D$17)+'INTRODUCIR DATOS'!$D$16)*21/100,IF('INTRODUCIR DATOS'!$D$21=10%,(('INTRODUCIR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DATOS'!$D$17)+'INTRODUCIR DATOS'!$D$16)*10/100))</f>
        <v>1.0285</v>
      </c>
      <c r="L59" s="292">
        <f>IF(K59=0,"",'INTRODUCIR DATOS'!$D$14-K59)</f>
        <v>113.12150000000001</v>
      </c>
      <c r="M59" s="271">
        <f>IF(K59=0,"",('INTRODUCIR DATOS'!$D$14-K59)/'INTRODUCIR DATOS'!$D$14)</f>
        <v>0.99098992553657472</v>
      </c>
      <c r="N59" s="274" t="s">
        <v>136</v>
      </c>
      <c r="O59" s="266">
        <v>0.14293700000000001</v>
      </c>
      <c r="P59" s="253">
        <v>0.129829</v>
      </c>
      <c r="Q59" s="253"/>
      <c r="R59" s="254"/>
      <c r="S59" s="254"/>
      <c r="T59" s="295">
        <v>8.7568999999999994E-2</v>
      </c>
      <c r="U59" s="274" t="s">
        <v>136</v>
      </c>
      <c r="V59" s="266">
        <v>9.4506999999999994E-2</v>
      </c>
      <c r="W59" s="253">
        <v>8.0813999999999997E-2</v>
      </c>
      <c r="X59" s="253"/>
      <c r="Y59" s="254"/>
      <c r="Z59" s="254"/>
      <c r="AA59" s="295">
        <v>4.9825000000000001E-2</v>
      </c>
      <c r="AB59" s="274" t="s">
        <v>136</v>
      </c>
      <c r="AC59" s="266"/>
      <c r="AD59" s="253">
        <v>0.105333</v>
      </c>
      <c r="AE59" s="253">
        <v>9.1532000000000002E-2</v>
      </c>
      <c r="AF59" s="254"/>
      <c r="AG59" s="254"/>
      <c r="AH59" s="295">
        <v>7.5905E-2</v>
      </c>
      <c r="AI59" s="274" t="s">
        <v>136</v>
      </c>
      <c r="AJ59" s="266"/>
      <c r="AK59" s="253"/>
      <c r="AL59" s="253"/>
      <c r="AM59" s="254">
        <v>0.11633499999999999</v>
      </c>
      <c r="AN59" s="254">
        <v>0.103302</v>
      </c>
      <c r="AO59" s="295">
        <v>0.103473</v>
      </c>
      <c r="AP59" s="274" t="s">
        <v>136</v>
      </c>
      <c r="AQ59" s="266"/>
      <c r="AR59" s="253"/>
      <c r="AS59" s="253"/>
      <c r="AT59" s="254">
        <v>0.11813700000000001</v>
      </c>
      <c r="AU59" s="254">
        <v>0.105958</v>
      </c>
      <c r="AV59" s="295">
        <v>0.10369299999999999</v>
      </c>
      <c r="AW59" s="274" t="s">
        <v>136</v>
      </c>
      <c r="AX59" s="266"/>
      <c r="AY59" s="253"/>
      <c r="AZ59" s="253">
        <v>0.13645699999999999</v>
      </c>
      <c r="BA59" s="254">
        <v>0.129688</v>
      </c>
      <c r="BB59" s="254"/>
      <c r="BC59" s="295">
        <v>0.120265</v>
      </c>
      <c r="BD59" s="274" t="s">
        <v>136</v>
      </c>
      <c r="BE59" s="266">
        <v>0.15984999999999999</v>
      </c>
      <c r="BF59" s="253">
        <v>0.15243899999999999</v>
      </c>
      <c r="BG59" s="253"/>
      <c r="BH59" s="254"/>
      <c r="BI59" s="254"/>
      <c r="BJ59" s="295">
        <v>0.130824</v>
      </c>
      <c r="BK59" s="274" t="s">
        <v>136</v>
      </c>
      <c r="BL59" s="266"/>
      <c r="BM59" s="253"/>
      <c r="BN59" s="253">
        <v>0.164377</v>
      </c>
      <c r="BO59" s="254">
        <v>0.158109</v>
      </c>
      <c r="BP59" s="254"/>
      <c r="BQ59" s="295">
        <v>0.14583099999999999</v>
      </c>
      <c r="BR59" s="274" t="s">
        <v>136</v>
      </c>
      <c r="BS59" s="266"/>
      <c r="BT59" s="253"/>
      <c r="BU59" s="253"/>
      <c r="BV59" s="254"/>
      <c r="BW59" s="254"/>
      <c r="BX59" s="295"/>
      <c r="BY59" s="274" t="s">
        <v>136</v>
      </c>
      <c r="BZ59" s="266"/>
      <c r="CA59" s="253"/>
      <c r="CB59" s="253"/>
      <c r="CC59" s="254"/>
      <c r="CD59" s="254"/>
      <c r="CE59" s="295"/>
      <c r="CF59" s="274" t="s">
        <v>136</v>
      </c>
      <c r="CG59" s="266"/>
      <c r="CH59" s="253"/>
      <c r="CI59" s="253"/>
      <c r="CJ59" s="254"/>
      <c r="CK59" s="254"/>
      <c r="CL59" s="295"/>
      <c r="CM59" s="274" t="s">
        <v>136</v>
      </c>
      <c r="CN59" s="266"/>
      <c r="CO59" s="253"/>
      <c r="CP59" s="253"/>
      <c r="CQ59" s="254"/>
      <c r="CR59" s="254"/>
      <c r="CS59" s="295"/>
    </row>
    <row r="60" spans="1:97">
      <c r="A60" s="41" t="s">
        <v>142</v>
      </c>
      <c r="B60" s="40" t="s">
        <v>75</v>
      </c>
      <c r="C60" s="145" t="s">
        <v>139</v>
      </c>
      <c r="D60" s="311" t="s">
        <v>134</v>
      </c>
      <c r="E60" s="267" t="b">
        <f>IF('INTRODUCIR DATOS'!$D$20="ENERO",'RESULTADO INDEXADO'!O60,IF('INTRODUCIR DATOS'!$D$20="FEBRERO",'RESULTADO INDEXADO'!V60,IF('INTRODUCIR DATOS'!$D$20="MARZO",'RESULTADO INDEXADO'!AC60,IF('INTRODUCIR DATOS'!$D$20="ABRIL",'RESULTADO INDEXADO'!AJ60,IF('INTRODUCIR DATOS'!$D$20="MAYO",'RESULTADO INDEXADO'!AQ60,IF('INTRODUCIR DATOS'!$D$20="JUNIO",'RESULTADO INDEXADO'!AX60,IF('INTRODUCIR DATOS'!$D$20="JULIO",'RESULTADO INDEXADO'!BE60,IF('INTRODUCIR DATOS'!$D$20="AGOSTO",'RESULTADO INDEXADO'!BL60,IF('INTRODUCIR DATOS'!$D$20="SEPTIEMBRE",'RESULTADO INDEXADO'!BS60,IF('INTRODUCIR DATOS'!$D$20="OCTUBRE",'RESULTADO INDEXADO'!BZ60,IF('INTRODUCIR DATOS'!$D$20="NOVIEMBRE",'RESULTADO INDEXADO'!CG60,IF('INTRODUCIR DATOS'!$D$20="DICIEMBRE",'RESULTADO INDEXADO'!CN60))))))))))))</f>
        <v>0</v>
      </c>
      <c r="F60" s="256" t="b">
        <f>IF('INTRODUCIR DATOS'!$D$20="ENERO",'RESULTADO INDEXADO'!P60,IF('INTRODUCIR DATOS'!$D$20="FEBRERO",'RESULTADO INDEXADO'!W60,IF('INTRODUCIR DATOS'!$D$20="MARZO",'RESULTADO INDEXADO'!AD60,IF('INTRODUCIR DATOS'!$D$20="ABRIL",'RESULTADO INDEXADO'!AK60,IF('INTRODUCIR DATOS'!$D$20="MAYO",'RESULTADO INDEXADO'!AR60,IF('INTRODUCIR DATOS'!$D$20="JUNIO",'RESULTADO INDEXADO'!AY60,IF('INTRODUCIR DATOS'!$D$20="JULIO",'RESULTADO INDEXADO'!BF60,IF('INTRODUCIR DATOS'!$D$20="AGOSTO",'RESULTADO INDEXADO'!BM60,IF('INTRODUCIR DATOS'!$D$20="SEPTIEMBRE",'RESULTADO INDEXADO'!BT60,IF('INTRODUCIR DATOS'!$D$20="OCTUBRE",'RESULTADO INDEXADO'!CA60,IF('INTRODUCIR DATOS'!$D$20="NOVIEMBRE",'RESULTADO INDEXADO'!CH60,IF('INTRODUCIR DATOS'!$D$20="DICIEMBRE",'RESULTADO INDEXADO'!CO60))))))))))))</f>
        <v>0</v>
      </c>
      <c r="G60" s="257" t="b">
        <f>IF('INTRODUCIR DATOS'!$D$20="ENERO",'RESULTADO INDEXADO'!Q60,IF('INTRODUCIR DATOS'!$D$20="FEBRERO",'RESULTADO INDEXADO'!X60,IF('INTRODUCIR DATOS'!$D$20="MARZO",'RESULTADO INDEXADO'!AE60,IF('INTRODUCIR DATOS'!$D$20="ABRIL",'RESULTADO INDEXADO'!AL60,IF('INTRODUCIR DATOS'!$D$20="MAYO",'RESULTADO INDEXADO'!AS60,IF('INTRODUCIR DATOS'!$D$20="JUNIO",'RESULTADO INDEXADO'!AZ60,IF('INTRODUCIR DATOS'!$D$20="JULIO",'RESULTADO INDEXADO'!BG60,IF('INTRODUCIR DATOS'!$D$20="AGOSTO",'RESULTADO INDEXADO'!BN60,IF('INTRODUCIR DATOS'!$D$20="SEPTIEMBRE",'RESULTADO INDEXADO'!BU60,IF('INTRODUCIR DATOS'!$D$20="OCTUBRE",'RESULTADO INDEXADO'!CB60,IF('INTRODUCIR DATOS'!$D$20="NOVIEMBRE",'RESULTADO INDEXADO'!CI60,IF('INTRODUCIR DATOS'!$D$20="DICIEMBRE",'RESULTADO INDEXADO'!CP60))))))))))))</f>
        <v>0</v>
      </c>
      <c r="H60" s="257" t="b">
        <f>IF('INTRODUCIR DATOS'!$D$20="ENERO",'RESULTADO INDEXADO'!R60,IF('INTRODUCIR DATOS'!$D$20="FEBRERO",'RESULTADO INDEXADO'!Y60,IF('INTRODUCIR DATOS'!$D$20="MARZO",'RESULTADO INDEXADO'!AF60,IF('INTRODUCIR DATOS'!$D$20="ABRIL",'RESULTADO INDEXADO'!AM60,IF('INTRODUCIR DATOS'!$D$20="MAYO",'RESULTADO INDEXADO'!AT60,IF('INTRODUCIR DATOS'!$D$20="JUNIO",'RESULTADO INDEXADO'!BA60,IF('INTRODUCIR DATOS'!$D$20="JULIO",'RESULTADO INDEXADO'!BH60,IF('INTRODUCIR DATOS'!$D$20="AGOSTO",'RESULTADO INDEXADO'!BO60,IF('INTRODUCIR DATOS'!$D$20="SEPTIEMBRE",'RESULTADO INDEXADO'!BV60,IF('INTRODUCIR DATOS'!$D$20="OCTUBRE",'RESULTADO INDEXADO'!CC60,IF('INTRODUCIR DATOS'!$D$20="NOVIEMBRE",'RESULTADO INDEXADO'!CJ60,IF('INTRODUCIR DATOS'!$D$20="DICIEMBRE",'RESULTADO INDEXADO'!CQ60))))))))))))</f>
        <v>0</v>
      </c>
      <c r="I60" s="257" t="b">
        <f>IF('INTRODUCIR DATOS'!$D$20="ENERO",'RESULTADO INDEXADO'!S60,IF('INTRODUCIR DATOS'!$D$20="FEBRERO",'RESULTADO INDEXADO'!Z60,IF('INTRODUCIR DATOS'!$D$20="MARZO",'RESULTADO INDEXADO'!AG60,IF('INTRODUCIR DATOS'!$D$20="ABRIL",'RESULTADO INDEXADO'!AN60,IF('INTRODUCIR DATOS'!$D$20="MAYO",'RESULTADO INDEXADO'!AU60,IF('INTRODUCIR DATOS'!$D$20="JUNIO",'RESULTADO INDEXADO'!BB60,IF('INTRODUCIR DATOS'!$D$20="JULIO",'RESULTADO INDEXADO'!BI60,IF('INTRODUCIR DATOS'!$D$20="AGOSTO",'RESULTADO INDEXADO'!BP60,IF('INTRODUCIR DATOS'!$D$20="SEPTIEMBRE",'RESULTADO INDEXADO'!BW60,IF('INTRODUCIR DATOS'!$D$20="OCTUBRE",'RESULTADO INDEXADO'!CD60,IF('INTRODUCIR DATOS'!$D$20="NOVIEMBRE",'RESULTADO INDEXADO'!CK60,IF('INTRODUCIR DATOS'!$D$20="DICIEMBRE",'RESULTADO INDEXADO'!CR60))))))))))))</f>
        <v>0</v>
      </c>
      <c r="J60" s="296" t="b">
        <f>IF('INTRODUCIR DATOS'!$D$20="ENERO",'RESULTADO INDEXADO'!T60,IF('INTRODUCIR DATOS'!$D$20="FEBRERO",'RESULTADO INDEXADO'!AA60,IF('INTRODUCIR DATOS'!$D$20="MARZO",'RESULTADO INDEXADO'!AH60,IF('INTRODUCIR DATOS'!$D$20="ABRIL",'RESULTADO INDEXADO'!AO60,IF('INTRODUCIR DATOS'!$D$20="MAYO",'RESULTADO INDEXADO'!AV60,IF('INTRODUCIR DATOS'!$D$20="JUNIO",'RESULTADO INDEXADO'!BC60,IF('INTRODUCIR DATOS'!$D$20="JULIO",'RESULTADO INDEXADO'!BJ60,IF('INTRODUCIR DATOS'!$D$20="AGOSTO",'RESULTADO INDEXADO'!BQ60,IF('INTRODUCIR DATOS'!$D$20="SEPTIEMBRE",'RESULTADO INDEXADO'!BX60,IF('INTRODUCIR DATOS'!$D$20="OCTUBRE",'RESULTADO INDEXADO'!CE60,IF('INTRODUCIR DATOS'!$D$20="NOVIEMBRE",'RESULTADO INDEXADO'!CL60,IF('INTRODUCIR DATOS'!$D$20="DICIEMBRE",'RESULTADO INDEXADO'!CS60))))))))))))</f>
        <v>0</v>
      </c>
      <c r="K60" s="41"/>
      <c r="L60" s="40"/>
      <c r="M60" s="145"/>
      <c r="N60" s="275" t="s">
        <v>134</v>
      </c>
      <c r="O60" s="267">
        <v>3.8346999999999999E-2</v>
      </c>
      <c r="P60" s="256">
        <v>3.4186000000000001E-2</v>
      </c>
      <c r="Q60" s="257">
        <v>1.8845000000000001E-2</v>
      </c>
      <c r="R60" s="257">
        <v>1.6382000000000001E-2</v>
      </c>
      <c r="S60" s="257">
        <v>1.1705E-2</v>
      </c>
      <c r="T60" s="296">
        <v>1.1516999999999999E-2</v>
      </c>
      <c r="U60" s="275" t="s">
        <v>134</v>
      </c>
      <c r="V60" s="267">
        <v>3.8346999999999999E-2</v>
      </c>
      <c r="W60" s="256">
        <v>3.4186000000000001E-2</v>
      </c>
      <c r="X60" s="257">
        <v>1.8845000000000001E-2</v>
      </c>
      <c r="Y60" s="257">
        <v>1.6382000000000001E-2</v>
      </c>
      <c r="Z60" s="257">
        <v>1.1705E-2</v>
      </c>
      <c r="AA60" s="296">
        <v>1.1516999999999999E-2</v>
      </c>
      <c r="AB60" s="275" t="s">
        <v>134</v>
      </c>
      <c r="AC60" s="267">
        <v>3.8346999999999999E-2</v>
      </c>
      <c r="AD60" s="256">
        <v>3.4186000000000001E-2</v>
      </c>
      <c r="AE60" s="257">
        <v>1.8845000000000001E-2</v>
      </c>
      <c r="AF60" s="257">
        <v>1.6382000000000001E-2</v>
      </c>
      <c r="AG60" s="257">
        <v>1.1705E-2</v>
      </c>
      <c r="AH60" s="296">
        <v>1.1516999999999999E-2</v>
      </c>
      <c r="AI60" s="275" t="s">
        <v>134</v>
      </c>
      <c r="AJ60" s="267">
        <v>3.8346999999999999E-2</v>
      </c>
      <c r="AK60" s="256">
        <v>3.4186000000000001E-2</v>
      </c>
      <c r="AL60" s="257">
        <v>1.8845000000000001E-2</v>
      </c>
      <c r="AM60" s="257">
        <v>1.6382000000000001E-2</v>
      </c>
      <c r="AN60" s="257">
        <v>1.1705E-2</v>
      </c>
      <c r="AO60" s="296">
        <v>1.1516999999999999E-2</v>
      </c>
      <c r="AP60" s="275" t="s">
        <v>134</v>
      </c>
      <c r="AQ60" s="267">
        <v>3.8346999999999999E-2</v>
      </c>
      <c r="AR60" s="256">
        <v>3.4186000000000001E-2</v>
      </c>
      <c r="AS60" s="257">
        <v>1.8845000000000001E-2</v>
      </c>
      <c r="AT60" s="257">
        <v>1.6382000000000001E-2</v>
      </c>
      <c r="AU60" s="257">
        <v>1.1705E-2</v>
      </c>
      <c r="AV60" s="296">
        <v>1.1516999999999999E-2</v>
      </c>
      <c r="AW60" s="275" t="s">
        <v>134</v>
      </c>
      <c r="AX60" s="267">
        <v>3.8346999999999999E-2</v>
      </c>
      <c r="AY60" s="256">
        <v>3.4186000000000001E-2</v>
      </c>
      <c r="AZ60" s="257">
        <v>1.8845000000000001E-2</v>
      </c>
      <c r="BA60" s="257">
        <v>1.6382000000000001E-2</v>
      </c>
      <c r="BB60" s="257">
        <v>1.1705E-2</v>
      </c>
      <c r="BC60" s="296">
        <v>1.1516999999999999E-2</v>
      </c>
      <c r="BD60" s="275" t="s">
        <v>134</v>
      </c>
      <c r="BE60" s="267">
        <v>3.8346999999999999E-2</v>
      </c>
      <c r="BF60" s="256">
        <v>3.4186000000000001E-2</v>
      </c>
      <c r="BG60" s="257">
        <v>1.8845000000000001E-2</v>
      </c>
      <c r="BH60" s="257">
        <v>1.6382000000000001E-2</v>
      </c>
      <c r="BI60" s="257">
        <v>1.1705E-2</v>
      </c>
      <c r="BJ60" s="296">
        <v>1.1516999999999999E-2</v>
      </c>
      <c r="BK60" s="275" t="s">
        <v>134</v>
      </c>
      <c r="BL60" s="267">
        <v>3.8346999999999999E-2</v>
      </c>
      <c r="BM60" s="256">
        <v>3.4186000000000001E-2</v>
      </c>
      <c r="BN60" s="257">
        <v>1.8845000000000001E-2</v>
      </c>
      <c r="BO60" s="257">
        <v>1.6382000000000001E-2</v>
      </c>
      <c r="BP60" s="257">
        <v>1.1705E-2</v>
      </c>
      <c r="BQ60" s="296">
        <v>1.1516999999999999E-2</v>
      </c>
      <c r="BR60" s="275" t="s">
        <v>134</v>
      </c>
      <c r="BS60" s="267">
        <v>3.8346999999999999E-2</v>
      </c>
      <c r="BT60" s="256">
        <v>3.4186000000000001E-2</v>
      </c>
      <c r="BU60" s="257">
        <v>1.8845000000000001E-2</v>
      </c>
      <c r="BV60" s="257">
        <v>1.6382000000000001E-2</v>
      </c>
      <c r="BW60" s="257">
        <v>1.1705E-2</v>
      </c>
      <c r="BX60" s="296">
        <v>1.1516999999999999E-2</v>
      </c>
      <c r="BY60" s="275" t="s">
        <v>134</v>
      </c>
      <c r="BZ60" s="267">
        <v>3.8346999999999999E-2</v>
      </c>
      <c r="CA60" s="256">
        <v>3.4186000000000001E-2</v>
      </c>
      <c r="CB60" s="257">
        <v>1.8845000000000001E-2</v>
      </c>
      <c r="CC60" s="257">
        <v>1.6382000000000001E-2</v>
      </c>
      <c r="CD60" s="257">
        <v>1.1705E-2</v>
      </c>
      <c r="CE60" s="296">
        <v>1.1516999999999999E-2</v>
      </c>
      <c r="CF60" s="275" t="s">
        <v>134</v>
      </c>
      <c r="CG60" s="267">
        <v>3.8346999999999999E-2</v>
      </c>
      <c r="CH60" s="256">
        <v>3.4186000000000001E-2</v>
      </c>
      <c r="CI60" s="257">
        <v>1.8845000000000001E-2</v>
      </c>
      <c r="CJ60" s="257">
        <v>1.6382000000000001E-2</v>
      </c>
      <c r="CK60" s="257">
        <v>1.1705E-2</v>
      </c>
      <c r="CL60" s="296">
        <v>1.1516999999999999E-2</v>
      </c>
      <c r="CM60" s="275" t="s">
        <v>134</v>
      </c>
      <c r="CN60" s="267">
        <v>3.8346999999999999E-2</v>
      </c>
      <c r="CO60" s="256">
        <v>3.4186000000000001E-2</v>
      </c>
      <c r="CP60" s="257">
        <v>1.8845000000000001E-2</v>
      </c>
      <c r="CQ60" s="257">
        <v>1.6382000000000001E-2</v>
      </c>
      <c r="CR60" s="257">
        <v>1.1705E-2</v>
      </c>
      <c r="CS60" s="296">
        <v>1.1516999999999999E-2</v>
      </c>
    </row>
    <row r="61" spans="1:97">
      <c r="A61" s="41" t="s">
        <v>142</v>
      </c>
      <c r="B61" s="40" t="s">
        <v>75</v>
      </c>
      <c r="C61" s="145" t="s">
        <v>139</v>
      </c>
      <c r="D61" s="310" t="s">
        <v>136</v>
      </c>
      <c r="E61" s="266" t="b">
        <f>IF('INTRODUCIR DATOS'!$D$20="ENERO",'RESULTADO INDEXADO'!O61,IF('INTRODUCIR DATOS'!$D$20="FEBRERO",'RESULTADO INDEXADO'!V61,IF('INTRODUCIR DATOS'!$D$20="MARZO",'RESULTADO INDEXADO'!AC61,IF('INTRODUCIR DATOS'!$D$20="ABRIL",'RESULTADO INDEXADO'!AJ61,IF('INTRODUCIR DATOS'!$D$20="MAYO",'RESULTADO INDEXADO'!AQ61,IF('INTRODUCIR DATOS'!$D$20="JUNIO",'RESULTADO INDEXADO'!AX61,IF('INTRODUCIR DATOS'!$D$20="JULIO",'RESULTADO INDEXADO'!BE61,IF('INTRODUCIR DATOS'!$D$20="AGOSTO",'RESULTADO INDEXADO'!BL61,IF('INTRODUCIR DATOS'!$D$20="SEPTIEMBRE",'RESULTADO INDEXADO'!BS61,IF('INTRODUCIR DATOS'!$D$20="OCTUBRE",'RESULTADO INDEXADO'!BZ61,IF('INTRODUCIR DATOS'!$D$20="NOVIEMBRE",'RESULTADO INDEXADO'!CG61,IF('INTRODUCIR DATOS'!$D$20="DICIEMBRE",'RESULTADO INDEXADO'!CN61))))))))))))</f>
        <v>0</v>
      </c>
      <c r="F61" s="253" t="b">
        <f>IF('INTRODUCIR DATOS'!$D$20="ENERO",'RESULTADO INDEXADO'!P61,IF('INTRODUCIR DATOS'!$D$20="FEBRERO",'RESULTADO INDEXADO'!W61,IF('INTRODUCIR DATOS'!$D$20="MARZO",'RESULTADO INDEXADO'!AD61,IF('INTRODUCIR DATOS'!$D$20="ABRIL",'RESULTADO INDEXADO'!AK61,IF('INTRODUCIR DATOS'!$D$20="MAYO",'RESULTADO INDEXADO'!AR61,IF('INTRODUCIR DATOS'!$D$20="JUNIO",'RESULTADO INDEXADO'!AY61,IF('INTRODUCIR DATOS'!$D$20="JULIO",'RESULTADO INDEXADO'!BF61,IF('INTRODUCIR DATOS'!$D$20="AGOSTO",'RESULTADO INDEXADO'!BM61,IF('INTRODUCIR DATOS'!$D$20="SEPTIEMBRE",'RESULTADO INDEXADO'!BT61,IF('INTRODUCIR DATOS'!$D$20="OCTUBRE",'RESULTADO INDEXADO'!CA61,IF('INTRODUCIR DATOS'!$D$20="NOVIEMBRE",'RESULTADO INDEXADO'!CH61,IF('INTRODUCIR DATOS'!$D$20="DICIEMBRE",'RESULTADO INDEXADO'!CO61))))))))))))</f>
        <v>0</v>
      </c>
      <c r="G61" s="253" t="b">
        <f>IF('INTRODUCIR DATOS'!$D$20="ENERO",'RESULTADO INDEXADO'!Q61,IF('INTRODUCIR DATOS'!$D$20="FEBRERO",'RESULTADO INDEXADO'!X61,IF('INTRODUCIR DATOS'!$D$20="MARZO",'RESULTADO INDEXADO'!AE61,IF('INTRODUCIR DATOS'!$D$20="ABRIL",'RESULTADO INDEXADO'!AL61,IF('INTRODUCIR DATOS'!$D$20="MAYO",'RESULTADO INDEXADO'!AS61,IF('INTRODUCIR DATOS'!$D$20="JUNIO",'RESULTADO INDEXADO'!AZ61,IF('INTRODUCIR DATOS'!$D$20="JULIO",'RESULTADO INDEXADO'!BG61,IF('INTRODUCIR DATOS'!$D$20="AGOSTO",'RESULTADO INDEXADO'!BN61,IF('INTRODUCIR DATOS'!$D$20="SEPTIEMBRE",'RESULTADO INDEXADO'!BU61,IF('INTRODUCIR DATOS'!$D$20="OCTUBRE",'RESULTADO INDEXADO'!CB61,IF('INTRODUCIR DATOS'!$D$20="NOVIEMBRE",'RESULTADO INDEXADO'!CI61,IF('INTRODUCIR DATOS'!$D$20="DICIEMBRE",'RESULTADO INDEXADO'!CP61))))))))))))</f>
        <v>0</v>
      </c>
      <c r="H61" s="254" t="b">
        <f>IF('INTRODUCIR DATOS'!$D$20="ENERO",'RESULTADO INDEXADO'!R61,IF('INTRODUCIR DATOS'!$D$20="FEBRERO",'RESULTADO INDEXADO'!Y61,IF('INTRODUCIR DATOS'!$D$20="MARZO",'RESULTADO INDEXADO'!AF61,IF('INTRODUCIR DATOS'!$D$20="ABRIL",'RESULTADO INDEXADO'!AM61,IF('INTRODUCIR DATOS'!$D$20="MAYO",'RESULTADO INDEXADO'!AT61,IF('INTRODUCIR DATOS'!$D$20="JUNIO",'RESULTADO INDEXADO'!BA61,IF('INTRODUCIR DATOS'!$D$20="JULIO",'RESULTADO INDEXADO'!BH61,IF('INTRODUCIR DATOS'!$D$20="AGOSTO",'RESULTADO INDEXADO'!BO61,IF('INTRODUCIR DATOS'!$D$20="SEPTIEMBRE",'RESULTADO INDEXADO'!BV61,IF('INTRODUCIR DATOS'!$D$20="OCTUBRE",'RESULTADO INDEXADO'!CC61,IF('INTRODUCIR DATOS'!$D$20="NOVIEMBRE",'RESULTADO INDEXADO'!CJ61,IF('INTRODUCIR DATOS'!$D$20="DICIEMBRE",'RESULTADO INDEXADO'!CQ61))))))))))))</f>
        <v>0</v>
      </c>
      <c r="I61" s="254" t="b">
        <f>IF('INTRODUCIR DATOS'!$D$20="ENERO",'RESULTADO INDEXADO'!S61,IF('INTRODUCIR DATOS'!$D$20="FEBRERO",'RESULTADO INDEXADO'!Z61,IF('INTRODUCIR DATOS'!$D$20="MARZO",'RESULTADO INDEXADO'!AG61,IF('INTRODUCIR DATOS'!$D$20="ABRIL",'RESULTADO INDEXADO'!AN61,IF('INTRODUCIR DATOS'!$D$20="MAYO",'RESULTADO INDEXADO'!AU61,IF('INTRODUCIR DATOS'!$D$20="JUNIO",'RESULTADO INDEXADO'!BB61,IF('INTRODUCIR DATOS'!$D$20="JULIO",'RESULTADO INDEXADO'!BI61,IF('INTRODUCIR DATOS'!$D$20="AGOSTO",'RESULTADO INDEXADO'!BP61,IF('INTRODUCIR DATOS'!$D$20="SEPTIEMBRE",'RESULTADO INDEXADO'!BW61,IF('INTRODUCIR DATOS'!$D$20="OCTUBRE",'RESULTADO INDEXADO'!CD61,IF('INTRODUCIR DATOS'!$D$20="NOVIEMBRE",'RESULTADO INDEXADO'!CK61,IF('INTRODUCIR DATOS'!$D$20="DICIEMBRE",'RESULTADO INDEXADO'!CR61))))))))))))</f>
        <v>0</v>
      </c>
      <c r="J61" s="295" t="b">
        <f>IF('INTRODUCIR DATOS'!$D$20="ENERO",'RESULTADO INDEXADO'!T61,IF('INTRODUCIR DATOS'!$D$20="FEBRERO",'RESULTADO INDEXADO'!AA61,IF('INTRODUCIR DATOS'!$D$20="MARZO",'RESULTADO INDEXADO'!AH61,IF('INTRODUCIR DATOS'!$D$20="ABRIL",'RESULTADO INDEXADO'!AO61,IF('INTRODUCIR DATOS'!$D$20="MAYO",'RESULTADO INDEXADO'!AV61,IF('INTRODUCIR DATOS'!$D$20="JUNIO",'RESULTADO INDEXADO'!BC61,IF('INTRODUCIR DATOS'!$D$20="JULIO",'RESULTADO INDEXADO'!BJ61,IF('INTRODUCIR DATOS'!$D$20="AGOSTO",'RESULTADO INDEXADO'!BQ61,IF('INTRODUCIR DATOS'!$D$20="SEPTIEMBRE",'RESULTADO INDEXADO'!BX61,IF('INTRODUCIR DATOS'!$D$20="OCTUBRE",'RESULTADO INDEXADO'!CE61,IF('INTRODUCIR DATOS'!$D$20="NOVIEMBRE",'RESULTADO INDEXADO'!CL61,IF('INTRODUCIR DATOS'!$D$20="DICIEMBRE",'RESULTADO INDEXADO'!CS61))))))))))))</f>
        <v>0</v>
      </c>
      <c r="K61" s="290">
        <f>('INTRODUCIR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DATOS'!$D$17)+'INTRODUCIR DATOS'!$D$15+'INTRODUCIR DATOS'!$D$16+IF('INTRODUCIR DATOS'!$D$21=21%,(('INTRODUCIR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DATOS'!$D$17)+'INTRODUCIR DATOS'!$D$16)*21/100,IF('INTRODUCIR DATOS'!$D$21=10%,(('INTRODUCIR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DATOS'!$D$17)+'INTRODUCIR DATOS'!$D$16)*10/100))</f>
        <v>1.0285</v>
      </c>
      <c r="L61" s="292">
        <f>IF(K61=0,"",'INTRODUCIR DATOS'!$D$14-K61)</f>
        <v>113.12150000000001</v>
      </c>
      <c r="M61" s="271">
        <f>IF(K61=0,"",('INTRODUCIR DATOS'!$D$14-K61)/'INTRODUCIR DATOS'!$D$14)</f>
        <v>0.99098992553657472</v>
      </c>
      <c r="N61" s="274" t="s">
        <v>136</v>
      </c>
      <c r="O61" s="266">
        <v>0.14093700000000001</v>
      </c>
      <c r="P61" s="253">
        <v>0.127829</v>
      </c>
      <c r="Q61" s="253"/>
      <c r="R61" s="254"/>
      <c r="S61" s="254"/>
      <c r="T61" s="295">
        <v>8.5569000000000006E-2</v>
      </c>
      <c r="U61" s="274" t="s">
        <v>136</v>
      </c>
      <c r="V61" s="266">
        <v>9.2507000000000006E-2</v>
      </c>
      <c r="W61" s="253">
        <v>7.8813999999999995E-2</v>
      </c>
      <c r="X61" s="253"/>
      <c r="Y61" s="254"/>
      <c r="Z61" s="254"/>
      <c r="AA61" s="295">
        <v>4.7824999999999999E-2</v>
      </c>
      <c r="AB61" s="274" t="s">
        <v>136</v>
      </c>
      <c r="AC61" s="266"/>
      <c r="AD61" s="253">
        <v>0.10333299999999999</v>
      </c>
      <c r="AE61" s="253">
        <v>8.9532E-2</v>
      </c>
      <c r="AF61" s="254"/>
      <c r="AG61" s="254"/>
      <c r="AH61" s="295">
        <v>7.3904999999999998E-2</v>
      </c>
      <c r="AI61" s="274" t="s">
        <v>136</v>
      </c>
      <c r="AJ61" s="266"/>
      <c r="AK61" s="253"/>
      <c r="AL61" s="253"/>
      <c r="AM61" s="254">
        <v>0.11433500000000001</v>
      </c>
      <c r="AN61" s="254">
        <v>0.101302</v>
      </c>
      <c r="AO61" s="295">
        <v>0.10147299999999999</v>
      </c>
      <c r="AP61" s="274" t="s">
        <v>136</v>
      </c>
      <c r="AQ61" s="266"/>
      <c r="AR61" s="253"/>
      <c r="AS61" s="253"/>
      <c r="AT61" s="254">
        <v>0.116137</v>
      </c>
      <c r="AU61" s="254">
        <v>0.10395799999999999</v>
      </c>
      <c r="AV61" s="295">
        <v>0.10169300000000001</v>
      </c>
      <c r="AW61" s="274" t="s">
        <v>136</v>
      </c>
      <c r="AX61" s="266"/>
      <c r="AY61" s="253"/>
      <c r="AZ61" s="253">
        <v>0.13445699999999999</v>
      </c>
      <c r="BA61" s="254">
        <v>0.127688</v>
      </c>
      <c r="BB61" s="254"/>
      <c r="BC61" s="295">
        <v>0.11862499999999999</v>
      </c>
      <c r="BD61" s="274" t="s">
        <v>136</v>
      </c>
      <c r="BE61" s="266">
        <v>0.15784999999999999</v>
      </c>
      <c r="BF61" s="253">
        <v>0.15043899999999999</v>
      </c>
      <c r="BG61" s="253"/>
      <c r="BH61" s="254"/>
      <c r="BI61" s="254"/>
      <c r="BJ61" s="295">
        <v>0.12882399999999999</v>
      </c>
      <c r="BK61" s="274" t="s">
        <v>136</v>
      </c>
      <c r="BL61" s="266"/>
      <c r="BM61" s="253"/>
      <c r="BN61" s="253">
        <v>0.16237699999999999</v>
      </c>
      <c r="BO61" s="254">
        <v>0.156109</v>
      </c>
      <c r="BP61" s="254"/>
      <c r="BQ61" s="295">
        <v>0.14383099999999999</v>
      </c>
      <c r="BR61" s="274" t="s">
        <v>136</v>
      </c>
      <c r="BS61" s="266"/>
      <c r="BT61" s="253"/>
      <c r="BU61" s="253"/>
      <c r="BV61" s="254"/>
      <c r="BW61" s="254"/>
      <c r="BX61" s="295"/>
      <c r="BY61" s="274" t="s">
        <v>136</v>
      </c>
      <c r="BZ61" s="266"/>
      <c r="CA61" s="253"/>
      <c r="CB61" s="253"/>
      <c r="CC61" s="254"/>
      <c r="CD61" s="254"/>
      <c r="CE61" s="295"/>
      <c r="CF61" s="274" t="s">
        <v>136</v>
      </c>
      <c r="CG61" s="266"/>
      <c r="CH61" s="253"/>
      <c r="CI61" s="253"/>
      <c r="CJ61" s="254"/>
      <c r="CK61" s="254"/>
      <c r="CL61" s="295"/>
      <c r="CM61" s="274" t="s">
        <v>136</v>
      </c>
      <c r="CN61" s="266"/>
      <c r="CO61" s="253"/>
      <c r="CP61" s="253"/>
      <c r="CQ61" s="254"/>
      <c r="CR61" s="254"/>
      <c r="CS61" s="295"/>
    </row>
    <row r="62" spans="1:97">
      <c r="A62" s="41" t="s">
        <v>142</v>
      </c>
      <c r="B62" s="40" t="s">
        <v>78</v>
      </c>
      <c r="C62" s="145" t="s">
        <v>139</v>
      </c>
      <c r="D62" s="311" t="s">
        <v>134</v>
      </c>
      <c r="E62" s="267" t="b">
        <f>IF('INTRODUCIR DATOS'!$D$20="ENERO",'RESULTADO INDEXADO'!O62,IF('INTRODUCIR DATOS'!$D$20="FEBRERO",'RESULTADO INDEXADO'!V62,IF('INTRODUCIR DATOS'!$D$20="MARZO",'RESULTADO INDEXADO'!AC62,IF('INTRODUCIR DATOS'!$D$20="ABRIL",'RESULTADO INDEXADO'!AJ62,IF('INTRODUCIR DATOS'!$D$20="MAYO",'RESULTADO INDEXADO'!AQ62,IF('INTRODUCIR DATOS'!$D$20="JUNIO",'RESULTADO INDEXADO'!AX62,IF('INTRODUCIR DATOS'!$D$20="JULIO",'RESULTADO INDEXADO'!BE62,IF('INTRODUCIR DATOS'!$D$20="AGOSTO",'RESULTADO INDEXADO'!BL62,IF('INTRODUCIR DATOS'!$D$20="SEPTIEMBRE",'RESULTADO INDEXADO'!BS62,IF('INTRODUCIR DATOS'!$D$20="OCTUBRE",'RESULTADO INDEXADO'!BZ62,IF('INTRODUCIR DATOS'!$D$20="NOVIEMBRE",'RESULTADO INDEXADO'!CG62,IF('INTRODUCIR DATOS'!$D$20="DICIEMBRE",'RESULTADO INDEXADO'!CN62))))))))))))</f>
        <v>0</v>
      </c>
      <c r="F62" s="256" t="b">
        <f>IF('INTRODUCIR DATOS'!$D$20="ENERO",'RESULTADO INDEXADO'!P62,IF('INTRODUCIR DATOS'!$D$20="FEBRERO",'RESULTADO INDEXADO'!W62,IF('INTRODUCIR DATOS'!$D$20="MARZO",'RESULTADO INDEXADO'!AD62,IF('INTRODUCIR DATOS'!$D$20="ABRIL",'RESULTADO INDEXADO'!AK62,IF('INTRODUCIR DATOS'!$D$20="MAYO",'RESULTADO INDEXADO'!AR62,IF('INTRODUCIR DATOS'!$D$20="JUNIO",'RESULTADO INDEXADO'!AY62,IF('INTRODUCIR DATOS'!$D$20="JULIO",'RESULTADO INDEXADO'!BF62,IF('INTRODUCIR DATOS'!$D$20="AGOSTO",'RESULTADO INDEXADO'!BM62,IF('INTRODUCIR DATOS'!$D$20="SEPTIEMBRE",'RESULTADO INDEXADO'!BT62,IF('INTRODUCIR DATOS'!$D$20="OCTUBRE",'RESULTADO INDEXADO'!CA62,IF('INTRODUCIR DATOS'!$D$20="NOVIEMBRE",'RESULTADO INDEXADO'!CH62,IF('INTRODUCIR DATOS'!$D$20="DICIEMBRE",'RESULTADO INDEXADO'!CO62))))))))))))</f>
        <v>0</v>
      </c>
      <c r="G62" s="257" t="b">
        <f>IF('INTRODUCIR DATOS'!$D$20="ENERO",'RESULTADO INDEXADO'!Q62,IF('INTRODUCIR DATOS'!$D$20="FEBRERO",'RESULTADO INDEXADO'!X62,IF('INTRODUCIR DATOS'!$D$20="MARZO",'RESULTADO INDEXADO'!AE62,IF('INTRODUCIR DATOS'!$D$20="ABRIL",'RESULTADO INDEXADO'!AL62,IF('INTRODUCIR DATOS'!$D$20="MAYO",'RESULTADO INDEXADO'!AS62,IF('INTRODUCIR DATOS'!$D$20="JUNIO",'RESULTADO INDEXADO'!AZ62,IF('INTRODUCIR DATOS'!$D$20="JULIO",'RESULTADO INDEXADO'!BG62,IF('INTRODUCIR DATOS'!$D$20="AGOSTO",'RESULTADO INDEXADO'!BN62,IF('INTRODUCIR DATOS'!$D$20="SEPTIEMBRE",'RESULTADO INDEXADO'!BU62,IF('INTRODUCIR DATOS'!$D$20="OCTUBRE",'RESULTADO INDEXADO'!CB62,IF('INTRODUCIR DATOS'!$D$20="NOVIEMBRE",'RESULTADO INDEXADO'!CI62,IF('INTRODUCIR DATOS'!$D$20="DICIEMBRE",'RESULTADO INDEXADO'!CP62))))))))))))</f>
        <v>0</v>
      </c>
      <c r="H62" s="257" t="b">
        <f>IF('INTRODUCIR DATOS'!$D$20="ENERO",'RESULTADO INDEXADO'!R62,IF('INTRODUCIR DATOS'!$D$20="FEBRERO",'RESULTADO INDEXADO'!Y62,IF('INTRODUCIR DATOS'!$D$20="MARZO",'RESULTADO INDEXADO'!AF62,IF('INTRODUCIR DATOS'!$D$20="ABRIL",'RESULTADO INDEXADO'!AM62,IF('INTRODUCIR DATOS'!$D$20="MAYO",'RESULTADO INDEXADO'!AT62,IF('INTRODUCIR DATOS'!$D$20="JUNIO",'RESULTADO INDEXADO'!BA62,IF('INTRODUCIR DATOS'!$D$20="JULIO",'RESULTADO INDEXADO'!BH62,IF('INTRODUCIR DATOS'!$D$20="AGOSTO",'RESULTADO INDEXADO'!BO62,IF('INTRODUCIR DATOS'!$D$20="SEPTIEMBRE",'RESULTADO INDEXADO'!BV62,IF('INTRODUCIR DATOS'!$D$20="OCTUBRE",'RESULTADO INDEXADO'!CC62,IF('INTRODUCIR DATOS'!$D$20="NOVIEMBRE",'RESULTADO INDEXADO'!CJ62,IF('INTRODUCIR DATOS'!$D$20="DICIEMBRE",'RESULTADO INDEXADO'!CQ62))))))))))))</f>
        <v>0</v>
      </c>
      <c r="I62" s="257" t="b">
        <f>IF('INTRODUCIR DATOS'!$D$20="ENERO",'RESULTADO INDEXADO'!S62,IF('INTRODUCIR DATOS'!$D$20="FEBRERO",'RESULTADO INDEXADO'!Z62,IF('INTRODUCIR DATOS'!$D$20="MARZO",'RESULTADO INDEXADO'!AG62,IF('INTRODUCIR DATOS'!$D$20="ABRIL",'RESULTADO INDEXADO'!AN62,IF('INTRODUCIR DATOS'!$D$20="MAYO",'RESULTADO INDEXADO'!AU62,IF('INTRODUCIR DATOS'!$D$20="JUNIO",'RESULTADO INDEXADO'!BB62,IF('INTRODUCIR DATOS'!$D$20="JULIO",'RESULTADO INDEXADO'!BI62,IF('INTRODUCIR DATOS'!$D$20="AGOSTO",'RESULTADO INDEXADO'!BP62,IF('INTRODUCIR DATOS'!$D$20="SEPTIEMBRE",'RESULTADO INDEXADO'!BW62,IF('INTRODUCIR DATOS'!$D$20="OCTUBRE",'RESULTADO INDEXADO'!CD62,IF('INTRODUCIR DATOS'!$D$20="NOVIEMBRE",'RESULTADO INDEXADO'!CK62,IF('INTRODUCIR DATOS'!$D$20="DICIEMBRE",'RESULTADO INDEXADO'!CR62))))))))))))</f>
        <v>0</v>
      </c>
      <c r="J62" s="296" t="b">
        <f>IF('INTRODUCIR DATOS'!$D$20="ENERO",'RESULTADO INDEXADO'!T62,IF('INTRODUCIR DATOS'!$D$20="FEBRERO",'RESULTADO INDEXADO'!AA62,IF('INTRODUCIR DATOS'!$D$20="MARZO",'RESULTADO INDEXADO'!AH62,IF('INTRODUCIR DATOS'!$D$20="ABRIL",'RESULTADO INDEXADO'!AO62,IF('INTRODUCIR DATOS'!$D$20="MAYO",'RESULTADO INDEXADO'!AV62,IF('INTRODUCIR DATOS'!$D$20="JUNIO",'RESULTADO INDEXADO'!BC62,IF('INTRODUCIR DATOS'!$D$20="JULIO",'RESULTADO INDEXADO'!BJ62,IF('INTRODUCIR DATOS'!$D$20="AGOSTO",'RESULTADO INDEXADO'!BQ62,IF('INTRODUCIR DATOS'!$D$20="SEPTIEMBRE",'RESULTADO INDEXADO'!BX62,IF('INTRODUCIR DATOS'!$D$20="OCTUBRE",'RESULTADO INDEXADO'!CE62,IF('INTRODUCIR DATOS'!$D$20="NOVIEMBRE",'RESULTADO INDEXADO'!CL62,IF('INTRODUCIR DATOS'!$D$20="DICIEMBRE",'RESULTADO INDEXADO'!CS62))))))))))))</f>
        <v>0</v>
      </c>
      <c r="K62" s="41"/>
      <c r="L62" s="40"/>
      <c r="M62" s="145"/>
      <c r="N62" s="275" t="s">
        <v>134</v>
      </c>
      <c r="O62" s="267">
        <v>3.2868000000000001E-2</v>
      </c>
      <c r="P62" s="256">
        <v>2.8707E-2</v>
      </c>
      <c r="Q62" s="257">
        <v>1.3365999999999999E-2</v>
      </c>
      <c r="R62" s="257">
        <v>1.0902E-2</v>
      </c>
      <c r="S62" s="257">
        <v>6.2259999999999998E-3</v>
      </c>
      <c r="T62" s="296">
        <v>6.0369999999999998E-3</v>
      </c>
      <c r="U62" s="275" t="s">
        <v>134</v>
      </c>
      <c r="V62" s="267">
        <v>3.2868000000000001E-2</v>
      </c>
      <c r="W62" s="256">
        <v>2.8707E-2</v>
      </c>
      <c r="X62" s="257">
        <v>1.3365999999999999E-2</v>
      </c>
      <c r="Y62" s="257">
        <v>1.0902E-2</v>
      </c>
      <c r="Z62" s="257">
        <v>6.2259999999999998E-3</v>
      </c>
      <c r="AA62" s="296">
        <v>6.0369999999999998E-3</v>
      </c>
      <c r="AB62" s="275" t="s">
        <v>134</v>
      </c>
      <c r="AC62" s="267">
        <v>3.2868000000000001E-2</v>
      </c>
      <c r="AD62" s="256">
        <v>2.8707E-2</v>
      </c>
      <c r="AE62" s="257">
        <v>1.3365999999999999E-2</v>
      </c>
      <c r="AF62" s="257">
        <v>1.0902E-2</v>
      </c>
      <c r="AG62" s="257">
        <v>6.2259999999999998E-3</v>
      </c>
      <c r="AH62" s="296">
        <v>6.0369999999999998E-3</v>
      </c>
      <c r="AI62" s="275" t="s">
        <v>134</v>
      </c>
      <c r="AJ62" s="267">
        <v>3.2868000000000001E-2</v>
      </c>
      <c r="AK62" s="256">
        <v>2.8707E-2</v>
      </c>
      <c r="AL62" s="257">
        <v>1.3365999999999999E-2</v>
      </c>
      <c r="AM62" s="257">
        <v>1.0902E-2</v>
      </c>
      <c r="AN62" s="257">
        <v>6.2259999999999998E-3</v>
      </c>
      <c r="AO62" s="296">
        <v>6.0369999999999998E-3</v>
      </c>
      <c r="AP62" s="275" t="s">
        <v>134</v>
      </c>
      <c r="AQ62" s="267">
        <v>3.2868000000000001E-2</v>
      </c>
      <c r="AR62" s="256">
        <v>2.8707E-2</v>
      </c>
      <c r="AS62" s="257">
        <v>1.3365999999999999E-2</v>
      </c>
      <c r="AT62" s="257">
        <v>1.0902E-2</v>
      </c>
      <c r="AU62" s="257">
        <v>6.2259999999999998E-3</v>
      </c>
      <c r="AV62" s="296">
        <v>6.0369999999999998E-3</v>
      </c>
      <c r="AW62" s="275" t="s">
        <v>134</v>
      </c>
      <c r="AX62" s="267">
        <v>3.2868000000000001E-2</v>
      </c>
      <c r="AY62" s="256">
        <v>2.8707E-2</v>
      </c>
      <c r="AZ62" s="257">
        <v>1.3365999999999999E-2</v>
      </c>
      <c r="BA62" s="257">
        <v>1.0902E-2</v>
      </c>
      <c r="BB62" s="257">
        <v>6.2259999999999998E-3</v>
      </c>
      <c r="BC62" s="296">
        <v>6.0369999999999998E-3</v>
      </c>
      <c r="BD62" s="275" t="s">
        <v>134</v>
      </c>
      <c r="BE62" s="267">
        <v>3.2868000000000001E-2</v>
      </c>
      <c r="BF62" s="256">
        <v>2.8707E-2</v>
      </c>
      <c r="BG62" s="257">
        <v>1.3365999999999999E-2</v>
      </c>
      <c r="BH62" s="257">
        <v>1.0902E-2</v>
      </c>
      <c r="BI62" s="257">
        <v>6.2259999999999998E-3</v>
      </c>
      <c r="BJ62" s="296">
        <v>6.0369999999999998E-3</v>
      </c>
      <c r="BK62" s="275" t="s">
        <v>134</v>
      </c>
      <c r="BL62" s="267">
        <v>3.2868000000000001E-2</v>
      </c>
      <c r="BM62" s="256">
        <v>2.8707E-2</v>
      </c>
      <c r="BN62" s="257">
        <v>1.3365999999999999E-2</v>
      </c>
      <c r="BO62" s="257">
        <v>1.0902E-2</v>
      </c>
      <c r="BP62" s="257">
        <v>6.2259999999999998E-3</v>
      </c>
      <c r="BQ62" s="296">
        <v>6.0369999999999998E-3</v>
      </c>
      <c r="BR62" s="275" t="s">
        <v>134</v>
      </c>
      <c r="BS62" s="267">
        <v>3.2868000000000001E-2</v>
      </c>
      <c r="BT62" s="256">
        <v>2.8707E-2</v>
      </c>
      <c r="BU62" s="257">
        <v>1.3365999999999999E-2</v>
      </c>
      <c r="BV62" s="257">
        <v>1.0902E-2</v>
      </c>
      <c r="BW62" s="257">
        <v>6.2259999999999998E-3</v>
      </c>
      <c r="BX62" s="296">
        <v>6.0369999999999998E-3</v>
      </c>
      <c r="BY62" s="275" t="s">
        <v>134</v>
      </c>
      <c r="BZ62" s="267">
        <v>3.2868000000000001E-2</v>
      </c>
      <c r="CA62" s="256">
        <v>2.8707E-2</v>
      </c>
      <c r="CB62" s="257">
        <v>1.3365999999999999E-2</v>
      </c>
      <c r="CC62" s="257">
        <v>1.0902E-2</v>
      </c>
      <c r="CD62" s="257">
        <v>6.2259999999999998E-3</v>
      </c>
      <c r="CE62" s="296">
        <v>6.0369999999999998E-3</v>
      </c>
      <c r="CF62" s="275" t="s">
        <v>134</v>
      </c>
      <c r="CG62" s="267">
        <v>3.2868000000000001E-2</v>
      </c>
      <c r="CH62" s="256">
        <v>2.8707E-2</v>
      </c>
      <c r="CI62" s="257">
        <v>1.3365999999999999E-2</v>
      </c>
      <c r="CJ62" s="257">
        <v>1.0902E-2</v>
      </c>
      <c r="CK62" s="257">
        <v>6.2259999999999998E-3</v>
      </c>
      <c r="CL62" s="296">
        <v>6.0369999999999998E-3</v>
      </c>
      <c r="CM62" s="275" t="s">
        <v>134</v>
      </c>
      <c r="CN62" s="267">
        <v>3.2868000000000001E-2</v>
      </c>
      <c r="CO62" s="256">
        <v>2.8707E-2</v>
      </c>
      <c r="CP62" s="257">
        <v>1.3365999999999999E-2</v>
      </c>
      <c r="CQ62" s="257">
        <v>1.0902E-2</v>
      </c>
      <c r="CR62" s="257">
        <v>6.2259999999999998E-3</v>
      </c>
      <c r="CS62" s="296">
        <v>6.0369999999999998E-3</v>
      </c>
    </row>
    <row r="63" spans="1:97">
      <c r="A63" s="41" t="s">
        <v>142</v>
      </c>
      <c r="B63" s="40" t="s">
        <v>78</v>
      </c>
      <c r="C63" s="145" t="s">
        <v>139</v>
      </c>
      <c r="D63" s="310" t="s">
        <v>136</v>
      </c>
      <c r="E63" s="266" t="b">
        <f>IF('INTRODUCIR DATOS'!$D$20="ENERO",'RESULTADO INDEXADO'!O63,IF('INTRODUCIR DATOS'!$D$20="FEBRERO",'RESULTADO INDEXADO'!V63,IF('INTRODUCIR DATOS'!$D$20="MARZO",'RESULTADO INDEXADO'!AC63,IF('INTRODUCIR DATOS'!$D$20="ABRIL",'RESULTADO INDEXADO'!AJ63,IF('INTRODUCIR DATOS'!$D$20="MAYO",'RESULTADO INDEXADO'!AQ63,IF('INTRODUCIR DATOS'!$D$20="JUNIO",'RESULTADO INDEXADO'!AX63,IF('INTRODUCIR DATOS'!$D$20="JULIO",'RESULTADO INDEXADO'!BE63,IF('INTRODUCIR DATOS'!$D$20="AGOSTO",'RESULTADO INDEXADO'!BL63,IF('INTRODUCIR DATOS'!$D$20="SEPTIEMBRE",'RESULTADO INDEXADO'!BS63,IF('INTRODUCIR DATOS'!$D$20="OCTUBRE",'RESULTADO INDEXADO'!BZ63,IF('INTRODUCIR DATOS'!$D$20="NOVIEMBRE",'RESULTADO INDEXADO'!CG63,IF('INTRODUCIR DATOS'!$D$20="DICIEMBRE",'RESULTADO INDEXADO'!CN63))))))))))))</f>
        <v>0</v>
      </c>
      <c r="F63" s="253" t="b">
        <f>IF('INTRODUCIR DATOS'!$D$20="ENERO",'RESULTADO INDEXADO'!P63,IF('INTRODUCIR DATOS'!$D$20="FEBRERO",'RESULTADO INDEXADO'!W63,IF('INTRODUCIR DATOS'!$D$20="MARZO",'RESULTADO INDEXADO'!AD63,IF('INTRODUCIR DATOS'!$D$20="ABRIL",'RESULTADO INDEXADO'!AK63,IF('INTRODUCIR DATOS'!$D$20="MAYO",'RESULTADO INDEXADO'!AR63,IF('INTRODUCIR DATOS'!$D$20="JUNIO",'RESULTADO INDEXADO'!AY63,IF('INTRODUCIR DATOS'!$D$20="JULIO",'RESULTADO INDEXADO'!BF63,IF('INTRODUCIR DATOS'!$D$20="AGOSTO",'RESULTADO INDEXADO'!BM63,IF('INTRODUCIR DATOS'!$D$20="SEPTIEMBRE",'RESULTADO INDEXADO'!BT63,IF('INTRODUCIR DATOS'!$D$20="OCTUBRE",'RESULTADO INDEXADO'!CA63,IF('INTRODUCIR DATOS'!$D$20="NOVIEMBRE",'RESULTADO INDEXADO'!CH63,IF('INTRODUCIR DATOS'!$D$20="DICIEMBRE",'RESULTADO INDEXADO'!CO63))))))))))))</f>
        <v>0</v>
      </c>
      <c r="G63" s="253" t="b">
        <f>IF('INTRODUCIR DATOS'!$D$20="ENERO",'RESULTADO INDEXADO'!Q63,IF('INTRODUCIR DATOS'!$D$20="FEBRERO",'RESULTADO INDEXADO'!X63,IF('INTRODUCIR DATOS'!$D$20="MARZO",'RESULTADO INDEXADO'!AE63,IF('INTRODUCIR DATOS'!$D$20="ABRIL",'RESULTADO INDEXADO'!AL63,IF('INTRODUCIR DATOS'!$D$20="MAYO",'RESULTADO INDEXADO'!AS63,IF('INTRODUCIR DATOS'!$D$20="JUNIO",'RESULTADO INDEXADO'!AZ63,IF('INTRODUCIR DATOS'!$D$20="JULIO",'RESULTADO INDEXADO'!BG63,IF('INTRODUCIR DATOS'!$D$20="AGOSTO",'RESULTADO INDEXADO'!BN63,IF('INTRODUCIR DATOS'!$D$20="SEPTIEMBRE",'RESULTADO INDEXADO'!BU63,IF('INTRODUCIR DATOS'!$D$20="OCTUBRE",'RESULTADO INDEXADO'!CB63,IF('INTRODUCIR DATOS'!$D$20="NOVIEMBRE",'RESULTADO INDEXADO'!CI63,IF('INTRODUCIR DATOS'!$D$20="DICIEMBRE",'RESULTADO INDEXADO'!CP63))))))))))))</f>
        <v>0</v>
      </c>
      <c r="H63" s="254" t="b">
        <f>IF('INTRODUCIR DATOS'!$D$20="ENERO",'RESULTADO INDEXADO'!R63,IF('INTRODUCIR DATOS'!$D$20="FEBRERO",'RESULTADO INDEXADO'!Y63,IF('INTRODUCIR DATOS'!$D$20="MARZO",'RESULTADO INDEXADO'!AF63,IF('INTRODUCIR DATOS'!$D$20="ABRIL",'RESULTADO INDEXADO'!AM63,IF('INTRODUCIR DATOS'!$D$20="MAYO",'RESULTADO INDEXADO'!AT63,IF('INTRODUCIR DATOS'!$D$20="JUNIO",'RESULTADO INDEXADO'!BA63,IF('INTRODUCIR DATOS'!$D$20="JULIO",'RESULTADO INDEXADO'!BH63,IF('INTRODUCIR DATOS'!$D$20="AGOSTO",'RESULTADO INDEXADO'!BO63,IF('INTRODUCIR DATOS'!$D$20="SEPTIEMBRE",'RESULTADO INDEXADO'!BV63,IF('INTRODUCIR DATOS'!$D$20="OCTUBRE",'RESULTADO INDEXADO'!CC63,IF('INTRODUCIR DATOS'!$D$20="NOVIEMBRE",'RESULTADO INDEXADO'!CJ63,IF('INTRODUCIR DATOS'!$D$20="DICIEMBRE",'RESULTADO INDEXADO'!CQ63))))))))))))</f>
        <v>0</v>
      </c>
      <c r="I63" s="254" t="b">
        <f>IF('INTRODUCIR DATOS'!$D$20="ENERO",'RESULTADO INDEXADO'!S63,IF('INTRODUCIR DATOS'!$D$20="FEBRERO",'RESULTADO INDEXADO'!Z63,IF('INTRODUCIR DATOS'!$D$20="MARZO",'RESULTADO INDEXADO'!AG63,IF('INTRODUCIR DATOS'!$D$20="ABRIL",'RESULTADO INDEXADO'!AN63,IF('INTRODUCIR DATOS'!$D$20="MAYO",'RESULTADO INDEXADO'!AU63,IF('INTRODUCIR DATOS'!$D$20="JUNIO",'RESULTADO INDEXADO'!BB63,IF('INTRODUCIR DATOS'!$D$20="JULIO",'RESULTADO INDEXADO'!BI63,IF('INTRODUCIR DATOS'!$D$20="AGOSTO",'RESULTADO INDEXADO'!BP63,IF('INTRODUCIR DATOS'!$D$20="SEPTIEMBRE",'RESULTADO INDEXADO'!BW63,IF('INTRODUCIR DATOS'!$D$20="OCTUBRE",'RESULTADO INDEXADO'!CD63,IF('INTRODUCIR DATOS'!$D$20="NOVIEMBRE",'RESULTADO INDEXADO'!CK63,IF('INTRODUCIR DATOS'!$D$20="DICIEMBRE",'RESULTADO INDEXADO'!CR63))))))))))))</f>
        <v>0</v>
      </c>
      <c r="J63" s="295" t="b">
        <f>IF('INTRODUCIR DATOS'!$D$20="ENERO",'RESULTADO INDEXADO'!T63,IF('INTRODUCIR DATOS'!$D$20="FEBRERO",'RESULTADO INDEXADO'!AA63,IF('INTRODUCIR DATOS'!$D$20="MARZO",'RESULTADO INDEXADO'!AH63,IF('INTRODUCIR DATOS'!$D$20="ABRIL",'RESULTADO INDEXADO'!AO63,IF('INTRODUCIR DATOS'!$D$20="MAYO",'RESULTADO INDEXADO'!AV63,IF('INTRODUCIR DATOS'!$D$20="JUNIO",'RESULTADO INDEXADO'!BC63,IF('INTRODUCIR DATOS'!$D$20="JULIO",'RESULTADO INDEXADO'!BJ63,IF('INTRODUCIR DATOS'!$D$20="AGOSTO",'RESULTADO INDEXADO'!BQ63,IF('INTRODUCIR DATOS'!$D$20="SEPTIEMBRE",'RESULTADO INDEXADO'!BX63,IF('INTRODUCIR DATOS'!$D$20="OCTUBRE",'RESULTADO INDEXADO'!CE63,IF('INTRODUCIR DATOS'!$D$20="NOVIEMBRE",'RESULTADO INDEXADO'!CL63,IF('INTRODUCIR DATOS'!$D$20="DICIEMBRE",'RESULTADO INDEXADO'!CS63))))))))))))</f>
        <v>0</v>
      </c>
      <c r="K63" s="290">
        <f>('INTRODUCIR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DATOS'!$D$17)+'INTRODUCIR DATOS'!$D$15+'INTRODUCIR DATOS'!$D$16+IF('INTRODUCIR DATOS'!$D$21=21%,(('INTRODUCIR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DATOS'!$D$17)+'INTRODUCIR DATOS'!$D$16)*21/100,IF('INTRODUCIR DATOS'!$D$21=10%,(('INTRODUCIR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DATOS'!$D$17)+'INTRODUCIR DATOS'!$D$16)*10/100))</f>
        <v>1.0285</v>
      </c>
      <c r="L63" s="292">
        <f>IF(K63=0,"",'INTRODUCIR DATOS'!$D$14-K63)</f>
        <v>113.12150000000001</v>
      </c>
      <c r="M63" s="271">
        <f>IF(K63=0,"",('INTRODUCIR DATOS'!$D$14-K63)/'INTRODUCIR DATOS'!$D$14)</f>
        <v>0.99098992553657472</v>
      </c>
      <c r="N63" s="274" t="s">
        <v>136</v>
      </c>
      <c r="O63" s="266">
        <v>0.13993700000000001</v>
      </c>
      <c r="P63" s="253">
        <v>0.126829</v>
      </c>
      <c r="Q63" s="253"/>
      <c r="R63" s="254"/>
      <c r="S63" s="254"/>
      <c r="T63" s="295">
        <v>8.4569000000000005E-2</v>
      </c>
      <c r="U63" s="274" t="s">
        <v>136</v>
      </c>
      <c r="V63" s="266">
        <v>9.1507000000000005E-2</v>
      </c>
      <c r="W63" s="253">
        <v>7.7813999999999994E-2</v>
      </c>
      <c r="X63" s="253"/>
      <c r="Y63" s="254"/>
      <c r="Z63" s="254"/>
      <c r="AA63" s="295">
        <v>4.6824999999999999E-2</v>
      </c>
      <c r="AB63" s="274" t="s">
        <v>136</v>
      </c>
      <c r="AC63" s="266"/>
      <c r="AD63" s="253">
        <v>0.10233299999999999</v>
      </c>
      <c r="AE63" s="253">
        <v>8.8532E-2</v>
      </c>
      <c r="AF63" s="254"/>
      <c r="AG63" s="254"/>
      <c r="AH63" s="295">
        <v>7.2904999999999998E-2</v>
      </c>
      <c r="AI63" s="274" t="s">
        <v>136</v>
      </c>
      <c r="AJ63" s="266"/>
      <c r="AK63" s="253"/>
      <c r="AL63" s="253"/>
      <c r="AM63" s="254">
        <v>0.11333500000000001</v>
      </c>
      <c r="AN63" s="254">
        <v>0.100302</v>
      </c>
      <c r="AO63" s="295">
        <v>0.10047300000000001</v>
      </c>
      <c r="AP63" s="274" t="s">
        <v>136</v>
      </c>
      <c r="AQ63" s="266"/>
      <c r="AR63" s="253"/>
      <c r="AS63" s="253"/>
      <c r="AT63" s="254">
        <v>0.115137</v>
      </c>
      <c r="AU63" s="254">
        <v>0.10295799999999999</v>
      </c>
      <c r="AV63" s="295">
        <v>0.100693</v>
      </c>
      <c r="AW63" s="274" t="s">
        <v>136</v>
      </c>
      <c r="AX63" s="266"/>
      <c r="AY63" s="253"/>
      <c r="AZ63" s="253">
        <v>0.13345699999999999</v>
      </c>
      <c r="BA63" s="254">
        <v>0.126688</v>
      </c>
      <c r="BB63" s="254"/>
      <c r="BC63" s="295">
        <v>0.11726499999999999</v>
      </c>
      <c r="BD63" s="274" t="s">
        <v>136</v>
      </c>
      <c r="BE63" s="266">
        <v>0.15684999999999999</v>
      </c>
      <c r="BF63" s="253">
        <v>0.14943899999999999</v>
      </c>
      <c r="BG63" s="253"/>
      <c r="BH63" s="254"/>
      <c r="BI63" s="254"/>
      <c r="BJ63" s="295">
        <v>0.12782399999999999</v>
      </c>
      <c r="BK63" s="274" t="s">
        <v>136</v>
      </c>
      <c r="BL63" s="266"/>
      <c r="BM63" s="253"/>
      <c r="BN63" s="253">
        <v>0.16137699999999999</v>
      </c>
      <c r="BO63" s="254">
        <v>0.155109</v>
      </c>
      <c r="BP63" s="254"/>
      <c r="BQ63" s="295">
        <v>0.14283100000000001</v>
      </c>
      <c r="BR63" s="274" t="s">
        <v>136</v>
      </c>
      <c r="BS63" s="266"/>
      <c r="BT63" s="253"/>
      <c r="BU63" s="253"/>
      <c r="BV63" s="254"/>
      <c r="BW63" s="254"/>
      <c r="BX63" s="295"/>
      <c r="BY63" s="274" t="s">
        <v>136</v>
      </c>
      <c r="BZ63" s="266"/>
      <c r="CA63" s="253"/>
      <c r="CB63" s="253"/>
      <c r="CC63" s="254"/>
      <c r="CD63" s="254"/>
      <c r="CE63" s="295"/>
      <c r="CF63" s="274" t="s">
        <v>136</v>
      </c>
      <c r="CG63" s="266"/>
      <c r="CH63" s="253"/>
      <c r="CI63" s="253"/>
      <c r="CJ63" s="254"/>
      <c r="CK63" s="254"/>
      <c r="CL63" s="295"/>
      <c r="CM63" s="274" t="s">
        <v>136</v>
      </c>
      <c r="CN63" s="266"/>
      <c r="CO63" s="253"/>
      <c r="CP63" s="253"/>
      <c r="CQ63" s="254"/>
      <c r="CR63" s="254"/>
      <c r="CS63" s="295"/>
    </row>
    <row r="64" spans="1:97">
      <c r="A64" s="41" t="s">
        <v>142</v>
      </c>
      <c r="B64" s="40" t="s">
        <v>81</v>
      </c>
      <c r="C64" s="145" t="s">
        <v>139</v>
      </c>
      <c r="D64" s="311" t="s">
        <v>134</v>
      </c>
      <c r="E64" s="267" t="b">
        <f>IF('INTRODUCIR DATOS'!$D$20="ENERO",'RESULTADO INDEXADO'!O64,IF('INTRODUCIR DATOS'!$D$20="FEBRERO",'RESULTADO INDEXADO'!V64,IF('INTRODUCIR DATOS'!$D$20="MARZO",'RESULTADO INDEXADO'!AC64,IF('INTRODUCIR DATOS'!$D$20="ABRIL",'RESULTADO INDEXADO'!AJ64,IF('INTRODUCIR DATOS'!$D$20="MAYO",'RESULTADO INDEXADO'!AQ64,IF('INTRODUCIR DATOS'!$D$20="JUNIO",'RESULTADO INDEXADO'!AX64,IF('INTRODUCIR DATOS'!$D$20="JULIO",'RESULTADO INDEXADO'!BE64,IF('INTRODUCIR DATOS'!$D$20="AGOSTO",'RESULTADO INDEXADO'!BL64,IF('INTRODUCIR DATOS'!$D$20="SEPTIEMBRE",'RESULTADO INDEXADO'!BS64,IF('INTRODUCIR DATOS'!$D$20="OCTUBRE",'RESULTADO INDEXADO'!BZ64,IF('INTRODUCIR DATOS'!$D$20="NOVIEMBRE",'RESULTADO INDEXADO'!CG64,IF('INTRODUCIR DATOS'!$D$20="DICIEMBRE",'RESULTADO INDEXADO'!CN64))))))))))))</f>
        <v>0</v>
      </c>
      <c r="F64" s="256" t="b">
        <f>IF('INTRODUCIR DATOS'!$D$20="ENERO",'RESULTADO INDEXADO'!P64,IF('INTRODUCIR DATOS'!$D$20="FEBRERO",'RESULTADO INDEXADO'!W64,IF('INTRODUCIR DATOS'!$D$20="MARZO",'RESULTADO INDEXADO'!AD64,IF('INTRODUCIR DATOS'!$D$20="ABRIL",'RESULTADO INDEXADO'!AK64,IF('INTRODUCIR DATOS'!$D$20="MAYO",'RESULTADO INDEXADO'!AR64,IF('INTRODUCIR DATOS'!$D$20="JUNIO",'RESULTADO INDEXADO'!AY64,IF('INTRODUCIR DATOS'!$D$20="JULIO",'RESULTADO INDEXADO'!BF64,IF('INTRODUCIR DATOS'!$D$20="AGOSTO",'RESULTADO INDEXADO'!BM64,IF('INTRODUCIR DATOS'!$D$20="SEPTIEMBRE",'RESULTADO INDEXADO'!BT64,IF('INTRODUCIR DATOS'!$D$20="OCTUBRE",'RESULTADO INDEXADO'!CA64,IF('INTRODUCIR DATOS'!$D$20="NOVIEMBRE",'RESULTADO INDEXADO'!CH64,IF('INTRODUCIR DATOS'!$D$20="DICIEMBRE",'RESULTADO INDEXADO'!CO64))))))))))))</f>
        <v>0</v>
      </c>
      <c r="G64" s="257" t="b">
        <f>IF('INTRODUCIR DATOS'!$D$20="ENERO",'RESULTADO INDEXADO'!Q64,IF('INTRODUCIR DATOS'!$D$20="FEBRERO",'RESULTADO INDEXADO'!X64,IF('INTRODUCIR DATOS'!$D$20="MARZO",'RESULTADO INDEXADO'!AE64,IF('INTRODUCIR DATOS'!$D$20="ABRIL",'RESULTADO INDEXADO'!AL64,IF('INTRODUCIR DATOS'!$D$20="MAYO",'RESULTADO INDEXADO'!AS64,IF('INTRODUCIR DATOS'!$D$20="JUNIO",'RESULTADO INDEXADO'!AZ64,IF('INTRODUCIR DATOS'!$D$20="JULIO",'RESULTADO INDEXADO'!BG64,IF('INTRODUCIR DATOS'!$D$20="AGOSTO",'RESULTADO INDEXADO'!BN64,IF('INTRODUCIR DATOS'!$D$20="SEPTIEMBRE",'RESULTADO INDEXADO'!BU64,IF('INTRODUCIR DATOS'!$D$20="OCTUBRE",'RESULTADO INDEXADO'!CB64,IF('INTRODUCIR DATOS'!$D$20="NOVIEMBRE",'RESULTADO INDEXADO'!CI64,IF('INTRODUCIR DATOS'!$D$20="DICIEMBRE",'RESULTADO INDEXADO'!CP64))))))))))))</f>
        <v>0</v>
      </c>
      <c r="H64" s="257" t="b">
        <f>IF('INTRODUCIR DATOS'!$D$20="ENERO",'RESULTADO INDEXADO'!R64,IF('INTRODUCIR DATOS'!$D$20="FEBRERO",'RESULTADO INDEXADO'!Y64,IF('INTRODUCIR DATOS'!$D$20="MARZO",'RESULTADO INDEXADO'!AF64,IF('INTRODUCIR DATOS'!$D$20="ABRIL",'RESULTADO INDEXADO'!AM64,IF('INTRODUCIR DATOS'!$D$20="MAYO",'RESULTADO INDEXADO'!AT64,IF('INTRODUCIR DATOS'!$D$20="JUNIO",'RESULTADO INDEXADO'!BA64,IF('INTRODUCIR DATOS'!$D$20="JULIO",'RESULTADO INDEXADO'!BH64,IF('INTRODUCIR DATOS'!$D$20="AGOSTO",'RESULTADO INDEXADO'!BO64,IF('INTRODUCIR DATOS'!$D$20="SEPTIEMBRE",'RESULTADO INDEXADO'!BV64,IF('INTRODUCIR DATOS'!$D$20="OCTUBRE",'RESULTADO INDEXADO'!CC64,IF('INTRODUCIR DATOS'!$D$20="NOVIEMBRE",'RESULTADO INDEXADO'!CJ64,IF('INTRODUCIR DATOS'!$D$20="DICIEMBRE",'RESULTADO INDEXADO'!CQ64))))))))))))</f>
        <v>0</v>
      </c>
      <c r="I64" s="257" t="b">
        <f>IF('INTRODUCIR DATOS'!$D$20="ENERO",'RESULTADO INDEXADO'!S64,IF('INTRODUCIR DATOS'!$D$20="FEBRERO",'RESULTADO INDEXADO'!Z64,IF('INTRODUCIR DATOS'!$D$20="MARZO",'RESULTADO INDEXADO'!AG64,IF('INTRODUCIR DATOS'!$D$20="ABRIL",'RESULTADO INDEXADO'!AN64,IF('INTRODUCIR DATOS'!$D$20="MAYO",'RESULTADO INDEXADO'!AU64,IF('INTRODUCIR DATOS'!$D$20="JUNIO",'RESULTADO INDEXADO'!BB64,IF('INTRODUCIR DATOS'!$D$20="JULIO",'RESULTADO INDEXADO'!BI64,IF('INTRODUCIR DATOS'!$D$20="AGOSTO",'RESULTADO INDEXADO'!BP64,IF('INTRODUCIR DATOS'!$D$20="SEPTIEMBRE",'RESULTADO INDEXADO'!BW64,IF('INTRODUCIR DATOS'!$D$20="OCTUBRE",'RESULTADO INDEXADO'!CD64,IF('INTRODUCIR DATOS'!$D$20="NOVIEMBRE",'RESULTADO INDEXADO'!CK64,IF('INTRODUCIR DATOS'!$D$20="DICIEMBRE",'RESULTADO INDEXADO'!CR64))))))))))))</f>
        <v>0</v>
      </c>
      <c r="J64" s="296" t="b">
        <f>IF('INTRODUCIR DATOS'!$D$20="ENERO",'RESULTADO INDEXADO'!T64,IF('INTRODUCIR DATOS'!$D$20="FEBRERO",'RESULTADO INDEXADO'!AA64,IF('INTRODUCIR DATOS'!$D$20="MARZO",'RESULTADO INDEXADO'!AH64,IF('INTRODUCIR DATOS'!$D$20="ABRIL",'RESULTADO INDEXADO'!AO64,IF('INTRODUCIR DATOS'!$D$20="MAYO",'RESULTADO INDEXADO'!AV64,IF('INTRODUCIR DATOS'!$D$20="JUNIO",'RESULTADO INDEXADO'!BC64,IF('INTRODUCIR DATOS'!$D$20="JULIO",'RESULTADO INDEXADO'!BJ64,IF('INTRODUCIR DATOS'!$D$20="AGOSTO",'RESULTADO INDEXADO'!BQ64,IF('INTRODUCIR DATOS'!$D$20="SEPTIEMBRE",'RESULTADO INDEXADO'!BX64,IF('INTRODUCIR DATOS'!$D$20="OCTUBRE",'RESULTADO INDEXADO'!CE64,IF('INTRODUCIR DATOS'!$D$20="NOVIEMBRE",'RESULTADO INDEXADO'!CL64,IF('INTRODUCIR DATOS'!$D$20="DICIEMBRE",'RESULTADO INDEXADO'!CS64))))))))))))</f>
        <v>0</v>
      </c>
      <c r="K64" s="41"/>
      <c r="L64" s="40"/>
      <c r="M64" s="145"/>
      <c r="N64" s="275" t="s">
        <v>134</v>
      </c>
      <c r="O64" s="267">
        <v>3.0127999999999999E-2</v>
      </c>
      <c r="P64" s="256">
        <v>2.5967E-2</v>
      </c>
      <c r="Q64" s="257">
        <v>1.0626E-2</v>
      </c>
      <c r="R64" s="257">
        <v>8.1620000000000009E-3</v>
      </c>
      <c r="S64" s="257">
        <v>3.4859999999999999E-3</v>
      </c>
      <c r="T64" s="296">
        <v>3.2980000000000002E-3</v>
      </c>
      <c r="U64" s="275" t="s">
        <v>134</v>
      </c>
      <c r="V64" s="267">
        <v>3.0127999999999999E-2</v>
      </c>
      <c r="W64" s="256">
        <v>2.5967E-2</v>
      </c>
      <c r="X64" s="257">
        <v>1.0626E-2</v>
      </c>
      <c r="Y64" s="257">
        <v>8.1620000000000009E-3</v>
      </c>
      <c r="Z64" s="257">
        <v>3.4859999999999999E-3</v>
      </c>
      <c r="AA64" s="296">
        <v>3.2980000000000002E-3</v>
      </c>
      <c r="AB64" s="275" t="s">
        <v>134</v>
      </c>
      <c r="AC64" s="267">
        <v>3.0127999999999999E-2</v>
      </c>
      <c r="AD64" s="256">
        <v>2.5967E-2</v>
      </c>
      <c r="AE64" s="257">
        <v>1.0626E-2</v>
      </c>
      <c r="AF64" s="257">
        <v>8.1620000000000009E-3</v>
      </c>
      <c r="AG64" s="257">
        <v>3.4859999999999999E-3</v>
      </c>
      <c r="AH64" s="296">
        <v>3.2980000000000002E-3</v>
      </c>
      <c r="AI64" s="275" t="s">
        <v>134</v>
      </c>
      <c r="AJ64" s="267">
        <v>3.0127999999999999E-2</v>
      </c>
      <c r="AK64" s="256">
        <v>2.5967E-2</v>
      </c>
      <c r="AL64" s="257">
        <v>1.0626E-2</v>
      </c>
      <c r="AM64" s="257">
        <v>8.1620000000000009E-3</v>
      </c>
      <c r="AN64" s="257">
        <v>3.4859999999999999E-3</v>
      </c>
      <c r="AO64" s="296">
        <v>3.2980000000000002E-3</v>
      </c>
      <c r="AP64" s="275" t="s">
        <v>134</v>
      </c>
      <c r="AQ64" s="267">
        <v>3.0127999999999999E-2</v>
      </c>
      <c r="AR64" s="256">
        <v>2.5967E-2</v>
      </c>
      <c r="AS64" s="257">
        <v>1.0626E-2</v>
      </c>
      <c r="AT64" s="257">
        <v>8.1620000000000009E-3</v>
      </c>
      <c r="AU64" s="257">
        <v>3.4859999999999999E-3</v>
      </c>
      <c r="AV64" s="296">
        <v>3.2980000000000002E-3</v>
      </c>
      <c r="AW64" s="275" t="s">
        <v>134</v>
      </c>
      <c r="AX64" s="267">
        <v>3.0127999999999999E-2</v>
      </c>
      <c r="AY64" s="256">
        <v>2.5967E-2</v>
      </c>
      <c r="AZ64" s="257">
        <v>1.0626E-2</v>
      </c>
      <c r="BA64" s="257">
        <v>8.1620000000000009E-3</v>
      </c>
      <c r="BB64" s="257">
        <v>3.4859999999999999E-3</v>
      </c>
      <c r="BC64" s="296">
        <v>3.2980000000000002E-3</v>
      </c>
      <c r="BD64" s="275" t="s">
        <v>134</v>
      </c>
      <c r="BE64" s="267">
        <v>3.0127999999999999E-2</v>
      </c>
      <c r="BF64" s="256">
        <v>2.5967E-2</v>
      </c>
      <c r="BG64" s="257">
        <v>1.0626E-2</v>
      </c>
      <c r="BH64" s="257">
        <v>8.1620000000000009E-3</v>
      </c>
      <c r="BI64" s="257">
        <v>3.4859999999999999E-3</v>
      </c>
      <c r="BJ64" s="296">
        <v>3.2980000000000002E-3</v>
      </c>
      <c r="BK64" s="275" t="s">
        <v>134</v>
      </c>
      <c r="BL64" s="267">
        <v>3.0127999999999999E-2</v>
      </c>
      <c r="BM64" s="256">
        <v>2.5967E-2</v>
      </c>
      <c r="BN64" s="257">
        <v>1.0626E-2</v>
      </c>
      <c r="BO64" s="257">
        <v>8.1620000000000009E-3</v>
      </c>
      <c r="BP64" s="257">
        <v>3.4859999999999999E-3</v>
      </c>
      <c r="BQ64" s="296">
        <v>3.2980000000000002E-3</v>
      </c>
      <c r="BR64" s="275" t="s">
        <v>134</v>
      </c>
      <c r="BS64" s="267">
        <v>3.0127999999999999E-2</v>
      </c>
      <c r="BT64" s="256">
        <v>2.5967E-2</v>
      </c>
      <c r="BU64" s="257">
        <v>1.0626E-2</v>
      </c>
      <c r="BV64" s="257">
        <v>8.1620000000000009E-3</v>
      </c>
      <c r="BW64" s="257">
        <v>3.4859999999999999E-3</v>
      </c>
      <c r="BX64" s="296">
        <v>3.2980000000000002E-3</v>
      </c>
      <c r="BY64" s="275" t="s">
        <v>134</v>
      </c>
      <c r="BZ64" s="267">
        <v>3.0127999999999999E-2</v>
      </c>
      <c r="CA64" s="256">
        <v>2.5967E-2</v>
      </c>
      <c r="CB64" s="257">
        <v>1.0626E-2</v>
      </c>
      <c r="CC64" s="257">
        <v>8.1620000000000009E-3</v>
      </c>
      <c r="CD64" s="257">
        <v>3.4859999999999999E-3</v>
      </c>
      <c r="CE64" s="296">
        <v>3.2980000000000002E-3</v>
      </c>
      <c r="CF64" s="275" t="s">
        <v>134</v>
      </c>
      <c r="CG64" s="267">
        <v>3.0127999999999999E-2</v>
      </c>
      <c r="CH64" s="256">
        <v>2.5967E-2</v>
      </c>
      <c r="CI64" s="257">
        <v>1.0626E-2</v>
      </c>
      <c r="CJ64" s="257">
        <v>8.1620000000000009E-3</v>
      </c>
      <c r="CK64" s="257">
        <v>3.4859999999999999E-3</v>
      </c>
      <c r="CL64" s="296">
        <v>3.2980000000000002E-3</v>
      </c>
      <c r="CM64" s="275" t="s">
        <v>134</v>
      </c>
      <c r="CN64" s="267">
        <v>3.0127999999999999E-2</v>
      </c>
      <c r="CO64" s="256">
        <v>2.5967E-2</v>
      </c>
      <c r="CP64" s="257">
        <v>1.0626E-2</v>
      </c>
      <c r="CQ64" s="257">
        <v>8.1620000000000009E-3</v>
      </c>
      <c r="CR64" s="257">
        <v>3.4859999999999999E-3</v>
      </c>
      <c r="CS64" s="296">
        <v>3.2980000000000002E-3</v>
      </c>
    </row>
    <row r="65" spans="1:97">
      <c r="A65" s="41" t="s">
        <v>142</v>
      </c>
      <c r="B65" s="40" t="s">
        <v>81</v>
      </c>
      <c r="C65" s="145" t="s">
        <v>139</v>
      </c>
      <c r="D65" s="310" t="s">
        <v>136</v>
      </c>
      <c r="E65" s="266" t="b">
        <f>IF('INTRODUCIR DATOS'!$D$20="ENERO",'RESULTADO INDEXADO'!O65,IF('INTRODUCIR DATOS'!$D$20="FEBRERO",'RESULTADO INDEXADO'!V65,IF('INTRODUCIR DATOS'!$D$20="MARZO",'RESULTADO INDEXADO'!AC65,IF('INTRODUCIR DATOS'!$D$20="ABRIL",'RESULTADO INDEXADO'!AJ65,IF('INTRODUCIR DATOS'!$D$20="MAYO",'RESULTADO INDEXADO'!AQ65,IF('INTRODUCIR DATOS'!$D$20="JUNIO",'RESULTADO INDEXADO'!AX65,IF('INTRODUCIR DATOS'!$D$20="JULIO",'RESULTADO INDEXADO'!BE65,IF('INTRODUCIR DATOS'!$D$20="AGOSTO",'RESULTADO INDEXADO'!BL65,IF('INTRODUCIR DATOS'!$D$20="SEPTIEMBRE",'RESULTADO INDEXADO'!BS65,IF('INTRODUCIR DATOS'!$D$20="OCTUBRE",'RESULTADO INDEXADO'!BZ65,IF('INTRODUCIR DATOS'!$D$20="NOVIEMBRE",'RESULTADO INDEXADO'!CG65,IF('INTRODUCIR DATOS'!$D$20="DICIEMBRE",'RESULTADO INDEXADO'!CN65))))))))))))</f>
        <v>0</v>
      </c>
      <c r="F65" s="253" t="b">
        <f>IF('INTRODUCIR DATOS'!$D$20="ENERO",'RESULTADO INDEXADO'!P65,IF('INTRODUCIR DATOS'!$D$20="FEBRERO",'RESULTADO INDEXADO'!W65,IF('INTRODUCIR DATOS'!$D$20="MARZO",'RESULTADO INDEXADO'!AD65,IF('INTRODUCIR DATOS'!$D$20="ABRIL",'RESULTADO INDEXADO'!AK65,IF('INTRODUCIR DATOS'!$D$20="MAYO",'RESULTADO INDEXADO'!AR65,IF('INTRODUCIR DATOS'!$D$20="JUNIO",'RESULTADO INDEXADO'!AY65,IF('INTRODUCIR DATOS'!$D$20="JULIO",'RESULTADO INDEXADO'!BF65,IF('INTRODUCIR DATOS'!$D$20="AGOSTO",'RESULTADO INDEXADO'!BM65,IF('INTRODUCIR DATOS'!$D$20="SEPTIEMBRE",'RESULTADO INDEXADO'!BT65,IF('INTRODUCIR DATOS'!$D$20="OCTUBRE",'RESULTADO INDEXADO'!CA65,IF('INTRODUCIR DATOS'!$D$20="NOVIEMBRE",'RESULTADO INDEXADO'!CH65,IF('INTRODUCIR DATOS'!$D$20="DICIEMBRE",'RESULTADO INDEXADO'!CO65))))))))))))</f>
        <v>0</v>
      </c>
      <c r="G65" s="253" t="b">
        <f>IF('INTRODUCIR DATOS'!$D$20="ENERO",'RESULTADO INDEXADO'!Q65,IF('INTRODUCIR DATOS'!$D$20="FEBRERO",'RESULTADO INDEXADO'!X65,IF('INTRODUCIR DATOS'!$D$20="MARZO",'RESULTADO INDEXADO'!AE65,IF('INTRODUCIR DATOS'!$D$20="ABRIL",'RESULTADO INDEXADO'!AL65,IF('INTRODUCIR DATOS'!$D$20="MAYO",'RESULTADO INDEXADO'!AS65,IF('INTRODUCIR DATOS'!$D$20="JUNIO",'RESULTADO INDEXADO'!AZ65,IF('INTRODUCIR DATOS'!$D$20="JULIO",'RESULTADO INDEXADO'!BG65,IF('INTRODUCIR DATOS'!$D$20="AGOSTO",'RESULTADO INDEXADO'!BN65,IF('INTRODUCIR DATOS'!$D$20="SEPTIEMBRE",'RESULTADO INDEXADO'!BU65,IF('INTRODUCIR DATOS'!$D$20="OCTUBRE",'RESULTADO INDEXADO'!CB65,IF('INTRODUCIR DATOS'!$D$20="NOVIEMBRE",'RESULTADO INDEXADO'!CI65,IF('INTRODUCIR DATOS'!$D$20="DICIEMBRE",'RESULTADO INDEXADO'!CP65))))))))))))</f>
        <v>0</v>
      </c>
      <c r="H65" s="254" t="b">
        <f>IF('INTRODUCIR DATOS'!$D$20="ENERO",'RESULTADO INDEXADO'!R65,IF('INTRODUCIR DATOS'!$D$20="FEBRERO",'RESULTADO INDEXADO'!Y65,IF('INTRODUCIR DATOS'!$D$20="MARZO",'RESULTADO INDEXADO'!AF65,IF('INTRODUCIR DATOS'!$D$20="ABRIL",'RESULTADO INDEXADO'!AM65,IF('INTRODUCIR DATOS'!$D$20="MAYO",'RESULTADO INDEXADO'!AT65,IF('INTRODUCIR DATOS'!$D$20="JUNIO",'RESULTADO INDEXADO'!BA65,IF('INTRODUCIR DATOS'!$D$20="JULIO",'RESULTADO INDEXADO'!BH65,IF('INTRODUCIR DATOS'!$D$20="AGOSTO",'RESULTADO INDEXADO'!BO65,IF('INTRODUCIR DATOS'!$D$20="SEPTIEMBRE",'RESULTADO INDEXADO'!BV65,IF('INTRODUCIR DATOS'!$D$20="OCTUBRE",'RESULTADO INDEXADO'!CC65,IF('INTRODUCIR DATOS'!$D$20="NOVIEMBRE",'RESULTADO INDEXADO'!CJ65,IF('INTRODUCIR DATOS'!$D$20="DICIEMBRE",'RESULTADO INDEXADO'!CQ65))))))))))))</f>
        <v>0</v>
      </c>
      <c r="I65" s="254" t="b">
        <f>IF('INTRODUCIR DATOS'!$D$20="ENERO",'RESULTADO INDEXADO'!S65,IF('INTRODUCIR DATOS'!$D$20="FEBRERO",'RESULTADO INDEXADO'!Z65,IF('INTRODUCIR DATOS'!$D$20="MARZO",'RESULTADO INDEXADO'!AG65,IF('INTRODUCIR DATOS'!$D$20="ABRIL",'RESULTADO INDEXADO'!AN65,IF('INTRODUCIR DATOS'!$D$20="MAYO",'RESULTADO INDEXADO'!AU65,IF('INTRODUCIR DATOS'!$D$20="JUNIO",'RESULTADO INDEXADO'!BB65,IF('INTRODUCIR DATOS'!$D$20="JULIO",'RESULTADO INDEXADO'!BI65,IF('INTRODUCIR DATOS'!$D$20="AGOSTO",'RESULTADO INDEXADO'!BP65,IF('INTRODUCIR DATOS'!$D$20="SEPTIEMBRE",'RESULTADO INDEXADO'!BW65,IF('INTRODUCIR DATOS'!$D$20="OCTUBRE",'RESULTADO INDEXADO'!CD65,IF('INTRODUCIR DATOS'!$D$20="NOVIEMBRE",'RESULTADO INDEXADO'!CK65,IF('INTRODUCIR DATOS'!$D$20="DICIEMBRE",'RESULTADO INDEXADO'!CR65))))))))))))</f>
        <v>0</v>
      </c>
      <c r="J65" s="295" t="b">
        <f>IF('INTRODUCIR DATOS'!$D$20="ENERO",'RESULTADO INDEXADO'!T65,IF('INTRODUCIR DATOS'!$D$20="FEBRERO",'RESULTADO INDEXADO'!AA65,IF('INTRODUCIR DATOS'!$D$20="MARZO",'RESULTADO INDEXADO'!AH65,IF('INTRODUCIR DATOS'!$D$20="ABRIL",'RESULTADO INDEXADO'!AO65,IF('INTRODUCIR DATOS'!$D$20="MAYO",'RESULTADO INDEXADO'!AV65,IF('INTRODUCIR DATOS'!$D$20="JUNIO",'RESULTADO INDEXADO'!BC65,IF('INTRODUCIR DATOS'!$D$20="JULIO",'RESULTADO INDEXADO'!BJ65,IF('INTRODUCIR DATOS'!$D$20="AGOSTO",'RESULTADO INDEXADO'!BQ65,IF('INTRODUCIR DATOS'!$D$20="SEPTIEMBRE",'RESULTADO INDEXADO'!BX65,IF('INTRODUCIR DATOS'!$D$20="OCTUBRE",'RESULTADO INDEXADO'!CE65,IF('INTRODUCIR DATOS'!$D$20="NOVIEMBRE",'RESULTADO INDEXADO'!CL65,IF('INTRODUCIR DATOS'!$D$20="DICIEMBRE",'RESULTADO INDEXADO'!CS65))))))))))))</f>
        <v>0</v>
      </c>
      <c r="K65" s="290">
        <f>('INTRODUCIR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DATOS'!$D$17)+'INTRODUCIR DATOS'!$D$15+'INTRODUCIR DATOS'!$D$16+IF('INTRODUCIR DATOS'!$D$21=21%,(('INTRODUCIR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DATOS'!$D$17)+'INTRODUCIR DATOS'!$D$16)*21/100,IF('INTRODUCIR DATOS'!$D$21=10%,(('INTRODUCIR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DATOS'!$D$17)+'INTRODUCIR DATOS'!$D$16)*10/100))</f>
        <v>1.0285</v>
      </c>
      <c r="L65" s="292">
        <f>IF(K65=0,"",'INTRODUCIR DATOS'!$D$14-K65)</f>
        <v>113.12150000000001</v>
      </c>
      <c r="M65" s="271">
        <f>IF(K65=0,"",('INTRODUCIR DATOS'!$D$14-K65)/'INTRODUCIR DATOS'!$D$14)</f>
        <v>0.99098992553657472</v>
      </c>
      <c r="N65" s="274" t="s">
        <v>136</v>
      </c>
      <c r="O65" s="266">
        <v>0.137937</v>
      </c>
      <c r="P65" s="253">
        <v>0.124829</v>
      </c>
      <c r="Q65" s="253"/>
      <c r="R65" s="254"/>
      <c r="S65" s="254"/>
      <c r="T65" s="295">
        <v>8.2569000000000004E-2</v>
      </c>
      <c r="U65" s="274" t="s">
        <v>136</v>
      </c>
      <c r="V65" s="266">
        <v>8.9507000000000003E-2</v>
      </c>
      <c r="W65" s="253">
        <v>7.5814000000000006E-2</v>
      </c>
      <c r="X65" s="253"/>
      <c r="Y65" s="254"/>
      <c r="Z65" s="254"/>
      <c r="AA65" s="295">
        <v>4.4824999999999997E-2</v>
      </c>
      <c r="AB65" s="274" t="s">
        <v>136</v>
      </c>
      <c r="AC65" s="266"/>
      <c r="AD65" s="253">
        <v>0.10033300000000001</v>
      </c>
      <c r="AE65" s="253">
        <v>8.6531999999999998E-2</v>
      </c>
      <c r="AF65" s="254"/>
      <c r="AG65" s="254"/>
      <c r="AH65" s="295">
        <v>7.0904999999999996E-2</v>
      </c>
      <c r="AI65" s="274" t="s">
        <v>136</v>
      </c>
      <c r="AJ65" s="266"/>
      <c r="AK65" s="253"/>
      <c r="AL65" s="253"/>
      <c r="AM65" s="254">
        <v>0.111335</v>
      </c>
      <c r="AN65" s="254">
        <v>9.8302E-2</v>
      </c>
      <c r="AO65" s="295">
        <v>9.8473000000000005E-2</v>
      </c>
      <c r="AP65" s="274" t="s">
        <v>136</v>
      </c>
      <c r="AQ65" s="266"/>
      <c r="AR65" s="253"/>
      <c r="AS65" s="253"/>
      <c r="AT65" s="254">
        <v>0.113137</v>
      </c>
      <c r="AU65" s="254">
        <v>0.10095800000000001</v>
      </c>
      <c r="AV65" s="295">
        <v>9.8693000000000003E-2</v>
      </c>
      <c r="AW65" s="274" t="s">
        <v>136</v>
      </c>
      <c r="AX65" s="266"/>
      <c r="AY65" s="253"/>
      <c r="AZ65" s="253">
        <v>0.13145699999999999</v>
      </c>
      <c r="BA65" s="254">
        <v>0.12468799999999999</v>
      </c>
      <c r="BB65" s="254"/>
      <c r="BC65" s="295">
        <v>0.11526500000000001</v>
      </c>
      <c r="BD65" s="274" t="s">
        <v>136</v>
      </c>
      <c r="BE65" s="266">
        <v>0.13405700000000001</v>
      </c>
      <c r="BF65" s="253">
        <v>0.13006899999999999</v>
      </c>
      <c r="BG65" s="253"/>
      <c r="BH65" s="254"/>
      <c r="BI65" s="254"/>
      <c r="BJ65" s="295">
        <v>0.12529999999999999</v>
      </c>
      <c r="BK65" s="274" t="s">
        <v>136</v>
      </c>
      <c r="BL65" s="266"/>
      <c r="BM65" s="253"/>
      <c r="BN65" s="253">
        <v>0.15937699999999999</v>
      </c>
      <c r="BO65" s="254">
        <v>0.153109</v>
      </c>
      <c r="BP65" s="254"/>
      <c r="BQ65" s="295">
        <v>0.14083100000000001</v>
      </c>
      <c r="BR65" s="274" t="s">
        <v>136</v>
      </c>
      <c r="BS65" s="266"/>
      <c r="BT65" s="253"/>
      <c r="BU65" s="253"/>
      <c r="BV65" s="254"/>
      <c r="BW65" s="254"/>
      <c r="BX65" s="295"/>
      <c r="BY65" s="274" t="s">
        <v>136</v>
      </c>
      <c r="BZ65" s="266"/>
      <c r="CA65" s="253"/>
      <c r="CB65" s="253"/>
      <c r="CC65" s="254"/>
      <c r="CD65" s="254"/>
      <c r="CE65" s="295"/>
      <c r="CF65" s="274" t="s">
        <v>136</v>
      </c>
      <c r="CG65" s="266"/>
      <c r="CH65" s="253"/>
      <c r="CI65" s="253"/>
      <c r="CJ65" s="254"/>
      <c r="CK65" s="254"/>
      <c r="CL65" s="295"/>
      <c r="CM65" s="274" t="s">
        <v>136</v>
      </c>
      <c r="CN65" s="266"/>
      <c r="CO65" s="253"/>
      <c r="CP65" s="253"/>
      <c r="CQ65" s="254"/>
      <c r="CR65" s="254"/>
      <c r="CS65" s="295"/>
    </row>
    <row r="66" spans="1:97">
      <c r="A66" s="41" t="s">
        <v>142</v>
      </c>
      <c r="B66" s="40" t="s">
        <v>22</v>
      </c>
      <c r="C66" s="145" t="s">
        <v>139</v>
      </c>
      <c r="D66" s="311" t="s">
        <v>134</v>
      </c>
      <c r="E66" s="267" t="b">
        <f>IF('INTRODUCIR DATOS'!$D$20="ENERO",'RESULTADO INDEXADO'!O66,IF('INTRODUCIR DATOS'!$D$20="FEBRERO",'RESULTADO INDEXADO'!V66,IF('INTRODUCIR DATOS'!$D$20="MARZO",'RESULTADO INDEXADO'!AC66,IF('INTRODUCIR DATOS'!$D$20="ABRIL",'RESULTADO INDEXADO'!AJ66,IF('INTRODUCIR DATOS'!$D$20="MAYO",'RESULTADO INDEXADO'!AQ66,IF('INTRODUCIR DATOS'!$D$20="JUNIO",'RESULTADO INDEXADO'!AX66,IF('INTRODUCIR DATOS'!$D$20="JULIO",'RESULTADO INDEXADO'!BE66,IF('INTRODUCIR DATOS'!$D$20="AGOSTO",'RESULTADO INDEXADO'!BL66,IF('INTRODUCIR DATOS'!$D$20="SEPTIEMBRE",'RESULTADO INDEXADO'!BS66,IF('INTRODUCIR DATOS'!$D$20="OCTUBRE",'RESULTADO INDEXADO'!BZ66,IF('INTRODUCIR DATOS'!$D$20="NOVIEMBRE",'RESULTADO INDEXADO'!CG66,IF('INTRODUCIR DATOS'!$D$20="DICIEMBRE",'RESULTADO INDEXADO'!CN66))))))))))))</f>
        <v>0</v>
      </c>
      <c r="F66" s="256" t="b">
        <f>IF('INTRODUCIR DATOS'!$D$20="ENERO",'RESULTADO INDEXADO'!P66,IF('INTRODUCIR DATOS'!$D$20="FEBRERO",'RESULTADO INDEXADO'!W66,IF('INTRODUCIR DATOS'!$D$20="MARZO",'RESULTADO INDEXADO'!AD66,IF('INTRODUCIR DATOS'!$D$20="ABRIL",'RESULTADO INDEXADO'!AK66,IF('INTRODUCIR DATOS'!$D$20="MAYO",'RESULTADO INDEXADO'!AR66,IF('INTRODUCIR DATOS'!$D$20="JUNIO",'RESULTADO INDEXADO'!AY66,IF('INTRODUCIR DATOS'!$D$20="JULIO",'RESULTADO INDEXADO'!BF66,IF('INTRODUCIR DATOS'!$D$20="AGOSTO",'RESULTADO INDEXADO'!BM66,IF('INTRODUCIR DATOS'!$D$20="SEPTIEMBRE",'RESULTADO INDEXADO'!BT66,IF('INTRODUCIR DATOS'!$D$20="OCTUBRE",'RESULTADO INDEXADO'!CA66,IF('INTRODUCIR DATOS'!$D$20="NOVIEMBRE",'RESULTADO INDEXADO'!CH66,IF('INTRODUCIR DATOS'!$D$20="DICIEMBRE",'RESULTADO INDEXADO'!CO66))))))))))))</f>
        <v>0</v>
      </c>
      <c r="G66" s="257" t="b">
        <f>IF('INTRODUCIR DATOS'!$D$20="ENERO",'RESULTADO INDEXADO'!Q66,IF('INTRODUCIR DATOS'!$D$20="FEBRERO",'RESULTADO INDEXADO'!X66,IF('INTRODUCIR DATOS'!$D$20="MARZO",'RESULTADO INDEXADO'!AE66,IF('INTRODUCIR DATOS'!$D$20="ABRIL",'RESULTADO INDEXADO'!AL66,IF('INTRODUCIR DATOS'!$D$20="MAYO",'RESULTADO INDEXADO'!AS66,IF('INTRODUCIR DATOS'!$D$20="JUNIO",'RESULTADO INDEXADO'!AZ66,IF('INTRODUCIR DATOS'!$D$20="JULIO",'RESULTADO INDEXADO'!BG66,IF('INTRODUCIR DATOS'!$D$20="AGOSTO",'RESULTADO INDEXADO'!BN66,IF('INTRODUCIR DATOS'!$D$20="SEPTIEMBRE",'RESULTADO INDEXADO'!BU66,IF('INTRODUCIR DATOS'!$D$20="OCTUBRE",'RESULTADO INDEXADO'!CB66,IF('INTRODUCIR DATOS'!$D$20="NOVIEMBRE",'RESULTADO INDEXADO'!CI66,IF('INTRODUCIR DATOS'!$D$20="DICIEMBRE",'RESULTADO INDEXADO'!CP66))))))))))))</f>
        <v>0</v>
      </c>
      <c r="H66" s="257" t="b">
        <f>IF('INTRODUCIR DATOS'!$D$20="ENERO",'RESULTADO INDEXADO'!R66,IF('INTRODUCIR DATOS'!$D$20="FEBRERO",'RESULTADO INDEXADO'!Y66,IF('INTRODUCIR DATOS'!$D$20="MARZO",'RESULTADO INDEXADO'!AF66,IF('INTRODUCIR DATOS'!$D$20="ABRIL",'RESULTADO INDEXADO'!AM66,IF('INTRODUCIR DATOS'!$D$20="MAYO",'RESULTADO INDEXADO'!AT66,IF('INTRODUCIR DATOS'!$D$20="JUNIO",'RESULTADO INDEXADO'!BA66,IF('INTRODUCIR DATOS'!$D$20="JULIO",'RESULTADO INDEXADO'!BH66,IF('INTRODUCIR DATOS'!$D$20="AGOSTO",'RESULTADO INDEXADO'!BO66,IF('INTRODUCIR DATOS'!$D$20="SEPTIEMBRE",'RESULTADO INDEXADO'!BV66,IF('INTRODUCIR DATOS'!$D$20="OCTUBRE",'RESULTADO INDEXADO'!CC66,IF('INTRODUCIR DATOS'!$D$20="NOVIEMBRE",'RESULTADO INDEXADO'!CJ66,IF('INTRODUCIR DATOS'!$D$20="DICIEMBRE",'RESULTADO INDEXADO'!CQ66))))))))))))</f>
        <v>0</v>
      </c>
      <c r="I66" s="257" t="b">
        <f>IF('INTRODUCIR DATOS'!$D$20="ENERO",'RESULTADO INDEXADO'!S66,IF('INTRODUCIR DATOS'!$D$20="FEBRERO",'RESULTADO INDEXADO'!Z66,IF('INTRODUCIR DATOS'!$D$20="MARZO",'RESULTADO INDEXADO'!AG66,IF('INTRODUCIR DATOS'!$D$20="ABRIL",'RESULTADO INDEXADO'!AN66,IF('INTRODUCIR DATOS'!$D$20="MAYO",'RESULTADO INDEXADO'!AU66,IF('INTRODUCIR DATOS'!$D$20="JUNIO",'RESULTADO INDEXADO'!BB66,IF('INTRODUCIR DATOS'!$D$20="JULIO",'RESULTADO INDEXADO'!BI66,IF('INTRODUCIR DATOS'!$D$20="AGOSTO",'RESULTADO INDEXADO'!BP66,IF('INTRODUCIR DATOS'!$D$20="SEPTIEMBRE",'RESULTADO INDEXADO'!BW66,IF('INTRODUCIR DATOS'!$D$20="OCTUBRE",'RESULTADO INDEXADO'!CD66,IF('INTRODUCIR DATOS'!$D$20="NOVIEMBRE",'RESULTADO INDEXADO'!CK66,IF('INTRODUCIR DATOS'!$D$20="DICIEMBRE",'RESULTADO INDEXADO'!CR66))))))))))))</f>
        <v>0</v>
      </c>
      <c r="J66" s="296" t="b">
        <f>IF('INTRODUCIR DATOS'!$D$20="ENERO",'RESULTADO INDEXADO'!T66,IF('INTRODUCIR DATOS'!$D$20="FEBRERO",'RESULTADO INDEXADO'!AA66,IF('INTRODUCIR DATOS'!$D$20="MARZO",'RESULTADO INDEXADO'!AH66,IF('INTRODUCIR DATOS'!$D$20="ABRIL",'RESULTADO INDEXADO'!AO66,IF('INTRODUCIR DATOS'!$D$20="MAYO",'RESULTADO INDEXADO'!AV66,IF('INTRODUCIR DATOS'!$D$20="JUNIO",'RESULTADO INDEXADO'!BC66,IF('INTRODUCIR DATOS'!$D$20="JULIO",'RESULTADO INDEXADO'!BJ66,IF('INTRODUCIR DATOS'!$D$20="AGOSTO",'RESULTADO INDEXADO'!BQ66,IF('INTRODUCIR DATOS'!$D$20="SEPTIEMBRE",'RESULTADO INDEXADO'!BX66,IF('INTRODUCIR DATOS'!$D$20="OCTUBRE",'RESULTADO INDEXADO'!CE66,IF('INTRODUCIR DATOS'!$D$20="NOVIEMBRE",'RESULTADO INDEXADO'!CL66,IF('INTRODUCIR DATOS'!$D$20="DICIEMBRE",'RESULTADO INDEXADO'!CS66))))))))))))</f>
        <v>0</v>
      </c>
      <c r="K66" s="41"/>
      <c r="L66" s="40"/>
      <c r="M66" s="145"/>
      <c r="N66" s="275" t="s">
        <v>134</v>
      </c>
      <c r="O66" s="267">
        <v>3.8346999999999999E-2</v>
      </c>
      <c r="P66" s="256">
        <v>3.4186000000000001E-2</v>
      </c>
      <c r="Q66" s="257">
        <v>1.8845000000000001E-2</v>
      </c>
      <c r="R66" s="257">
        <v>1.6382000000000001E-2</v>
      </c>
      <c r="S66" s="257">
        <v>1.1705E-2</v>
      </c>
      <c r="T66" s="296">
        <v>1.1516999999999999E-2</v>
      </c>
      <c r="U66" s="275" t="s">
        <v>134</v>
      </c>
      <c r="V66" s="267">
        <v>3.8346999999999999E-2</v>
      </c>
      <c r="W66" s="256">
        <v>3.4186000000000001E-2</v>
      </c>
      <c r="X66" s="257">
        <v>1.8845000000000001E-2</v>
      </c>
      <c r="Y66" s="257">
        <v>1.6382000000000001E-2</v>
      </c>
      <c r="Z66" s="257">
        <v>1.1705E-2</v>
      </c>
      <c r="AA66" s="296">
        <v>1.1516999999999999E-2</v>
      </c>
      <c r="AB66" s="275" t="s">
        <v>134</v>
      </c>
      <c r="AC66" s="267">
        <v>3.8346999999999999E-2</v>
      </c>
      <c r="AD66" s="256">
        <v>3.4186000000000001E-2</v>
      </c>
      <c r="AE66" s="257">
        <v>1.8845000000000001E-2</v>
      </c>
      <c r="AF66" s="257">
        <v>1.6382000000000001E-2</v>
      </c>
      <c r="AG66" s="257">
        <v>1.1705E-2</v>
      </c>
      <c r="AH66" s="296">
        <v>1.1516999999999999E-2</v>
      </c>
      <c r="AI66" s="275" t="s">
        <v>134</v>
      </c>
      <c r="AJ66" s="267">
        <v>3.8346999999999999E-2</v>
      </c>
      <c r="AK66" s="256">
        <v>3.4186000000000001E-2</v>
      </c>
      <c r="AL66" s="257">
        <v>1.8845000000000001E-2</v>
      </c>
      <c r="AM66" s="257">
        <v>1.6382000000000001E-2</v>
      </c>
      <c r="AN66" s="257">
        <v>1.1705E-2</v>
      </c>
      <c r="AO66" s="296">
        <v>1.1516999999999999E-2</v>
      </c>
      <c r="AP66" s="275" t="s">
        <v>134</v>
      </c>
      <c r="AQ66" s="267">
        <v>3.8346999999999999E-2</v>
      </c>
      <c r="AR66" s="256">
        <v>3.4186000000000001E-2</v>
      </c>
      <c r="AS66" s="257">
        <v>1.8845000000000001E-2</v>
      </c>
      <c r="AT66" s="257">
        <v>1.6382000000000001E-2</v>
      </c>
      <c r="AU66" s="257">
        <v>1.1705E-2</v>
      </c>
      <c r="AV66" s="296">
        <v>1.1516999999999999E-2</v>
      </c>
      <c r="AW66" s="275" t="s">
        <v>134</v>
      </c>
      <c r="AX66" s="267">
        <v>3.8346999999999999E-2</v>
      </c>
      <c r="AY66" s="256">
        <v>3.4186000000000001E-2</v>
      </c>
      <c r="AZ66" s="257">
        <v>1.8845000000000001E-2</v>
      </c>
      <c r="BA66" s="257">
        <v>1.6382000000000001E-2</v>
      </c>
      <c r="BB66" s="257">
        <v>1.1705E-2</v>
      </c>
      <c r="BC66" s="296">
        <v>1.1516999999999999E-2</v>
      </c>
      <c r="BD66" s="275" t="s">
        <v>134</v>
      </c>
      <c r="BE66" s="267">
        <v>3.8346999999999999E-2</v>
      </c>
      <c r="BF66" s="256">
        <v>3.4186000000000001E-2</v>
      </c>
      <c r="BG66" s="257">
        <v>1.8845000000000001E-2</v>
      </c>
      <c r="BH66" s="257">
        <v>1.6382000000000001E-2</v>
      </c>
      <c r="BI66" s="257">
        <v>1.1705E-2</v>
      </c>
      <c r="BJ66" s="296">
        <v>1.1516999999999999E-2</v>
      </c>
      <c r="BK66" s="275" t="s">
        <v>134</v>
      </c>
      <c r="BL66" s="267">
        <v>3.8346999999999999E-2</v>
      </c>
      <c r="BM66" s="256">
        <v>3.4186000000000001E-2</v>
      </c>
      <c r="BN66" s="257">
        <v>1.8845000000000001E-2</v>
      </c>
      <c r="BO66" s="257">
        <v>1.6382000000000001E-2</v>
      </c>
      <c r="BP66" s="257">
        <v>1.1705E-2</v>
      </c>
      <c r="BQ66" s="296">
        <v>1.1516999999999999E-2</v>
      </c>
      <c r="BR66" s="275" t="s">
        <v>134</v>
      </c>
      <c r="BS66" s="267">
        <v>3.8346999999999999E-2</v>
      </c>
      <c r="BT66" s="256">
        <v>3.4186000000000001E-2</v>
      </c>
      <c r="BU66" s="257">
        <v>1.8845000000000001E-2</v>
      </c>
      <c r="BV66" s="257">
        <v>1.6382000000000001E-2</v>
      </c>
      <c r="BW66" s="257">
        <v>1.1705E-2</v>
      </c>
      <c r="BX66" s="296">
        <v>1.1516999999999999E-2</v>
      </c>
      <c r="BY66" s="275" t="s">
        <v>134</v>
      </c>
      <c r="BZ66" s="267">
        <v>3.8346999999999999E-2</v>
      </c>
      <c r="CA66" s="256">
        <v>3.4186000000000001E-2</v>
      </c>
      <c r="CB66" s="257">
        <v>1.8845000000000001E-2</v>
      </c>
      <c r="CC66" s="257">
        <v>1.6382000000000001E-2</v>
      </c>
      <c r="CD66" s="257">
        <v>1.1705E-2</v>
      </c>
      <c r="CE66" s="296">
        <v>1.1516999999999999E-2</v>
      </c>
      <c r="CF66" s="275" t="s">
        <v>134</v>
      </c>
      <c r="CG66" s="267">
        <v>3.8346999999999999E-2</v>
      </c>
      <c r="CH66" s="256">
        <v>3.4186000000000001E-2</v>
      </c>
      <c r="CI66" s="257">
        <v>1.8845000000000001E-2</v>
      </c>
      <c r="CJ66" s="257">
        <v>1.6382000000000001E-2</v>
      </c>
      <c r="CK66" s="257">
        <v>1.1705E-2</v>
      </c>
      <c r="CL66" s="296">
        <v>1.1516999999999999E-2</v>
      </c>
      <c r="CM66" s="275" t="s">
        <v>134</v>
      </c>
      <c r="CN66" s="267">
        <v>3.8346999999999999E-2</v>
      </c>
      <c r="CO66" s="256">
        <v>3.4186000000000001E-2</v>
      </c>
      <c r="CP66" s="257">
        <v>1.8845000000000001E-2</v>
      </c>
      <c r="CQ66" s="257">
        <v>1.6382000000000001E-2</v>
      </c>
      <c r="CR66" s="257">
        <v>1.1705E-2</v>
      </c>
      <c r="CS66" s="296">
        <v>1.1516999999999999E-2</v>
      </c>
    </row>
    <row r="67" spans="1:97">
      <c r="A67" s="41" t="s">
        <v>142</v>
      </c>
      <c r="B67" s="40" t="s">
        <v>22</v>
      </c>
      <c r="C67" s="145" t="s">
        <v>139</v>
      </c>
      <c r="D67" s="310" t="s">
        <v>136</v>
      </c>
      <c r="E67" s="266" t="b">
        <f>IF('INTRODUCIR DATOS'!$D$20="ENERO",'RESULTADO INDEXADO'!O67,IF('INTRODUCIR DATOS'!$D$20="FEBRERO",'RESULTADO INDEXADO'!V67,IF('INTRODUCIR DATOS'!$D$20="MARZO",'RESULTADO INDEXADO'!AC67,IF('INTRODUCIR DATOS'!$D$20="ABRIL",'RESULTADO INDEXADO'!AJ67,IF('INTRODUCIR DATOS'!$D$20="MAYO",'RESULTADO INDEXADO'!AQ67,IF('INTRODUCIR DATOS'!$D$20="JUNIO",'RESULTADO INDEXADO'!AX67,IF('INTRODUCIR DATOS'!$D$20="JULIO",'RESULTADO INDEXADO'!BE67,IF('INTRODUCIR DATOS'!$D$20="AGOSTO",'RESULTADO INDEXADO'!BL67,IF('INTRODUCIR DATOS'!$D$20="SEPTIEMBRE",'RESULTADO INDEXADO'!BS67,IF('INTRODUCIR DATOS'!$D$20="OCTUBRE",'RESULTADO INDEXADO'!BZ67,IF('INTRODUCIR DATOS'!$D$20="NOVIEMBRE",'RESULTADO INDEXADO'!CG67,IF('INTRODUCIR DATOS'!$D$20="DICIEMBRE",'RESULTADO INDEXADO'!CN67))))))))))))</f>
        <v>0</v>
      </c>
      <c r="F67" s="253" t="b">
        <f>IF('INTRODUCIR DATOS'!$D$20="ENERO",'RESULTADO INDEXADO'!P67,IF('INTRODUCIR DATOS'!$D$20="FEBRERO",'RESULTADO INDEXADO'!W67,IF('INTRODUCIR DATOS'!$D$20="MARZO",'RESULTADO INDEXADO'!AD67,IF('INTRODUCIR DATOS'!$D$20="ABRIL",'RESULTADO INDEXADO'!AK67,IF('INTRODUCIR DATOS'!$D$20="MAYO",'RESULTADO INDEXADO'!AR67,IF('INTRODUCIR DATOS'!$D$20="JUNIO",'RESULTADO INDEXADO'!AY67,IF('INTRODUCIR DATOS'!$D$20="JULIO",'RESULTADO INDEXADO'!BF67,IF('INTRODUCIR DATOS'!$D$20="AGOSTO",'RESULTADO INDEXADO'!BM67,IF('INTRODUCIR DATOS'!$D$20="SEPTIEMBRE",'RESULTADO INDEXADO'!BT67,IF('INTRODUCIR DATOS'!$D$20="OCTUBRE",'RESULTADO INDEXADO'!CA67,IF('INTRODUCIR DATOS'!$D$20="NOVIEMBRE",'RESULTADO INDEXADO'!CH67,IF('INTRODUCIR DATOS'!$D$20="DICIEMBRE",'RESULTADO INDEXADO'!CO67))))))))))))</f>
        <v>0</v>
      </c>
      <c r="G67" s="253" t="b">
        <f>IF('INTRODUCIR DATOS'!$D$20="ENERO",'RESULTADO INDEXADO'!Q67,IF('INTRODUCIR DATOS'!$D$20="FEBRERO",'RESULTADO INDEXADO'!X67,IF('INTRODUCIR DATOS'!$D$20="MARZO",'RESULTADO INDEXADO'!AE67,IF('INTRODUCIR DATOS'!$D$20="ABRIL",'RESULTADO INDEXADO'!AL67,IF('INTRODUCIR DATOS'!$D$20="MAYO",'RESULTADO INDEXADO'!AS67,IF('INTRODUCIR DATOS'!$D$20="JUNIO",'RESULTADO INDEXADO'!AZ67,IF('INTRODUCIR DATOS'!$D$20="JULIO",'RESULTADO INDEXADO'!BG67,IF('INTRODUCIR DATOS'!$D$20="AGOSTO",'RESULTADO INDEXADO'!BN67,IF('INTRODUCIR DATOS'!$D$20="SEPTIEMBRE",'RESULTADO INDEXADO'!BU67,IF('INTRODUCIR DATOS'!$D$20="OCTUBRE",'RESULTADO INDEXADO'!CB67,IF('INTRODUCIR DATOS'!$D$20="NOVIEMBRE",'RESULTADO INDEXADO'!CI67,IF('INTRODUCIR DATOS'!$D$20="DICIEMBRE",'RESULTADO INDEXADO'!CP67))))))))))))</f>
        <v>0</v>
      </c>
      <c r="H67" s="254" t="b">
        <f>IF('INTRODUCIR DATOS'!$D$20="ENERO",'RESULTADO INDEXADO'!R67,IF('INTRODUCIR DATOS'!$D$20="FEBRERO",'RESULTADO INDEXADO'!Y67,IF('INTRODUCIR DATOS'!$D$20="MARZO",'RESULTADO INDEXADO'!AF67,IF('INTRODUCIR DATOS'!$D$20="ABRIL",'RESULTADO INDEXADO'!AM67,IF('INTRODUCIR DATOS'!$D$20="MAYO",'RESULTADO INDEXADO'!AT67,IF('INTRODUCIR DATOS'!$D$20="JUNIO",'RESULTADO INDEXADO'!BA67,IF('INTRODUCIR DATOS'!$D$20="JULIO",'RESULTADO INDEXADO'!BH67,IF('INTRODUCIR DATOS'!$D$20="AGOSTO",'RESULTADO INDEXADO'!BO67,IF('INTRODUCIR DATOS'!$D$20="SEPTIEMBRE",'RESULTADO INDEXADO'!BV67,IF('INTRODUCIR DATOS'!$D$20="OCTUBRE",'RESULTADO INDEXADO'!CC67,IF('INTRODUCIR DATOS'!$D$20="NOVIEMBRE",'RESULTADO INDEXADO'!CJ67,IF('INTRODUCIR DATOS'!$D$20="DICIEMBRE",'RESULTADO INDEXADO'!CQ67))))))))))))</f>
        <v>0</v>
      </c>
      <c r="I67" s="254" t="b">
        <f>IF('INTRODUCIR DATOS'!$D$20="ENERO",'RESULTADO INDEXADO'!S67,IF('INTRODUCIR DATOS'!$D$20="FEBRERO",'RESULTADO INDEXADO'!Z67,IF('INTRODUCIR DATOS'!$D$20="MARZO",'RESULTADO INDEXADO'!AG67,IF('INTRODUCIR DATOS'!$D$20="ABRIL",'RESULTADO INDEXADO'!AN67,IF('INTRODUCIR DATOS'!$D$20="MAYO",'RESULTADO INDEXADO'!AU67,IF('INTRODUCIR DATOS'!$D$20="JUNIO",'RESULTADO INDEXADO'!BB67,IF('INTRODUCIR DATOS'!$D$20="JULIO",'RESULTADO INDEXADO'!BI67,IF('INTRODUCIR DATOS'!$D$20="AGOSTO",'RESULTADO INDEXADO'!BP67,IF('INTRODUCIR DATOS'!$D$20="SEPTIEMBRE",'RESULTADO INDEXADO'!BW67,IF('INTRODUCIR DATOS'!$D$20="OCTUBRE",'RESULTADO INDEXADO'!CD67,IF('INTRODUCIR DATOS'!$D$20="NOVIEMBRE",'RESULTADO INDEXADO'!CK67,IF('INTRODUCIR DATOS'!$D$20="DICIEMBRE",'RESULTADO INDEXADO'!CR67))))))))))))</f>
        <v>0</v>
      </c>
      <c r="J67" s="295" t="b">
        <f>IF('INTRODUCIR DATOS'!$D$20="ENERO",'RESULTADO INDEXADO'!T67,IF('INTRODUCIR DATOS'!$D$20="FEBRERO",'RESULTADO INDEXADO'!AA67,IF('INTRODUCIR DATOS'!$D$20="MARZO",'RESULTADO INDEXADO'!AH67,IF('INTRODUCIR DATOS'!$D$20="ABRIL",'RESULTADO INDEXADO'!AO67,IF('INTRODUCIR DATOS'!$D$20="MAYO",'RESULTADO INDEXADO'!AV67,IF('INTRODUCIR DATOS'!$D$20="JUNIO",'RESULTADO INDEXADO'!BC67,IF('INTRODUCIR DATOS'!$D$20="JULIO",'RESULTADO INDEXADO'!BJ67,IF('INTRODUCIR DATOS'!$D$20="AGOSTO",'RESULTADO INDEXADO'!BQ67,IF('INTRODUCIR DATOS'!$D$20="SEPTIEMBRE",'RESULTADO INDEXADO'!BX67,IF('INTRODUCIR DATOS'!$D$20="OCTUBRE",'RESULTADO INDEXADO'!CE67,IF('INTRODUCIR DATOS'!$D$20="NOVIEMBRE",'RESULTADO INDEXADO'!CL67,IF('INTRODUCIR DATOS'!$D$20="DICIEMBRE",'RESULTADO INDEXADO'!CS67))))))))))))</f>
        <v>0</v>
      </c>
      <c r="K67" s="290">
        <f>('INTRODUCIR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DATOS'!$D$17)+'INTRODUCIR DATOS'!$D$15+'INTRODUCIR DATOS'!$D$16+IF('INTRODUCIR DATOS'!$D$21=21%,(('INTRODUCIR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DATOS'!$D$17)+'INTRODUCIR DATOS'!$D$16)*21/100,IF('INTRODUCIR DATOS'!$D$21=10%,(('INTRODUCIR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DATOS'!$D$17)+'INTRODUCIR DATOS'!$D$16)*10/100))</f>
        <v>1.0285</v>
      </c>
      <c r="L67" s="292">
        <f>IF(K67=0,"",'INTRODUCIR DATOS'!$D$14-K67)</f>
        <v>113.12150000000001</v>
      </c>
      <c r="M67" s="271">
        <f>IF(K67=0,"",('INTRODUCIR DATOS'!$D$14-K67)/'INTRODUCIR DATOS'!$D$14)</f>
        <v>0.99098992553657472</v>
      </c>
      <c r="N67" s="274" t="s">
        <v>136</v>
      </c>
      <c r="O67" s="266">
        <v>0.14093700000000001</v>
      </c>
      <c r="P67" s="253">
        <v>0.127829</v>
      </c>
      <c r="Q67" s="253"/>
      <c r="R67" s="254"/>
      <c r="S67" s="254"/>
      <c r="T67" s="295">
        <v>8.5569000000000006E-2</v>
      </c>
      <c r="U67" s="274" t="s">
        <v>136</v>
      </c>
      <c r="V67" s="266">
        <v>9.2507000000000006E-2</v>
      </c>
      <c r="W67" s="253">
        <v>7.8813999999999995E-2</v>
      </c>
      <c r="X67" s="253"/>
      <c r="Y67" s="254"/>
      <c r="Z67" s="254"/>
      <c r="AA67" s="295">
        <v>4.7824999999999999E-2</v>
      </c>
      <c r="AB67" s="274" t="s">
        <v>136</v>
      </c>
      <c r="AC67" s="266"/>
      <c r="AD67" s="253">
        <v>0.10333299999999999</v>
      </c>
      <c r="AE67" s="253">
        <v>8.9532E-2</v>
      </c>
      <c r="AF67" s="254"/>
      <c r="AG67" s="254"/>
      <c r="AH67" s="295">
        <v>7.3904999999999998E-2</v>
      </c>
      <c r="AI67" s="274" t="s">
        <v>136</v>
      </c>
      <c r="AJ67" s="266"/>
      <c r="AK67" s="253"/>
      <c r="AL67" s="253"/>
      <c r="AM67" s="254">
        <v>0.11433500000000001</v>
      </c>
      <c r="AN67" s="254">
        <v>0.101302</v>
      </c>
      <c r="AO67" s="295">
        <v>0.10147299999999999</v>
      </c>
      <c r="AP67" s="274" t="s">
        <v>136</v>
      </c>
      <c r="AQ67" s="266"/>
      <c r="AR67" s="253"/>
      <c r="AS67" s="253"/>
      <c r="AT67" s="254">
        <v>0.116137</v>
      </c>
      <c r="AU67" s="254">
        <v>0.10395799999999999</v>
      </c>
      <c r="AV67" s="295">
        <v>0.10169300000000001</v>
      </c>
      <c r="AW67" s="274" t="s">
        <v>136</v>
      </c>
      <c r="AX67" s="266"/>
      <c r="AY67" s="253"/>
      <c r="AZ67" s="253">
        <v>0.13445699999999999</v>
      </c>
      <c r="BA67" s="254">
        <v>0.127688</v>
      </c>
      <c r="BB67" s="254"/>
      <c r="BC67" s="295">
        <v>0.118265</v>
      </c>
      <c r="BD67" s="274" t="s">
        <v>136</v>
      </c>
      <c r="BE67" s="266">
        <v>0.15784999999999999</v>
      </c>
      <c r="BF67" s="253">
        <v>0.15043899999999999</v>
      </c>
      <c r="BG67" s="253"/>
      <c r="BH67" s="254"/>
      <c r="BI67" s="254"/>
      <c r="BJ67" s="295">
        <v>0.12882399999999999</v>
      </c>
      <c r="BK67" s="274" t="s">
        <v>136</v>
      </c>
      <c r="BL67" s="266"/>
      <c r="BM67" s="253"/>
      <c r="BN67" s="253">
        <v>0.16237699999999999</v>
      </c>
      <c r="BO67" s="254">
        <v>0.156109</v>
      </c>
      <c r="BP67" s="254"/>
      <c r="BQ67" s="295">
        <v>0.14383099999999999</v>
      </c>
      <c r="BR67" s="274" t="s">
        <v>136</v>
      </c>
      <c r="BS67" s="266"/>
      <c r="BT67" s="253"/>
      <c r="BU67" s="253"/>
      <c r="BV67" s="254"/>
      <c r="BW67" s="254"/>
      <c r="BX67" s="295"/>
      <c r="BY67" s="274" t="s">
        <v>136</v>
      </c>
      <c r="BZ67" s="266"/>
      <c r="CA67" s="253"/>
      <c r="CB67" s="253"/>
      <c r="CC67" s="254"/>
      <c r="CD67" s="254"/>
      <c r="CE67" s="295"/>
      <c r="CF67" s="274" t="s">
        <v>136</v>
      </c>
      <c r="CG67" s="266"/>
      <c r="CH67" s="253"/>
      <c r="CI67" s="253"/>
      <c r="CJ67" s="254"/>
      <c r="CK67" s="254"/>
      <c r="CL67" s="295"/>
      <c r="CM67" s="274" t="s">
        <v>136</v>
      </c>
      <c r="CN67" s="266"/>
      <c r="CO67" s="253"/>
      <c r="CP67" s="253"/>
      <c r="CQ67" s="254"/>
      <c r="CR67" s="254"/>
      <c r="CS67" s="295"/>
    </row>
    <row r="68" spans="1:97">
      <c r="A68" s="41" t="s">
        <v>142</v>
      </c>
      <c r="B68" s="40" t="s">
        <v>84</v>
      </c>
      <c r="C68" s="145" t="s">
        <v>139</v>
      </c>
      <c r="D68" s="311" t="s">
        <v>134</v>
      </c>
      <c r="E68" s="267" t="b">
        <f>IF('INTRODUCIR DATOS'!$D$20="ENERO",'RESULTADO INDEXADO'!O68,IF('INTRODUCIR DATOS'!$D$20="FEBRERO",'RESULTADO INDEXADO'!V68,IF('INTRODUCIR DATOS'!$D$20="MARZO",'RESULTADO INDEXADO'!AC68,IF('INTRODUCIR DATOS'!$D$20="ABRIL",'RESULTADO INDEXADO'!AJ68,IF('INTRODUCIR DATOS'!$D$20="MAYO",'RESULTADO INDEXADO'!AQ68,IF('INTRODUCIR DATOS'!$D$20="JUNIO",'RESULTADO INDEXADO'!AX68,IF('INTRODUCIR DATOS'!$D$20="JULIO",'RESULTADO INDEXADO'!BE68,IF('INTRODUCIR DATOS'!$D$20="AGOSTO",'RESULTADO INDEXADO'!BL68,IF('INTRODUCIR DATOS'!$D$20="SEPTIEMBRE",'RESULTADO INDEXADO'!BS68,IF('INTRODUCIR DATOS'!$D$20="OCTUBRE",'RESULTADO INDEXADO'!BZ68,IF('INTRODUCIR DATOS'!$D$20="NOVIEMBRE",'RESULTADO INDEXADO'!CG68,IF('INTRODUCIR DATOS'!$D$20="DICIEMBRE",'RESULTADO INDEXADO'!CN68))))))))))))</f>
        <v>0</v>
      </c>
      <c r="F68" s="256" t="b">
        <f>IF('INTRODUCIR DATOS'!$D$20="ENERO",'RESULTADO INDEXADO'!P68,IF('INTRODUCIR DATOS'!$D$20="FEBRERO",'RESULTADO INDEXADO'!W68,IF('INTRODUCIR DATOS'!$D$20="MARZO",'RESULTADO INDEXADO'!AD68,IF('INTRODUCIR DATOS'!$D$20="ABRIL",'RESULTADO INDEXADO'!AK68,IF('INTRODUCIR DATOS'!$D$20="MAYO",'RESULTADO INDEXADO'!AR68,IF('INTRODUCIR DATOS'!$D$20="JUNIO",'RESULTADO INDEXADO'!AY68,IF('INTRODUCIR DATOS'!$D$20="JULIO",'RESULTADO INDEXADO'!BF68,IF('INTRODUCIR DATOS'!$D$20="AGOSTO",'RESULTADO INDEXADO'!BM68,IF('INTRODUCIR DATOS'!$D$20="SEPTIEMBRE",'RESULTADO INDEXADO'!BT68,IF('INTRODUCIR DATOS'!$D$20="OCTUBRE",'RESULTADO INDEXADO'!CA68,IF('INTRODUCIR DATOS'!$D$20="NOVIEMBRE",'RESULTADO INDEXADO'!CH68,IF('INTRODUCIR DATOS'!$D$20="DICIEMBRE",'RESULTADO INDEXADO'!CO68))))))))))))</f>
        <v>0</v>
      </c>
      <c r="G68" s="257" t="b">
        <f>IF('INTRODUCIR DATOS'!$D$20="ENERO",'RESULTADO INDEXADO'!Q68,IF('INTRODUCIR DATOS'!$D$20="FEBRERO",'RESULTADO INDEXADO'!X68,IF('INTRODUCIR DATOS'!$D$20="MARZO",'RESULTADO INDEXADO'!AE68,IF('INTRODUCIR DATOS'!$D$20="ABRIL",'RESULTADO INDEXADO'!AL68,IF('INTRODUCIR DATOS'!$D$20="MAYO",'RESULTADO INDEXADO'!AS68,IF('INTRODUCIR DATOS'!$D$20="JUNIO",'RESULTADO INDEXADO'!AZ68,IF('INTRODUCIR DATOS'!$D$20="JULIO",'RESULTADO INDEXADO'!BG68,IF('INTRODUCIR DATOS'!$D$20="AGOSTO",'RESULTADO INDEXADO'!BN68,IF('INTRODUCIR DATOS'!$D$20="SEPTIEMBRE",'RESULTADO INDEXADO'!BU68,IF('INTRODUCIR DATOS'!$D$20="OCTUBRE",'RESULTADO INDEXADO'!CB68,IF('INTRODUCIR DATOS'!$D$20="NOVIEMBRE",'RESULTADO INDEXADO'!CI68,IF('INTRODUCIR DATOS'!$D$20="DICIEMBRE",'RESULTADO INDEXADO'!CP68))))))))))))</f>
        <v>0</v>
      </c>
      <c r="H68" s="257" t="b">
        <f>IF('INTRODUCIR DATOS'!$D$20="ENERO",'RESULTADO INDEXADO'!R68,IF('INTRODUCIR DATOS'!$D$20="FEBRERO",'RESULTADO INDEXADO'!Y68,IF('INTRODUCIR DATOS'!$D$20="MARZO",'RESULTADO INDEXADO'!AF68,IF('INTRODUCIR DATOS'!$D$20="ABRIL",'RESULTADO INDEXADO'!AM68,IF('INTRODUCIR DATOS'!$D$20="MAYO",'RESULTADO INDEXADO'!AT68,IF('INTRODUCIR DATOS'!$D$20="JUNIO",'RESULTADO INDEXADO'!BA68,IF('INTRODUCIR DATOS'!$D$20="JULIO",'RESULTADO INDEXADO'!BH68,IF('INTRODUCIR DATOS'!$D$20="AGOSTO",'RESULTADO INDEXADO'!BO68,IF('INTRODUCIR DATOS'!$D$20="SEPTIEMBRE",'RESULTADO INDEXADO'!BV68,IF('INTRODUCIR DATOS'!$D$20="OCTUBRE",'RESULTADO INDEXADO'!CC68,IF('INTRODUCIR DATOS'!$D$20="NOVIEMBRE",'RESULTADO INDEXADO'!CJ68,IF('INTRODUCIR DATOS'!$D$20="DICIEMBRE",'RESULTADO INDEXADO'!CQ68))))))))))))</f>
        <v>0</v>
      </c>
      <c r="I68" s="257" t="b">
        <f>IF('INTRODUCIR DATOS'!$D$20="ENERO",'RESULTADO INDEXADO'!S68,IF('INTRODUCIR DATOS'!$D$20="FEBRERO",'RESULTADO INDEXADO'!Z68,IF('INTRODUCIR DATOS'!$D$20="MARZO",'RESULTADO INDEXADO'!AG68,IF('INTRODUCIR DATOS'!$D$20="ABRIL",'RESULTADO INDEXADO'!AN68,IF('INTRODUCIR DATOS'!$D$20="MAYO",'RESULTADO INDEXADO'!AU68,IF('INTRODUCIR DATOS'!$D$20="JUNIO",'RESULTADO INDEXADO'!BB68,IF('INTRODUCIR DATOS'!$D$20="JULIO",'RESULTADO INDEXADO'!BI68,IF('INTRODUCIR DATOS'!$D$20="AGOSTO",'RESULTADO INDEXADO'!BP68,IF('INTRODUCIR DATOS'!$D$20="SEPTIEMBRE",'RESULTADO INDEXADO'!BW68,IF('INTRODUCIR DATOS'!$D$20="OCTUBRE",'RESULTADO INDEXADO'!CD68,IF('INTRODUCIR DATOS'!$D$20="NOVIEMBRE",'RESULTADO INDEXADO'!CK68,IF('INTRODUCIR DATOS'!$D$20="DICIEMBRE",'RESULTADO INDEXADO'!CR68))))))))))))</f>
        <v>0</v>
      </c>
      <c r="J68" s="296" t="b">
        <f>IF('INTRODUCIR DATOS'!$D$20="ENERO",'RESULTADO INDEXADO'!T68,IF('INTRODUCIR DATOS'!$D$20="FEBRERO",'RESULTADO INDEXADO'!AA68,IF('INTRODUCIR DATOS'!$D$20="MARZO",'RESULTADO INDEXADO'!AH68,IF('INTRODUCIR DATOS'!$D$20="ABRIL",'RESULTADO INDEXADO'!AO68,IF('INTRODUCIR DATOS'!$D$20="MAYO",'RESULTADO INDEXADO'!AV68,IF('INTRODUCIR DATOS'!$D$20="JUNIO",'RESULTADO INDEXADO'!BC68,IF('INTRODUCIR DATOS'!$D$20="JULIO",'RESULTADO INDEXADO'!BJ68,IF('INTRODUCIR DATOS'!$D$20="AGOSTO",'RESULTADO INDEXADO'!BQ68,IF('INTRODUCIR DATOS'!$D$20="SEPTIEMBRE",'RESULTADO INDEXADO'!BX68,IF('INTRODUCIR DATOS'!$D$20="OCTUBRE",'RESULTADO INDEXADO'!CE68,IF('INTRODUCIR DATOS'!$D$20="NOVIEMBRE",'RESULTADO INDEXADO'!CL68,IF('INTRODUCIR DATOS'!$D$20="DICIEMBRE",'RESULTADO INDEXADO'!CS68))))))))))))</f>
        <v>0</v>
      </c>
      <c r="K68" s="41"/>
      <c r="L68" s="40"/>
      <c r="M68" s="145"/>
      <c r="N68" s="275" t="s">
        <v>134</v>
      </c>
      <c r="O68" s="267">
        <v>3.5607E-2</v>
      </c>
      <c r="P68" s="256">
        <v>3.1447000000000003E-2</v>
      </c>
      <c r="Q68" s="257">
        <v>1.6105999999999999E-2</v>
      </c>
      <c r="R68" s="257">
        <v>1.3642E-2</v>
      </c>
      <c r="S68" s="257">
        <v>8.966E-3</v>
      </c>
      <c r="T68" s="296">
        <v>8.7770000000000001E-3</v>
      </c>
      <c r="U68" s="275" t="s">
        <v>134</v>
      </c>
      <c r="V68" s="267">
        <v>3.5607E-2</v>
      </c>
      <c r="W68" s="256">
        <v>3.1447000000000003E-2</v>
      </c>
      <c r="X68" s="257">
        <v>1.6105999999999999E-2</v>
      </c>
      <c r="Y68" s="257">
        <v>1.3642E-2</v>
      </c>
      <c r="Z68" s="257">
        <v>8.966E-3</v>
      </c>
      <c r="AA68" s="296">
        <v>8.7770000000000001E-3</v>
      </c>
      <c r="AB68" s="275" t="s">
        <v>134</v>
      </c>
      <c r="AC68" s="267">
        <v>3.5607E-2</v>
      </c>
      <c r="AD68" s="256">
        <v>3.1447000000000003E-2</v>
      </c>
      <c r="AE68" s="257">
        <v>1.6105999999999999E-2</v>
      </c>
      <c r="AF68" s="257">
        <v>1.3642E-2</v>
      </c>
      <c r="AG68" s="257">
        <v>8.966E-3</v>
      </c>
      <c r="AH68" s="296">
        <v>8.7770000000000001E-3</v>
      </c>
      <c r="AI68" s="275" t="s">
        <v>134</v>
      </c>
      <c r="AJ68" s="267">
        <v>3.5607E-2</v>
      </c>
      <c r="AK68" s="256">
        <v>3.1447000000000003E-2</v>
      </c>
      <c r="AL68" s="257">
        <v>1.6105999999999999E-2</v>
      </c>
      <c r="AM68" s="257">
        <v>1.3642E-2</v>
      </c>
      <c r="AN68" s="257">
        <v>8.966E-3</v>
      </c>
      <c r="AO68" s="296">
        <v>8.7770000000000001E-3</v>
      </c>
      <c r="AP68" s="275" t="s">
        <v>134</v>
      </c>
      <c r="AQ68" s="267">
        <v>3.5607E-2</v>
      </c>
      <c r="AR68" s="256">
        <v>3.1447000000000003E-2</v>
      </c>
      <c r="AS68" s="257">
        <v>1.6105999999999999E-2</v>
      </c>
      <c r="AT68" s="257">
        <v>1.3642E-2</v>
      </c>
      <c r="AU68" s="257">
        <v>8.966E-3</v>
      </c>
      <c r="AV68" s="296">
        <v>8.7770000000000001E-3</v>
      </c>
      <c r="AW68" s="275" t="s">
        <v>134</v>
      </c>
      <c r="AX68" s="267">
        <v>3.5607E-2</v>
      </c>
      <c r="AY68" s="256">
        <v>3.1447000000000003E-2</v>
      </c>
      <c r="AZ68" s="257">
        <v>1.6105999999999999E-2</v>
      </c>
      <c r="BA68" s="257">
        <v>1.3642E-2</v>
      </c>
      <c r="BB68" s="257">
        <v>8.966E-3</v>
      </c>
      <c r="BC68" s="296">
        <v>8.7770000000000001E-3</v>
      </c>
      <c r="BD68" s="275" t="s">
        <v>134</v>
      </c>
      <c r="BE68" s="267">
        <v>3.5607E-2</v>
      </c>
      <c r="BF68" s="256">
        <v>3.1447000000000003E-2</v>
      </c>
      <c r="BG68" s="257">
        <v>1.6105999999999999E-2</v>
      </c>
      <c r="BH68" s="257">
        <v>1.3642E-2</v>
      </c>
      <c r="BI68" s="257">
        <v>8.966E-3</v>
      </c>
      <c r="BJ68" s="296">
        <v>8.7770000000000001E-3</v>
      </c>
      <c r="BK68" s="275" t="s">
        <v>134</v>
      </c>
      <c r="BL68" s="267">
        <v>3.5607E-2</v>
      </c>
      <c r="BM68" s="256">
        <v>3.1447000000000003E-2</v>
      </c>
      <c r="BN68" s="257">
        <v>1.6105999999999999E-2</v>
      </c>
      <c r="BO68" s="257">
        <v>1.3642E-2</v>
      </c>
      <c r="BP68" s="257">
        <v>8.966E-3</v>
      </c>
      <c r="BQ68" s="296">
        <v>8.7770000000000001E-3</v>
      </c>
      <c r="BR68" s="275" t="s">
        <v>134</v>
      </c>
      <c r="BS68" s="267">
        <v>3.5607E-2</v>
      </c>
      <c r="BT68" s="256">
        <v>3.1447000000000003E-2</v>
      </c>
      <c r="BU68" s="257">
        <v>1.6105999999999999E-2</v>
      </c>
      <c r="BV68" s="257">
        <v>1.3642E-2</v>
      </c>
      <c r="BW68" s="257">
        <v>8.966E-3</v>
      </c>
      <c r="BX68" s="296">
        <v>8.7770000000000001E-3</v>
      </c>
      <c r="BY68" s="275" t="s">
        <v>134</v>
      </c>
      <c r="BZ68" s="267">
        <v>3.5607E-2</v>
      </c>
      <c r="CA68" s="256">
        <v>3.1447000000000003E-2</v>
      </c>
      <c r="CB68" s="257">
        <v>1.6105999999999999E-2</v>
      </c>
      <c r="CC68" s="257">
        <v>1.3642E-2</v>
      </c>
      <c r="CD68" s="257">
        <v>8.966E-3</v>
      </c>
      <c r="CE68" s="296">
        <v>8.7770000000000001E-3</v>
      </c>
      <c r="CF68" s="275" t="s">
        <v>134</v>
      </c>
      <c r="CG68" s="267">
        <v>3.5607E-2</v>
      </c>
      <c r="CH68" s="256">
        <v>3.1447000000000003E-2</v>
      </c>
      <c r="CI68" s="257">
        <v>1.6105999999999999E-2</v>
      </c>
      <c r="CJ68" s="257">
        <v>1.3642E-2</v>
      </c>
      <c r="CK68" s="257">
        <v>8.966E-3</v>
      </c>
      <c r="CL68" s="296">
        <v>8.7770000000000001E-3</v>
      </c>
      <c r="CM68" s="275" t="s">
        <v>134</v>
      </c>
      <c r="CN68" s="267">
        <v>3.5607E-2</v>
      </c>
      <c r="CO68" s="256">
        <v>3.1447000000000003E-2</v>
      </c>
      <c r="CP68" s="257">
        <v>1.6105999999999999E-2</v>
      </c>
      <c r="CQ68" s="257">
        <v>1.3642E-2</v>
      </c>
      <c r="CR68" s="257">
        <v>8.966E-3</v>
      </c>
      <c r="CS68" s="296">
        <v>8.7770000000000001E-3</v>
      </c>
    </row>
    <row r="69" spans="1:97">
      <c r="A69" s="41" t="s">
        <v>142</v>
      </c>
      <c r="B69" s="40" t="s">
        <v>84</v>
      </c>
      <c r="C69" s="145" t="s">
        <v>139</v>
      </c>
      <c r="D69" s="310" t="s">
        <v>136</v>
      </c>
      <c r="E69" s="266" t="b">
        <f>IF('INTRODUCIR DATOS'!$D$20="ENERO",'RESULTADO INDEXADO'!O69,IF('INTRODUCIR DATOS'!$D$20="FEBRERO",'RESULTADO INDEXADO'!V69,IF('INTRODUCIR DATOS'!$D$20="MARZO",'RESULTADO INDEXADO'!AC69,IF('INTRODUCIR DATOS'!$D$20="ABRIL",'RESULTADO INDEXADO'!AJ69,IF('INTRODUCIR DATOS'!$D$20="MAYO",'RESULTADO INDEXADO'!AQ69,IF('INTRODUCIR DATOS'!$D$20="JUNIO",'RESULTADO INDEXADO'!AX69,IF('INTRODUCIR DATOS'!$D$20="JULIO",'RESULTADO INDEXADO'!BE69,IF('INTRODUCIR DATOS'!$D$20="AGOSTO",'RESULTADO INDEXADO'!BL69,IF('INTRODUCIR DATOS'!$D$20="SEPTIEMBRE",'RESULTADO INDEXADO'!BS69,IF('INTRODUCIR DATOS'!$D$20="OCTUBRE",'RESULTADO INDEXADO'!BZ69,IF('INTRODUCIR DATOS'!$D$20="NOVIEMBRE",'RESULTADO INDEXADO'!CG69,IF('INTRODUCIR DATOS'!$D$20="DICIEMBRE",'RESULTADO INDEXADO'!CN69))))))))))))</f>
        <v>0</v>
      </c>
      <c r="F69" s="253" t="b">
        <f>IF('INTRODUCIR DATOS'!$D$20="ENERO",'RESULTADO INDEXADO'!P69,IF('INTRODUCIR DATOS'!$D$20="FEBRERO",'RESULTADO INDEXADO'!W69,IF('INTRODUCIR DATOS'!$D$20="MARZO",'RESULTADO INDEXADO'!AD69,IF('INTRODUCIR DATOS'!$D$20="ABRIL",'RESULTADO INDEXADO'!AK69,IF('INTRODUCIR DATOS'!$D$20="MAYO",'RESULTADO INDEXADO'!AR69,IF('INTRODUCIR DATOS'!$D$20="JUNIO",'RESULTADO INDEXADO'!AY69,IF('INTRODUCIR DATOS'!$D$20="JULIO",'RESULTADO INDEXADO'!BF69,IF('INTRODUCIR DATOS'!$D$20="AGOSTO",'RESULTADO INDEXADO'!BM69,IF('INTRODUCIR DATOS'!$D$20="SEPTIEMBRE",'RESULTADO INDEXADO'!BT69,IF('INTRODUCIR DATOS'!$D$20="OCTUBRE",'RESULTADO INDEXADO'!CA69,IF('INTRODUCIR DATOS'!$D$20="NOVIEMBRE",'RESULTADO INDEXADO'!CH69,IF('INTRODUCIR DATOS'!$D$20="DICIEMBRE",'RESULTADO INDEXADO'!CO69))))))))))))</f>
        <v>0</v>
      </c>
      <c r="G69" s="253" t="b">
        <f>IF('INTRODUCIR DATOS'!$D$20="ENERO",'RESULTADO INDEXADO'!Q69,IF('INTRODUCIR DATOS'!$D$20="FEBRERO",'RESULTADO INDEXADO'!X69,IF('INTRODUCIR DATOS'!$D$20="MARZO",'RESULTADO INDEXADO'!AE69,IF('INTRODUCIR DATOS'!$D$20="ABRIL",'RESULTADO INDEXADO'!AL69,IF('INTRODUCIR DATOS'!$D$20="MAYO",'RESULTADO INDEXADO'!AS69,IF('INTRODUCIR DATOS'!$D$20="JUNIO",'RESULTADO INDEXADO'!AZ69,IF('INTRODUCIR DATOS'!$D$20="JULIO",'RESULTADO INDEXADO'!BG69,IF('INTRODUCIR DATOS'!$D$20="AGOSTO",'RESULTADO INDEXADO'!BN69,IF('INTRODUCIR DATOS'!$D$20="SEPTIEMBRE",'RESULTADO INDEXADO'!BU69,IF('INTRODUCIR DATOS'!$D$20="OCTUBRE",'RESULTADO INDEXADO'!CB69,IF('INTRODUCIR DATOS'!$D$20="NOVIEMBRE",'RESULTADO INDEXADO'!CI69,IF('INTRODUCIR DATOS'!$D$20="DICIEMBRE",'RESULTADO INDEXADO'!CP69))))))))))))</f>
        <v>0</v>
      </c>
      <c r="H69" s="254" t="b">
        <f>IF('INTRODUCIR DATOS'!$D$20="ENERO",'RESULTADO INDEXADO'!R69,IF('INTRODUCIR DATOS'!$D$20="FEBRERO",'RESULTADO INDEXADO'!Y69,IF('INTRODUCIR DATOS'!$D$20="MARZO",'RESULTADO INDEXADO'!AF69,IF('INTRODUCIR DATOS'!$D$20="ABRIL",'RESULTADO INDEXADO'!AM69,IF('INTRODUCIR DATOS'!$D$20="MAYO",'RESULTADO INDEXADO'!AT69,IF('INTRODUCIR DATOS'!$D$20="JUNIO",'RESULTADO INDEXADO'!BA69,IF('INTRODUCIR DATOS'!$D$20="JULIO",'RESULTADO INDEXADO'!BH69,IF('INTRODUCIR DATOS'!$D$20="AGOSTO",'RESULTADO INDEXADO'!BO69,IF('INTRODUCIR DATOS'!$D$20="SEPTIEMBRE",'RESULTADO INDEXADO'!BV69,IF('INTRODUCIR DATOS'!$D$20="OCTUBRE",'RESULTADO INDEXADO'!CC69,IF('INTRODUCIR DATOS'!$D$20="NOVIEMBRE",'RESULTADO INDEXADO'!CJ69,IF('INTRODUCIR DATOS'!$D$20="DICIEMBRE",'RESULTADO INDEXADO'!CQ69))))))))))))</f>
        <v>0</v>
      </c>
      <c r="I69" s="254" t="b">
        <f>IF('INTRODUCIR DATOS'!$D$20="ENERO",'RESULTADO INDEXADO'!S69,IF('INTRODUCIR DATOS'!$D$20="FEBRERO",'RESULTADO INDEXADO'!Z69,IF('INTRODUCIR DATOS'!$D$20="MARZO",'RESULTADO INDEXADO'!AG69,IF('INTRODUCIR DATOS'!$D$20="ABRIL",'RESULTADO INDEXADO'!AN69,IF('INTRODUCIR DATOS'!$D$20="MAYO",'RESULTADO INDEXADO'!AU69,IF('INTRODUCIR DATOS'!$D$20="JUNIO",'RESULTADO INDEXADO'!BB69,IF('INTRODUCIR DATOS'!$D$20="JULIO",'RESULTADO INDEXADO'!BI69,IF('INTRODUCIR DATOS'!$D$20="AGOSTO",'RESULTADO INDEXADO'!BP69,IF('INTRODUCIR DATOS'!$D$20="SEPTIEMBRE",'RESULTADO INDEXADO'!BW69,IF('INTRODUCIR DATOS'!$D$20="OCTUBRE",'RESULTADO INDEXADO'!CD69,IF('INTRODUCIR DATOS'!$D$20="NOVIEMBRE",'RESULTADO INDEXADO'!CK69,IF('INTRODUCIR DATOS'!$D$20="DICIEMBRE",'RESULTADO INDEXADO'!CR69))))))))))))</f>
        <v>0</v>
      </c>
      <c r="J69" s="295" t="b">
        <f>IF('INTRODUCIR DATOS'!$D$20="ENERO",'RESULTADO INDEXADO'!T69,IF('INTRODUCIR DATOS'!$D$20="FEBRERO",'RESULTADO INDEXADO'!AA69,IF('INTRODUCIR DATOS'!$D$20="MARZO",'RESULTADO INDEXADO'!AH69,IF('INTRODUCIR DATOS'!$D$20="ABRIL",'RESULTADO INDEXADO'!AO69,IF('INTRODUCIR DATOS'!$D$20="MAYO",'RESULTADO INDEXADO'!AV69,IF('INTRODUCIR DATOS'!$D$20="JUNIO",'RESULTADO INDEXADO'!BC69,IF('INTRODUCIR DATOS'!$D$20="JULIO",'RESULTADO INDEXADO'!BJ69,IF('INTRODUCIR DATOS'!$D$20="AGOSTO",'RESULTADO INDEXADO'!BQ69,IF('INTRODUCIR DATOS'!$D$20="SEPTIEMBRE",'RESULTADO INDEXADO'!BX69,IF('INTRODUCIR DATOS'!$D$20="OCTUBRE",'RESULTADO INDEXADO'!CE69,IF('INTRODUCIR DATOS'!$D$20="NOVIEMBRE",'RESULTADO INDEXADO'!CL69,IF('INTRODUCIR DATOS'!$D$20="DICIEMBRE",'RESULTADO INDEXADO'!CS69))))))))))))</f>
        <v>0</v>
      </c>
      <c r="K69" s="290">
        <f>('INTRODUCIR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DATOS'!$D$17)+'INTRODUCIR DATOS'!$D$15+'INTRODUCIR DATOS'!$D$16+IF('INTRODUCIR DATOS'!$D$21=21%,(('INTRODUCIR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DATOS'!$D$17)+'INTRODUCIR DATOS'!$D$16)*21/100,IF('INTRODUCIR DATOS'!$D$21=10%,(('INTRODUCIR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DATOS'!$D$17)+'INTRODUCIR DATOS'!$D$16)*10/100))</f>
        <v>1.0285</v>
      </c>
      <c r="L69" s="292">
        <f>IF(K69=0,"",'INTRODUCIR DATOS'!$D$14-K69)</f>
        <v>113.12150000000001</v>
      </c>
      <c r="M69" s="271">
        <f>IF(K69=0,"",('INTRODUCIR DATOS'!$D$14-K69)/'INTRODUCIR DATOS'!$D$14)</f>
        <v>0.99098992553657472</v>
      </c>
      <c r="N69" s="274" t="s">
        <v>136</v>
      </c>
      <c r="O69" s="266">
        <v>0.135937</v>
      </c>
      <c r="P69" s="253">
        <v>0.12282899999999999</v>
      </c>
      <c r="Q69" s="253"/>
      <c r="R69" s="254"/>
      <c r="S69" s="254"/>
      <c r="T69" s="295">
        <v>8.0569000000000002E-2</v>
      </c>
      <c r="U69" s="274" t="s">
        <v>136</v>
      </c>
      <c r="V69" s="266">
        <v>8.7056999999999995E-2</v>
      </c>
      <c r="W69" s="253">
        <v>7.3814000000000005E-2</v>
      </c>
      <c r="X69" s="253"/>
      <c r="Y69" s="254"/>
      <c r="Z69" s="254"/>
      <c r="AA69" s="295">
        <v>4.2825000000000002E-2</v>
      </c>
      <c r="AB69" s="274" t="s">
        <v>136</v>
      </c>
      <c r="AC69" s="266"/>
      <c r="AD69" s="253">
        <v>9.8333000000000004E-2</v>
      </c>
      <c r="AE69" s="253">
        <v>8.4531999999999996E-2</v>
      </c>
      <c r="AF69" s="254"/>
      <c r="AG69" s="254"/>
      <c r="AH69" s="295">
        <v>6.8904999999999994E-2</v>
      </c>
      <c r="AI69" s="274" t="s">
        <v>136</v>
      </c>
      <c r="AJ69" s="266"/>
      <c r="AK69" s="253"/>
      <c r="AL69" s="253"/>
      <c r="AM69" s="254">
        <v>0.109335</v>
      </c>
      <c r="AN69" s="254">
        <v>9.6301999999999999E-2</v>
      </c>
      <c r="AO69" s="295">
        <v>9.6473000000000003E-2</v>
      </c>
      <c r="AP69" s="274" t="s">
        <v>136</v>
      </c>
      <c r="AQ69" s="266"/>
      <c r="AR69" s="253"/>
      <c r="AS69" s="253"/>
      <c r="AT69" s="254">
        <v>0.111137</v>
      </c>
      <c r="AU69" s="254">
        <v>9.8958000000000004E-2</v>
      </c>
      <c r="AV69" s="295">
        <v>9.6693000000000001E-2</v>
      </c>
      <c r="AW69" s="274" t="s">
        <v>136</v>
      </c>
      <c r="AX69" s="266"/>
      <c r="AY69" s="253"/>
      <c r="AZ69" s="253">
        <v>0.12945699999999999</v>
      </c>
      <c r="BA69" s="254">
        <v>0.12268800000000001</v>
      </c>
      <c r="BB69" s="254"/>
      <c r="BC69" s="295">
        <v>0.113265</v>
      </c>
      <c r="BD69" s="274" t="s">
        <v>136</v>
      </c>
      <c r="BE69" s="266">
        <v>0.15285000000000001</v>
      </c>
      <c r="BF69" s="253">
        <v>0.14543900000000001</v>
      </c>
      <c r="BG69" s="253"/>
      <c r="BH69" s="254"/>
      <c r="BI69" s="254"/>
      <c r="BJ69" s="295">
        <v>0.123824</v>
      </c>
      <c r="BK69" s="274" t="s">
        <v>136</v>
      </c>
      <c r="BL69" s="266"/>
      <c r="BM69" s="253"/>
      <c r="BN69" s="253">
        <v>0.15737699999999999</v>
      </c>
      <c r="BO69" s="254">
        <v>0.15110899999999999</v>
      </c>
      <c r="BP69" s="254"/>
      <c r="BQ69" s="295">
        <v>0.13883100000000001</v>
      </c>
      <c r="BR69" s="274" t="s">
        <v>136</v>
      </c>
      <c r="BS69" s="266"/>
      <c r="BT69" s="253"/>
      <c r="BU69" s="253"/>
      <c r="BV69" s="254"/>
      <c r="BW69" s="254"/>
      <c r="BX69" s="295"/>
      <c r="BY69" s="274" t="s">
        <v>136</v>
      </c>
      <c r="BZ69" s="266"/>
      <c r="CA69" s="253"/>
      <c r="CB69" s="253"/>
      <c r="CC69" s="254"/>
      <c r="CD69" s="254"/>
      <c r="CE69" s="295"/>
      <c r="CF69" s="274" t="s">
        <v>136</v>
      </c>
      <c r="CG69" s="266"/>
      <c r="CH69" s="253"/>
      <c r="CI69" s="253"/>
      <c r="CJ69" s="254"/>
      <c r="CK69" s="254"/>
      <c r="CL69" s="295"/>
      <c r="CM69" s="274" t="s">
        <v>136</v>
      </c>
      <c r="CN69" s="266"/>
      <c r="CO69" s="253"/>
      <c r="CP69" s="253"/>
      <c r="CQ69" s="254"/>
      <c r="CR69" s="254"/>
      <c r="CS69" s="295"/>
    </row>
    <row r="70" spans="1:97">
      <c r="A70" s="41" t="s">
        <v>142</v>
      </c>
      <c r="B70" s="40"/>
      <c r="C70" s="145"/>
      <c r="D70" s="311" t="s">
        <v>134</v>
      </c>
      <c r="E70" s="267" t="b">
        <f>IF('INTRODUCIR DATOS'!$D$20="ENERO",'RESULTADO INDEXADO'!O70,IF('INTRODUCIR DATOS'!$D$20="FEBRERO",'RESULTADO INDEXADO'!V70,IF('INTRODUCIR DATOS'!$D$20="MARZO",'RESULTADO INDEXADO'!AC70,IF('INTRODUCIR DATOS'!$D$20="ABRIL",'RESULTADO INDEXADO'!AJ70,IF('INTRODUCIR DATOS'!$D$20="MAYO",'RESULTADO INDEXADO'!AQ70,IF('INTRODUCIR DATOS'!$D$20="JUNIO",'RESULTADO INDEXADO'!AX70,IF('INTRODUCIR DATOS'!$D$20="JULIO",'RESULTADO INDEXADO'!BE70,IF('INTRODUCIR DATOS'!$D$20="AGOSTO",'RESULTADO INDEXADO'!BL70,IF('INTRODUCIR DATOS'!$D$20="SEPTIEMBRE",'RESULTADO INDEXADO'!BS70,IF('INTRODUCIR DATOS'!$D$20="OCTUBRE",'RESULTADO INDEXADO'!BZ70,IF('INTRODUCIR DATOS'!$D$20="NOVIEMBRE",'RESULTADO INDEXADO'!CG70,IF('INTRODUCIR DATOS'!$D$20="DICIEMBRE",'RESULTADO INDEXADO'!CN70))))))))))))</f>
        <v>0</v>
      </c>
      <c r="F70" s="256" t="b">
        <f>IF('INTRODUCIR DATOS'!$D$20="ENERO",'RESULTADO INDEXADO'!P70,IF('INTRODUCIR DATOS'!$D$20="FEBRERO",'RESULTADO INDEXADO'!W70,IF('INTRODUCIR DATOS'!$D$20="MARZO",'RESULTADO INDEXADO'!AD70,IF('INTRODUCIR DATOS'!$D$20="ABRIL",'RESULTADO INDEXADO'!AK70,IF('INTRODUCIR DATOS'!$D$20="MAYO",'RESULTADO INDEXADO'!AR70,IF('INTRODUCIR DATOS'!$D$20="JUNIO",'RESULTADO INDEXADO'!AY70,IF('INTRODUCIR DATOS'!$D$20="JULIO",'RESULTADO INDEXADO'!BF70,IF('INTRODUCIR DATOS'!$D$20="AGOSTO",'RESULTADO INDEXADO'!BM70,IF('INTRODUCIR DATOS'!$D$20="SEPTIEMBRE",'RESULTADO INDEXADO'!BT70,IF('INTRODUCIR DATOS'!$D$20="OCTUBRE",'RESULTADO INDEXADO'!CA70,IF('INTRODUCIR DATOS'!$D$20="NOVIEMBRE",'RESULTADO INDEXADO'!CH70,IF('INTRODUCIR DATOS'!$D$20="DICIEMBRE",'RESULTADO INDEXADO'!CO70))))))))))))</f>
        <v>0</v>
      </c>
      <c r="G70" s="257" t="b">
        <f>IF('INTRODUCIR DATOS'!$D$20="ENERO",'RESULTADO INDEXADO'!Q70,IF('INTRODUCIR DATOS'!$D$20="FEBRERO",'RESULTADO INDEXADO'!X70,IF('INTRODUCIR DATOS'!$D$20="MARZO",'RESULTADO INDEXADO'!AE70,IF('INTRODUCIR DATOS'!$D$20="ABRIL",'RESULTADO INDEXADO'!AL70,IF('INTRODUCIR DATOS'!$D$20="MAYO",'RESULTADO INDEXADO'!AS70,IF('INTRODUCIR DATOS'!$D$20="JUNIO",'RESULTADO INDEXADO'!AZ70,IF('INTRODUCIR DATOS'!$D$20="JULIO",'RESULTADO INDEXADO'!BG70,IF('INTRODUCIR DATOS'!$D$20="AGOSTO",'RESULTADO INDEXADO'!BN70,IF('INTRODUCIR DATOS'!$D$20="SEPTIEMBRE",'RESULTADO INDEXADO'!BU70,IF('INTRODUCIR DATOS'!$D$20="OCTUBRE",'RESULTADO INDEXADO'!CB70,IF('INTRODUCIR DATOS'!$D$20="NOVIEMBRE",'RESULTADO INDEXADO'!CI70,IF('INTRODUCIR DATOS'!$D$20="DICIEMBRE",'RESULTADO INDEXADO'!CP70))))))))))))</f>
        <v>0</v>
      </c>
      <c r="H70" s="257" t="b">
        <f>IF('INTRODUCIR DATOS'!$D$20="ENERO",'RESULTADO INDEXADO'!R70,IF('INTRODUCIR DATOS'!$D$20="FEBRERO",'RESULTADO INDEXADO'!Y70,IF('INTRODUCIR DATOS'!$D$20="MARZO",'RESULTADO INDEXADO'!AF70,IF('INTRODUCIR DATOS'!$D$20="ABRIL",'RESULTADO INDEXADO'!AM70,IF('INTRODUCIR DATOS'!$D$20="MAYO",'RESULTADO INDEXADO'!AT70,IF('INTRODUCIR DATOS'!$D$20="JUNIO",'RESULTADO INDEXADO'!BA70,IF('INTRODUCIR DATOS'!$D$20="JULIO",'RESULTADO INDEXADO'!BH70,IF('INTRODUCIR DATOS'!$D$20="AGOSTO",'RESULTADO INDEXADO'!BO70,IF('INTRODUCIR DATOS'!$D$20="SEPTIEMBRE",'RESULTADO INDEXADO'!BV70,IF('INTRODUCIR DATOS'!$D$20="OCTUBRE",'RESULTADO INDEXADO'!CC70,IF('INTRODUCIR DATOS'!$D$20="NOVIEMBRE",'RESULTADO INDEXADO'!CJ70,IF('INTRODUCIR DATOS'!$D$20="DICIEMBRE",'RESULTADO INDEXADO'!CQ70))))))))))))</f>
        <v>0</v>
      </c>
      <c r="I70" s="257" t="b">
        <f>IF('INTRODUCIR DATOS'!$D$20="ENERO",'RESULTADO INDEXADO'!S70,IF('INTRODUCIR DATOS'!$D$20="FEBRERO",'RESULTADO INDEXADO'!Z70,IF('INTRODUCIR DATOS'!$D$20="MARZO",'RESULTADO INDEXADO'!AG70,IF('INTRODUCIR DATOS'!$D$20="ABRIL",'RESULTADO INDEXADO'!AN70,IF('INTRODUCIR DATOS'!$D$20="MAYO",'RESULTADO INDEXADO'!AU70,IF('INTRODUCIR DATOS'!$D$20="JUNIO",'RESULTADO INDEXADO'!BB70,IF('INTRODUCIR DATOS'!$D$20="JULIO",'RESULTADO INDEXADO'!BI70,IF('INTRODUCIR DATOS'!$D$20="AGOSTO",'RESULTADO INDEXADO'!BP70,IF('INTRODUCIR DATOS'!$D$20="SEPTIEMBRE",'RESULTADO INDEXADO'!BW70,IF('INTRODUCIR DATOS'!$D$20="OCTUBRE",'RESULTADO INDEXADO'!CD70,IF('INTRODUCIR DATOS'!$D$20="NOVIEMBRE",'RESULTADO INDEXADO'!CK70,IF('INTRODUCIR DATOS'!$D$20="DICIEMBRE",'RESULTADO INDEXADO'!CR70))))))))))))</f>
        <v>0</v>
      </c>
      <c r="J70" s="296" t="b">
        <f>IF('INTRODUCIR DATOS'!$D$20="ENERO",'RESULTADO INDEXADO'!T70,IF('INTRODUCIR DATOS'!$D$20="FEBRERO",'RESULTADO INDEXADO'!AA70,IF('INTRODUCIR DATOS'!$D$20="MARZO",'RESULTADO INDEXADO'!AH70,IF('INTRODUCIR DATOS'!$D$20="ABRIL",'RESULTADO INDEXADO'!AO70,IF('INTRODUCIR DATOS'!$D$20="MAYO",'RESULTADO INDEXADO'!AV70,IF('INTRODUCIR DATOS'!$D$20="JUNIO",'RESULTADO INDEXADO'!BC70,IF('INTRODUCIR DATOS'!$D$20="JULIO",'RESULTADO INDEXADO'!BJ70,IF('INTRODUCIR DATOS'!$D$20="AGOSTO",'RESULTADO INDEXADO'!BQ70,IF('INTRODUCIR DATOS'!$D$20="SEPTIEMBRE",'RESULTADO INDEXADO'!BX70,IF('INTRODUCIR DATOS'!$D$20="OCTUBRE",'RESULTADO INDEXADO'!CE70,IF('INTRODUCIR DATOS'!$D$20="NOVIEMBRE",'RESULTADO INDEXADO'!CL70,IF('INTRODUCIR DATOS'!$D$20="DICIEMBRE",'RESULTADO INDEXADO'!CS70))))))))))))</f>
        <v>0</v>
      </c>
      <c r="K70" s="41"/>
      <c r="L70" s="40"/>
      <c r="M70" s="145"/>
      <c r="N70" s="275" t="s">
        <v>134</v>
      </c>
      <c r="O70" s="267"/>
      <c r="P70" s="256"/>
      <c r="Q70" s="257"/>
      <c r="R70" s="257"/>
      <c r="S70" s="257"/>
      <c r="T70" s="296"/>
      <c r="U70" s="275" t="s">
        <v>134</v>
      </c>
      <c r="V70" s="267"/>
      <c r="W70" s="256"/>
      <c r="X70" s="257"/>
      <c r="Y70" s="257"/>
      <c r="Z70" s="257"/>
      <c r="AA70" s="296"/>
      <c r="AB70" s="275" t="s">
        <v>134</v>
      </c>
      <c r="AC70" s="267"/>
      <c r="AD70" s="256"/>
      <c r="AE70" s="257"/>
      <c r="AF70" s="257"/>
      <c r="AG70" s="257"/>
      <c r="AH70" s="296"/>
      <c r="AI70" s="275" t="s">
        <v>134</v>
      </c>
      <c r="AJ70" s="267"/>
      <c r="AK70" s="256"/>
      <c r="AL70" s="257"/>
      <c r="AM70" s="257"/>
      <c r="AN70" s="257"/>
      <c r="AO70" s="296"/>
      <c r="AP70" s="275" t="s">
        <v>134</v>
      </c>
      <c r="AQ70" s="267"/>
      <c r="AR70" s="256"/>
      <c r="AS70" s="257"/>
      <c r="AT70" s="257"/>
      <c r="AU70" s="257"/>
      <c r="AV70" s="296"/>
      <c r="AW70" s="275" t="s">
        <v>134</v>
      </c>
      <c r="AX70" s="267"/>
      <c r="AY70" s="256"/>
      <c r="AZ70" s="257"/>
      <c r="BA70" s="257"/>
      <c r="BB70" s="257"/>
      <c r="BC70" s="296"/>
      <c r="BD70" s="275" t="s">
        <v>134</v>
      </c>
      <c r="BE70" s="267"/>
      <c r="BF70" s="256"/>
      <c r="BG70" s="257"/>
      <c r="BH70" s="257"/>
      <c r="BI70" s="257"/>
      <c r="BJ70" s="296"/>
      <c r="BK70" s="275" t="s">
        <v>134</v>
      </c>
      <c r="BL70" s="267"/>
      <c r="BM70" s="256"/>
      <c r="BN70" s="257"/>
      <c r="BO70" s="257"/>
      <c r="BP70" s="257"/>
      <c r="BQ70" s="296"/>
      <c r="BR70" s="275" t="s">
        <v>134</v>
      </c>
      <c r="BS70" s="267"/>
      <c r="BT70" s="256"/>
      <c r="BU70" s="257"/>
      <c r="BV70" s="257"/>
      <c r="BW70" s="257"/>
      <c r="BX70" s="296"/>
      <c r="BY70" s="275" t="s">
        <v>134</v>
      </c>
      <c r="BZ70" s="267"/>
      <c r="CA70" s="256"/>
      <c r="CB70" s="257"/>
      <c r="CC70" s="257"/>
      <c r="CD70" s="257"/>
      <c r="CE70" s="296"/>
      <c r="CF70" s="275" t="s">
        <v>134</v>
      </c>
      <c r="CG70" s="267"/>
      <c r="CH70" s="256"/>
      <c r="CI70" s="257"/>
      <c r="CJ70" s="257"/>
      <c r="CK70" s="257"/>
      <c r="CL70" s="296"/>
      <c r="CM70" s="275" t="s">
        <v>134</v>
      </c>
      <c r="CN70" s="267"/>
      <c r="CO70" s="256"/>
      <c r="CP70" s="257"/>
      <c r="CQ70" s="257"/>
      <c r="CR70" s="257"/>
      <c r="CS70" s="296"/>
    </row>
    <row r="71" spans="1:97">
      <c r="A71" s="41" t="s">
        <v>142</v>
      </c>
      <c r="B71" s="40"/>
      <c r="C71" s="145"/>
      <c r="D71" s="310" t="s">
        <v>136</v>
      </c>
      <c r="E71" s="266" t="b">
        <f>IF('INTRODUCIR DATOS'!$D$20="ENERO",'RESULTADO INDEXADO'!O71,IF('INTRODUCIR DATOS'!$D$20="FEBRERO",'RESULTADO INDEXADO'!V71,IF('INTRODUCIR DATOS'!$D$20="MARZO",'RESULTADO INDEXADO'!AC71,IF('INTRODUCIR DATOS'!$D$20="ABRIL",'RESULTADO INDEXADO'!AJ71,IF('INTRODUCIR DATOS'!$D$20="MAYO",'RESULTADO INDEXADO'!AQ71,IF('INTRODUCIR DATOS'!$D$20="JUNIO",'RESULTADO INDEXADO'!AX71,IF('INTRODUCIR DATOS'!$D$20="JULIO",'RESULTADO INDEXADO'!BE71,IF('INTRODUCIR DATOS'!$D$20="AGOSTO",'RESULTADO INDEXADO'!BL71,IF('INTRODUCIR DATOS'!$D$20="SEPTIEMBRE",'RESULTADO INDEXADO'!BS71,IF('INTRODUCIR DATOS'!$D$20="OCTUBRE",'RESULTADO INDEXADO'!BZ71,IF('INTRODUCIR DATOS'!$D$20="NOVIEMBRE",'RESULTADO INDEXADO'!CG71,IF('INTRODUCIR DATOS'!$D$20="DICIEMBRE",'RESULTADO INDEXADO'!CN71))))))))))))</f>
        <v>0</v>
      </c>
      <c r="F71" s="253" t="b">
        <f>IF('INTRODUCIR DATOS'!$D$20="ENERO",'RESULTADO INDEXADO'!P71,IF('INTRODUCIR DATOS'!$D$20="FEBRERO",'RESULTADO INDEXADO'!W71,IF('INTRODUCIR DATOS'!$D$20="MARZO",'RESULTADO INDEXADO'!AD71,IF('INTRODUCIR DATOS'!$D$20="ABRIL",'RESULTADO INDEXADO'!AK71,IF('INTRODUCIR DATOS'!$D$20="MAYO",'RESULTADO INDEXADO'!AR71,IF('INTRODUCIR DATOS'!$D$20="JUNIO",'RESULTADO INDEXADO'!AY71,IF('INTRODUCIR DATOS'!$D$20="JULIO",'RESULTADO INDEXADO'!BF71,IF('INTRODUCIR DATOS'!$D$20="AGOSTO",'RESULTADO INDEXADO'!BM71,IF('INTRODUCIR DATOS'!$D$20="SEPTIEMBRE",'RESULTADO INDEXADO'!BT71,IF('INTRODUCIR DATOS'!$D$20="OCTUBRE",'RESULTADO INDEXADO'!CA71,IF('INTRODUCIR DATOS'!$D$20="NOVIEMBRE",'RESULTADO INDEXADO'!CH71,IF('INTRODUCIR DATOS'!$D$20="DICIEMBRE",'RESULTADO INDEXADO'!CO71))))))))))))</f>
        <v>0</v>
      </c>
      <c r="G71" s="253" t="b">
        <f>IF('INTRODUCIR DATOS'!$D$20="ENERO",'RESULTADO INDEXADO'!Q71,IF('INTRODUCIR DATOS'!$D$20="FEBRERO",'RESULTADO INDEXADO'!X71,IF('INTRODUCIR DATOS'!$D$20="MARZO",'RESULTADO INDEXADO'!AE71,IF('INTRODUCIR DATOS'!$D$20="ABRIL",'RESULTADO INDEXADO'!AL71,IF('INTRODUCIR DATOS'!$D$20="MAYO",'RESULTADO INDEXADO'!AS71,IF('INTRODUCIR DATOS'!$D$20="JUNIO",'RESULTADO INDEXADO'!AZ71,IF('INTRODUCIR DATOS'!$D$20="JULIO",'RESULTADO INDEXADO'!BG71,IF('INTRODUCIR DATOS'!$D$20="AGOSTO",'RESULTADO INDEXADO'!BN71,IF('INTRODUCIR DATOS'!$D$20="SEPTIEMBRE",'RESULTADO INDEXADO'!BU71,IF('INTRODUCIR DATOS'!$D$20="OCTUBRE",'RESULTADO INDEXADO'!CB71,IF('INTRODUCIR DATOS'!$D$20="NOVIEMBRE",'RESULTADO INDEXADO'!CI71,IF('INTRODUCIR DATOS'!$D$20="DICIEMBRE",'RESULTADO INDEXADO'!CP71))))))))))))</f>
        <v>0</v>
      </c>
      <c r="H71" s="254" t="b">
        <f>IF('INTRODUCIR DATOS'!$D$20="ENERO",'RESULTADO INDEXADO'!R71,IF('INTRODUCIR DATOS'!$D$20="FEBRERO",'RESULTADO INDEXADO'!Y71,IF('INTRODUCIR DATOS'!$D$20="MARZO",'RESULTADO INDEXADO'!AF71,IF('INTRODUCIR DATOS'!$D$20="ABRIL",'RESULTADO INDEXADO'!AM71,IF('INTRODUCIR DATOS'!$D$20="MAYO",'RESULTADO INDEXADO'!AT71,IF('INTRODUCIR DATOS'!$D$20="JUNIO",'RESULTADO INDEXADO'!BA71,IF('INTRODUCIR DATOS'!$D$20="JULIO",'RESULTADO INDEXADO'!BH71,IF('INTRODUCIR DATOS'!$D$20="AGOSTO",'RESULTADO INDEXADO'!BO71,IF('INTRODUCIR DATOS'!$D$20="SEPTIEMBRE",'RESULTADO INDEXADO'!BV71,IF('INTRODUCIR DATOS'!$D$20="OCTUBRE",'RESULTADO INDEXADO'!CC71,IF('INTRODUCIR DATOS'!$D$20="NOVIEMBRE",'RESULTADO INDEXADO'!CJ71,IF('INTRODUCIR DATOS'!$D$20="DICIEMBRE",'RESULTADO INDEXADO'!CQ71))))))))))))</f>
        <v>0</v>
      </c>
      <c r="I71" s="254" t="b">
        <f>IF('INTRODUCIR DATOS'!$D$20="ENERO",'RESULTADO INDEXADO'!S71,IF('INTRODUCIR DATOS'!$D$20="FEBRERO",'RESULTADO INDEXADO'!Z71,IF('INTRODUCIR DATOS'!$D$20="MARZO",'RESULTADO INDEXADO'!AG71,IF('INTRODUCIR DATOS'!$D$20="ABRIL",'RESULTADO INDEXADO'!AN71,IF('INTRODUCIR DATOS'!$D$20="MAYO",'RESULTADO INDEXADO'!AU71,IF('INTRODUCIR DATOS'!$D$20="JUNIO",'RESULTADO INDEXADO'!BB71,IF('INTRODUCIR DATOS'!$D$20="JULIO",'RESULTADO INDEXADO'!BI71,IF('INTRODUCIR DATOS'!$D$20="AGOSTO",'RESULTADO INDEXADO'!BP71,IF('INTRODUCIR DATOS'!$D$20="SEPTIEMBRE",'RESULTADO INDEXADO'!BW71,IF('INTRODUCIR DATOS'!$D$20="OCTUBRE",'RESULTADO INDEXADO'!CD71,IF('INTRODUCIR DATOS'!$D$20="NOVIEMBRE",'RESULTADO INDEXADO'!CK71,IF('INTRODUCIR DATOS'!$D$20="DICIEMBRE",'RESULTADO INDEXADO'!CR71))))))))))))</f>
        <v>0</v>
      </c>
      <c r="J71" s="295" t="b">
        <f>IF('INTRODUCIR DATOS'!$D$20="ENERO",'RESULTADO INDEXADO'!T71,IF('INTRODUCIR DATOS'!$D$20="FEBRERO",'RESULTADO INDEXADO'!AA71,IF('INTRODUCIR DATOS'!$D$20="MARZO",'RESULTADO INDEXADO'!AH71,IF('INTRODUCIR DATOS'!$D$20="ABRIL",'RESULTADO INDEXADO'!AO71,IF('INTRODUCIR DATOS'!$D$20="MAYO",'RESULTADO INDEXADO'!AV71,IF('INTRODUCIR DATOS'!$D$20="JUNIO",'RESULTADO INDEXADO'!BC71,IF('INTRODUCIR DATOS'!$D$20="JULIO",'RESULTADO INDEXADO'!BJ71,IF('INTRODUCIR DATOS'!$D$20="AGOSTO",'RESULTADO INDEXADO'!BQ71,IF('INTRODUCIR DATOS'!$D$20="SEPTIEMBRE",'RESULTADO INDEXADO'!BX71,IF('INTRODUCIR DATOS'!$D$20="OCTUBRE",'RESULTADO INDEXADO'!CE71,IF('INTRODUCIR DATOS'!$D$20="NOVIEMBRE",'RESULTADO INDEXADO'!CL71,IF('INTRODUCIR DATOS'!$D$20="DICIEMBRE",'RESULTADO INDEXADO'!CS71))))))))))))</f>
        <v>0</v>
      </c>
      <c r="K71" s="290">
        <f>('INTRODUCIR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DATOS'!$D$17)+'INTRODUCIR DATOS'!$D$15+'INTRODUCIR DATOS'!$D$16+IF('INTRODUCIR DATOS'!$D$21=21%,(('INTRODUCIR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DATOS'!$D$17)+'INTRODUCIR DATOS'!$D$16)*21/100,IF('INTRODUCIR DATOS'!$D$21=10%,(('INTRODUCIR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DATOS'!$D$17)+'INTRODUCIR DATOS'!$D$16)*10/100))</f>
        <v>1.0285</v>
      </c>
      <c r="L71" s="292">
        <f>IF(K71=0,"",'INTRODUCIR DATOS'!$D$14-K71)</f>
        <v>113.12150000000001</v>
      </c>
      <c r="M71" s="271">
        <f>IF(K71=0,"",('INTRODUCIR DATOS'!$D$14-K71)/'INTRODUCIR DATOS'!$D$14)</f>
        <v>0.99098992553657472</v>
      </c>
      <c r="N71" s="274" t="s">
        <v>136</v>
      </c>
      <c r="O71" s="266"/>
      <c r="P71" s="253"/>
      <c r="Q71" s="253"/>
      <c r="R71" s="254"/>
      <c r="S71" s="254"/>
      <c r="T71" s="295"/>
      <c r="U71" s="274" t="s">
        <v>136</v>
      </c>
      <c r="V71" s="266"/>
      <c r="W71" s="253"/>
      <c r="X71" s="253"/>
      <c r="Y71" s="254"/>
      <c r="Z71" s="254"/>
      <c r="AA71" s="295"/>
      <c r="AB71" s="274" t="s">
        <v>136</v>
      </c>
      <c r="AC71" s="266"/>
      <c r="AD71" s="253"/>
      <c r="AE71" s="253"/>
      <c r="AF71" s="254"/>
      <c r="AG71" s="254"/>
      <c r="AH71" s="295"/>
      <c r="AI71" s="274" t="s">
        <v>136</v>
      </c>
      <c r="AJ71" s="266"/>
      <c r="AK71" s="253"/>
      <c r="AL71" s="253"/>
      <c r="AM71" s="254"/>
      <c r="AN71" s="254"/>
      <c r="AO71" s="295"/>
      <c r="AP71" s="274" t="s">
        <v>136</v>
      </c>
      <c r="AQ71" s="266"/>
      <c r="AR71" s="253"/>
      <c r="AS71" s="253"/>
      <c r="AT71" s="254"/>
      <c r="AU71" s="254"/>
      <c r="AV71" s="295"/>
      <c r="AW71" s="274" t="s">
        <v>136</v>
      </c>
      <c r="AX71" s="266"/>
      <c r="AY71" s="253"/>
      <c r="AZ71" s="253"/>
      <c r="BA71" s="254"/>
      <c r="BB71" s="254"/>
      <c r="BC71" s="295"/>
      <c r="BD71" s="274" t="s">
        <v>136</v>
      </c>
      <c r="BE71" s="266"/>
      <c r="BF71" s="253"/>
      <c r="BG71" s="253"/>
      <c r="BH71" s="254"/>
      <c r="BI71" s="254"/>
      <c r="BJ71" s="295"/>
      <c r="BK71" s="274" t="s">
        <v>136</v>
      </c>
      <c r="BL71" s="266"/>
      <c r="BM71" s="253"/>
      <c r="BN71" s="253"/>
      <c r="BO71" s="254"/>
      <c r="BP71" s="254"/>
      <c r="BQ71" s="295"/>
      <c r="BR71" s="274" t="s">
        <v>136</v>
      </c>
      <c r="BS71" s="266"/>
      <c r="BT71" s="253"/>
      <c r="BU71" s="253"/>
      <c r="BV71" s="254"/>
      <c r="BW71" s="254"/>
      <c r="BX71" s="295"/>
      <c r="BY71" s="274" t="s">
        <v>136</v>
      </c>
      <c r="BZ71" s="266"/>
      <c r="CA71" s="253"/>
      <c r="CB71" s="253"/>
      <c r="CC71" s="254"/>
      <c r="CD71" s="254"/>
      <c r="CE71" s="295"/>
      <c r="CF71" s="274" t="s">
        <v>136</v>
      </c>
      <c r="CG71" s="266"/>
      <c r="CH71" s="253"/>
      <c r="CI71" s="253"/>
      <c r="CJ71" s="254"/>
      <c r="CK71" s="254"/>
      <c r="CL71" s="295"/>
      <c r="CM71" s="274" t="s">
        <v>136</v>
      </c>
      <c r="CN71" s="266"/>
      <c r="CO71" s="253"/>
      <c r="CP71" s="253"/>
      <c r="CQ71" s="254"/>
      <c r="CR71" s="254"/>
      <c r="CS71" s="295"/>
    </row>
    <row r="72" spans="1:97">
      <c r="A72" s="41" t="s">
        <v>142</v>
      </c>
      <c r="B72" s="40"/>
      <c r="C72" s="145"/>
      <c r="D72" s="311" t="s">
        <v>134</v>
      </c>
      <c r="E72" s="267" t="b">
        <f>IF('INTRODUCIR DATOS'!$D$20="ENERO",'RESULTADO INDEXADO'!O72,IF('INTRODUCIR DATOS'!$D$20="FEBRERO",'RESULTADO INDEXADO'!V72,IF('INTRODUCIR DATOS'!$D$20="MARZO",'RESULTADO INDEXADO'!AC72,IF('INTRODUCIR DATOS'!$D$20="ABRIL",'RESULTADO INDEXADO'!AJ72,IF('INTRODUCIR DATOS'!$D$20="MAYO",'RESULTADO INDEXADO'!AQ72,IF('INTRODUCIR DATOS'!$D$20="JUNIO",'RESULTADO INDEXADO'!AX72,IF('INTRODUCIR DATOS'!$D$20="JULIO",'RESULTADO INDEXADO'!BE72,IF('INTRODUCIR DATOS'!$D$20="AGOSTO",'RESULTADO INDEXADO'!BL72,IF('INTRODUCIR DATOS'!$D$20="SEPTIEMBRE",'RESULTADO INDEXADO'!BS72,IF('INTRODUCIR DATOS'!$D$20="OCTUBRE",'RESULTADO INDEXADO'!BZ72,IF('INTRODUCIR DATOS'!$D$20="NOVIEMBRE",'RESULTADO INDEXADO'!CG72,IF('INTRODUCIR DATOS'!$D$20="DICIEMBRE",'RESULTADO INDEXADO'!CN72))))))))))))</f>
        <v>0</v>
      </c>
      <c r="F72" s="256" t="b">
        <f>IF('INTRODUCIR DATOS'!$D$20="ENERO",'RESULTADO INDEXADO'!P72,IF('INTRODUCIR DATOS'!$D$20="FEBRERO",'RESULTADO INDEXADO'!W72,IF('INTRODUCIR DATOS'!$D$20="MARZO",'RESULTADO INDEXADO'!AD72,IF('INTRODUCIR DATOS'!$D$20="ABRIL",'RESULTADO INDEXADO'!AK72,IF('INTRODUCIR DATOS'!$D$20="MAYO",'RESULTADO INDEXADO'!AR72,IF('INTRODUCIR DATOS'!$D$20="JUNIO",'RESULTADO INDEXADO'!AY72,IF('INTRODUCIR DATOS'!$D$20="JULIO",'RESULTADO INDEXADO'!BF72,IF('INTRODUCIR DATOS'!$D$20="AGOSTO",'RESULTADO INDEXADO'!BM72,IF('INTRODUCIR DATOS'!$D$20="SEPTIEMBRE",'RESULTADO INDEXADO'!BT72,IF('INTRODUCIR DATOS'!$D$20="OCTUBRE",'RESULTADO INDEXADO'!CA72,IF('INTRODUCIR DATOS'!$D$20="NOVIEMBRE",'RESULTADO INDEXADO'!CH72,IF('INTRODUCIR DATOS'!$D$20="DICIEMBRE",'RESULTADO INDEXADO'!CO72))))))))))))</f>
        <v>0</v>
      </c>
      <c r="G72" s="257" t="b">
        <f>IF('INTRODUCIR DATOS'!$D$20="ENERO",'RESULTADO INDEXADO'!Q72,IF('INTRODUCIR DATOS'!$D$20="FEBRERO",'RESULTADO INDEXADO'!X72,IF('INTRODUCIR DATOS'!$D$20="MARZO",'RESULTADO INDEXADO'!AE72,IF('INTRODUCIR DATOS'!$D$20="ABRIL",'RESULTADO INDEXADO'!AL72,IF('INTRODUCIR DATOS'!$D$20="MAYO",'RESULTADO INDEXADO'!AS72,IF('INTRODUCIR DATOS'!$D$20="JUNIO",'RESULTADO INDEXADO'!AZ72,IF('INTRODUCIR DATOS'!$D$20="JULIO",'RESULTADO INDEXADO'!BG72,IF('INTRODUCIR DATOS'!$D$20="AGOSTO",'RESULTADO INDEXADO'!BN72,IF('INTRODUCIR DATOS'!$D$20="SEPTIEMBRE",'RESULTADO INDEXADO'!BU72,IF('INTRODUCIR DATOS'!$D$20="OCTUBRE",'RESULTADO INDEXADO'!CB72,IF('INTRODUCIR DATOS'!$D$20="NOVIEMBRE",'RESULTADO INDEXADO'!CI72,IF('INTRODUCIR DATOS'!$D$20="DICIEMBRE",'RESULTADO INDEXADO'!CP72))))))))))))</f>
        <v>0</v>
      </c>
      <c r="H72" s="257" t="b">
        <f>IF('INTRODUCIR DATOS'!$D$20="ENERO",'RESULTADO INDEXADO'!R72,IF('INTRODUCIR DATOS'!$D$20="FEBRERO",'RESULTADO INDEXADO'!Y72,IF('INTRODUCIR DATOS'!$D$20="MARZO",'RESULTADO INDEXADO'!AF72,IF('INTRODUCIR DATOS'!$D$20="ABRIL",'RESULTADO INDEXADO'!AM72,IF('INTRODUCIR DATOS'!$D$20="MAYO",'RESULTADO INDEXADO'!AT72,IF('INTRODUCIR DATOS'!$D$20="JUNIO",'RESULTADO INDEXADO'!BA72,IF('INTRODUCIR DATOS'!$D$20="JULIO",'RESULTADO INDEXADO'!BH72,IF('INTRODUCIR DATOS'!$D$20="AGOSTO",'RESULTADO INDEXADO'!BO72,IF('INTRODUCIR DATOS'!$D$20="SEPTIEMBRE",'RESULTADO INDEXADO'!BV72,IF('INTRODUCIR DATOS'!$D$20="OCTUBRE",'RESULTADO INDEXADO'!CC72,IF('INTRODUCIR DATOS'!$D$20="NOVIEMBRE",'RESULTADO INDEXADO'!CJ72,IF('INTRODUCIR DATOS'!$D$20="DICIEMBRE",'RESULTADO INDEXADO'!CQ72))))))))))))</f>
        <v>0</v>
      </c>
      <c r="I72" s="257" t="b">
        <f>IF('INTRODUCIR DATOS'!$D$20="ENERO",'RESULTADO INDEXADO'!S72,IF('INTRODUCIR DATOS'!$D$20="FEBRERO",'RESULTADO INDEXADO'!Z72,IF('INTRODUCIR DATOS'!$D$20="MARZO",'RESULTADO INDEXADO'!AG72,IF('INTRODUCIR DATOS'!$D$20="ABRIL",'RESULTADO INDEXADO'!AN72,IF('INTRODUCIR DATOS'!$D$20="MAYO",'RESULTADO INDEXADO'!AU72,IF('INTRODUCIR DATOS'!$D$20="JUNIO",'RESULTADO INDEXADO'!BB72,IF('INTRODUCIR DATOS'!$D$20="JULIO",'RESULTADO INDEXADO'!BI72,IF('INTRODUCIR DATOS'!$D$20="AGOSTO",'RESULTADO INDEXADO'!BP72,IF('INTRODUCIR DATOS'!$D$20="SEPTIEMBRE",'RESULTADO INDEXADO'!BW72,IF('INTRODUCIR DATOS'!$D$20="OCTUBRE",'RESULTADO INDEXADO'!CD72,IF('INTRODUCIR DATOS'!$D$20="NOVIEMBRE",'RESULTADO INDEXADO'!CK72,IF('INTRODUCIR DATOS'!$D$20="DICIEMBRE",'RESULTADO INDEXADO'!CR72))))))))))))</f>
        <v>0</v>
      </c>
      <c r="J72" s="296" t="b">
        <f>IF('INTRODUCIR DATOS'!$D$20="ENERO",'RESULTADO INDEXADO'!T72,IF('INTRODUCIR DATOS'!$D$20="FEBRERO",'RESULTADO INDEXADO'!AA72,IF('INTRODUCIR DATOS'!$D$20="MARZO",'RESULTADO INDEXADO'!AH72,IF('INTRODUCIR DATOS'!$D$20="ABRIL",'RESULTADO INDEXADO'!AO72,IF('INTRODUCIR DATOS'!$D$20="MAYO",'RESULTADO INDEXADO'!AV72,IF('INTRODUCIR DATOS'!$D$20="JUNIO",'RESULTADO INDEXADO'!BC72,IF('INTRODUCIR DATOS'!$D$20="JULIO",'RESULTADO INDEXADO'!BJ72,IF('INTRODUCIR DATOS'!$D$20="AGOSTO",'RESULTADO INDEXADO'!BQ72,IF('INTRODUCIR DATOS'!$D$20="SEPTIEMBRE",'RESULTADO INDEXADO'!BX72,IF('INTRODUCIR DATOS'!$D$20="OCTUBRE",'RESULTADO INDEXADO'!CE72,IF('INTRODUCIR DATOS'!$D$20="NOVIEMBRE",'RESULTADO INDEXADO'!CL72,IF('INTRODUCIR DATOS'!$D$20="DICIEMBRE",'RESULTADO INDEXADO'!CS72))))))))))))</f>
        <v>0</v>
      </c>
      <c r="K72" s="41"/>
      <c r="L72" s="40"/>
      <c r="M72" s="145"/>
      <c r="N72" s="275" t="s">
        <v>134</v>
      </c>
      <c r="O72" s="267"/>
      <c r="P72" s="256"/>
      <c r="Q72" s="257"/>
      <c r="R72" s="257"/>
      <c r="S72" s="257"/>
      <c r="T72" s="296"/>
      <c r="U72" s="275" t="s">
        <v>134</v>
      </c>
      <c r="V72" s="267"/>
      <c r="W72" s="256"/>
      <c r="X72" s="257"/>
      <c r="Y72" s="257"/>
      <c r="Z72" s="257"/>
      <c r="AA72" s="296"/>
      <c r="AB72" s="275" t="s">
        <v>134</v>
      </c>
      <c r="AC72" s="267"/>
      <c r="AD72" s="256"/>
      <c r="AE72" s="257"/>
      <c r="AF72" s="257"/>
      <c r="AG72" s="257"/>
      <c r="AH72" s="296"/>
      <c r="AI72" s="275" t="s">
        <v>134</v>
      </c>
      <c r="AJ72" s="267"/>
      <c r="AK72" s="256"/>
      <c r="AL72" s="257"/>
      <c r="AM72" s="257"/>
      <c r="AN72" s="257"/>
      <c r="AO72" s="296"/>
      <c r="AP72" s="275" t="s">
        <v>134</v>
      </c>
      <c r="AQ72" s="267"/>
      <c r="AR72" s="256"/>
      <c r="AS72" s="257"/>
      <c r="AT72" s="257"/>
      <c r="AU72" s="257"/>
      <c r="AV72" s="296"/>
      <c r="AW72" s="275" t="s">
        <v>134</v>
      </c>
      <c r="AX72" s="267"/>
      <c r="AY72" s="256"/>
      <c r="AZ72" s="257"/>
      <c r="BA72" s="257"/>
      <c r="BB72" s="257"/>
      <c r="BC72" s="296"/>
      <c r="BD72" s="275" t="s">
        <v>134</v>
      </c>
      <c r="BE72" s="267"/>
      <c r="BF72" s="256"/>
      <c r="BG72" s="257"/>
      <c r="BH72" s="257"/>
      <c r="BI72" s="257"/>
      <c r="BJ72" s="296"/>
      <c r="BK72" s="275" t="s">
        <v>134</v>
      </c>
      <c r="BL72" s="267"/>
      <c r="BM72" s="256"/>
      <c r="BN72" s="257"/>
      <c r="BO72" s="257"/>
      <c r="BP72" s="257"/>
      <c r="BQ72" s="296"/>
      <c r="BR72" s="275" t="s">
        <v>134</v>
      </c>
      <c r="BS72" s="267"/>
      <c r="BT72" s="256"/>
      <c r="BU72" s="257"/>
      <c r="BV72" s="257"/>
      <c r="BW72" s="257"/>
      <c r="BX72" s="296"/>
      <c r="BY72" s="275" t="s">
        <v>134</v>
      </c>
      <c r="BZ72" s="267"/>
      <c r="CA72" s="256"/>
      <c r="CB72" s="257"/>
      <c r="CC72" s="257"/>
      <c r="CD72" s="257"/>
      <c r="CE72" s="296"/>
      <c r="CF72" s="275" t="s">
        <v>134</v>
      </c>
      <c r="CG72" s="267"/>
      <c r="CH72" s="256"/>
      <c r="CI72" s="257"/>
      <c r="CJ72" s="257"/>
      <c r="CK72" s="257"/>
      <c r="CL72" s="296"/>
      <c r="CM72" s="275" t="s">
        <v>134</v>
      </c>
      <c r="CN72" s="267"/>
      <c r="CO72" s="256"/>
      <c r="CP72" s="257"/>
      <c r="CQ72" s="257"/>
      <c r="CR72" s="257"/>
      <c r="CS72" s="296"/>
    </row>
    <row r="73" spans="1:97">
      <c r="A73" s="41" t="s">
        <v>142</v>
      </c>
      <c r="B73" s="40"/>
      <c r="C73" s="145"/>
      <c r="D73" s="310" t="s">
        <v>136</v>
      </c>
      <c r="E73" s="266" t="b">
        <f>IF('INTRODUCIR DATOS'!$D$20="ENERO",'RESULTADO INDEXADO'!O73,IF('INTRODUCIR DATOS'!$D$20="FEBRERO",'RESULTADO INDEXADO'!V73,IF('INTRODUCIR DATOS'!$D$20="MARZO",'RESULTADO INDEXADO'!AC73,IF('INTRODUCIR DATOS'!$D$20="ABRIL",'RESULTADO INDEXADO'!AJ73,IF('INTRODUCIR DATOS'!$D$20="MAYO",'RESULTADO INDEXADO'!AQ73,IF('INTRODUCIR DATOS'!$D$20="JUNIO",'RESULTADO INDEXADO'!AX73,IF('INTRODUCIR DATOS'!$D$20="JULIO",'RESULTADO INDEXADO'!BE73,IF('INTRODUCIR DATOS'!$D$20="AGOSTO",'RESULTADO INDEXADO'!BL73,IF('INTRODUCIR DATOS'!$D$20="SEPTIEMBRE",'RESULTADO INDEXADO'!BS73,IF('INTRODUCIR DATOS'!$D$20="OCTUBRE",'RESULTADO INDEXADO'!BZ73,IF('INTRODUCIR DATOS'!$D$20="NOVIEMBRE",'RESULTADO INDEXADO'!CG73,IF('INTRODUCIR DATOS'!$D$20="DICIEMBRE",'RESULTADO INDEXADO'!CN73))))))))))))</f>
        <v>0</v>
      </c>
      <c r="F73" s="253" t="b">
        <f>IF('INTRODUCIR DATOS'!$D$20="ENERO",'RESULTADO INDEXADO'!P73,IF('INTRODUCIR DATOS'!$D$20="FEBRERO",'RESULTADO INDEXADO'!W73,IF('INTRODUCIR DATOS'!$D$20="MARZO",'RESULTADO INDEXADO'!AD73,IF('INTRODUCIR DATOS'!$D$20="ABRIL",'RESULTADO INDEXADO'!AK73,IF('INTRODUCIR DATOS'!$D$20="MAYO",'RESULTADO INDEXADO'!AR73,IF('INTRODUCIR DATOS'!$D$20="JUNIO",'RESULTADO INDEXADO'!AY73,IF('INTRODUCIR DATOS'!$D$20="JULIO",'RESULTADO INDEXADO'!BF73,IF('INTRODUCIR DATOS'!$D$20="AGOSTO",'RESULTADO INDEXADO'!BM73,IF('INTRODUCIR DATOS'!$D$20="SEPTIEMBRE",'RESULTADO INDEXADO'!BT73,IF('INTRODUCIR DATOS'!$D$20="OCTUBRE",'RESULTADO INDEXADO'!CA73,IF('INTRODUCIR DATOS'!$D$20="NOVIEMBRE",'RESULTADO INDEXADO'!CH73,IF('INTRODUCIR DATOS'!$D$20="DICIEMBRE",'RESULTADO INDEXADO'!CO73))))))))))))</f>
        <v>0</v>
      </c>
      <c r="G73" s="253" t="b">
        <f>IF('INTRODUCIR DATOS'!$D$20="ENERO",'RESULTADO INDEXADO'!Q73,IF('INTRODUCIR DATOS'!$D$20="FEBRERO",'RESULTADO INDEXADO'!X73,IF('INTRODUCIR DATOS'!$D$20="MARZO",'RESULTADO INDEXADO'!AE73,IF('INTRODUCIR DATOS'!$D$20="ABRIL",'RESULTADO INDEXADO'!AL73,IF('INTRODUCIR DATOS'!$D$20="MAYO",'RESULTADO INDEXADO'!AS73,IF('INTRODUCIR DATOS'!$D$20="JUNIO",'RESULTADO INDEXADO'!AZ73,IF('INTRODUCIR DATOS'!$D$20="JULIO",'RESULTADO INDEXADO'!BG73,IF('INTRODUCIR DATOS'!$D$20="AGOSTO",'RESULTADO INDEXADO'!BN73,IF('INTRODUCIR DATOS'!$D$20="SEPTIEMBRE",'RESULTADO INDEXADO'!BU73,IF('INTRODUCIR DATOS'!$D$20="OCTUBRE",'RESULTADO INDEXADO'!CB73,IF('INTRODUCIR DATOS'!$D$20="NOVIEMBRE",'RESULTADO INDEXADO'!CI73,IF('INTRODUCIR DATOS'!$D$20="DICIEMBRE",'RESULTADO INDEXADO'!CP73))))))))))))</f>
        <v>0</v>
      </c>
      <c r="H73" s="254" t="b">
        <f>IF('INTRODUCIR DATOS'!$D$20="ENERO",'RESULTADO INDEXADO'!R73,IF('INTRODUCIR DATOS'!$D$20="FEBRERO",'RESULTADO INDEXADO'!Y73,IF('INTRODUCIR DATOS'!$D$20="MARZO",'RESULTADO INDEXADO'!AF73,IF('INTRODUCIR DATOS'!$D$20="ABRIL",'RESULTADO INDEXADO'!AM73,IF('INTRODUCIR DATOS'!$D$20="MAYO",'RESULTADO INDEXADO'!AT73,IF('INTRODUCIR DATOS'!$D$20="JUNIO",'RESULTADO INDEXADO'!BA73,IF('INTRODUCIR DATOS'!$D$20="JULIO",'RESULTADO INDEXADO'!BH73,IF('INTRODUCIR DATOS'!$D$20="AGOSTO",'RESULTADO INDEXADO'!BO73,IF('INTRODUCIR DATOS'!$D$20="SEPTIEMBRE",'RESULTADO INDEXADO'!BV73,IF('INTRODUCIR DATOS'!$D$20="OCTUBRE",'RESULTADO INDEXADO'!CC73,IF('INTRODUCIR DATOS'!$D$20="NOVIEMBRE",'RESULTADO INDEXADO'!CJ73,IF('INTRODUCIR DATOS'!$D$20="DICIEMBRE",'RESULTADO INDEXADO'!CQ73))))))))))))</f>
        <v>0</v>
      </c>
      <c r="I73" s="254" t="b">
        <f>IF('INTRODUCIR DATOS'!$D$20="ENERO",'RESULTADO INDEXADO'!S73,IF('INTRODUCIR DATOS'!$D$20="FEBRERO",'RESULTADO INDEXADO'!Z73,IF('INTRODUCIR DATOS'!$D$20="MARZO",'RESULTADO INDEXADO'!AG73,IF('INTRODUCIR DATOS'!$D$20="ABRIL",'RESULTADO INDEXADO'!AN73,IF('INTRODUCIR DATOS'!$D$20="MAYO",'RESULTADO INDEXADO'!AU73,IF('INTRODUCIR DATOS'!$D$20="JUNIO",'RESULTADO INDEXADO'!BB73,IF('INTRODUCIR DATOS'!$D$20="JULIO",'RESULTADO INDEXADO'!BI73,IF('INTRODUCIR DATOS'!$D$20="AGOSTO",'RESULTADO INDEXADO'!BP73,IF('INTRODUCIR DATOS'!$D$20="SEPTIEMBRE",'RESULTADO INDEXADO'!BW73,IF('INTRODUCIR DATOS'!$D$20="OCTUBRE",'RESULTADO INDEXADO'!CD73,IF('INTRODUCIR DATOS'!$D$20="NOVIEMBRE",'RESULTADO INDEXADO'!CK73,IF('INTRODUCIR DATOS'!$D$20="DICIEMBRE",'RESULTADO INDEXADO'!CR73))))))))))))</f>
        <v>0</v>
      </c>
      <c r="J73" s="295" t="b">
        <f>IF('INTRODUCIR DATOS'!$D$20="ENERO",'RESULTADO INDEXADO'!T73,IF('INTRODUCIR DATOS'!$D$20="FEBRERO",'RESULTADO INDEXADO'!AA73,IF('INTRODUCIR DATOS'!$D$20="MARZO",'RESULTADO INDEXADO'!AH73,IF('INTRODUCIR DATOS'!$D$20="ABRIL",'RESULTADO INDEXADO'!AO73,IF('INTRODUCIR DATOS'!$D$20="MAYO",'RESULTADO INDEXADO'!AV73,IF('INTRODUCIR DATOS'!$D$20="JUNIO",'RESULTADO INDEXADO'!BC73,IF('INTRODUCIR DATOS'!$D$20="JULIO",'RESULTADO INDEXADO'!BJ73,IF('INTRODUCIR DATOS'!$D$20="AGOSTO",'RESULTADO INDEXADO'!BQ73,IF('INTRODUCIR DATOS'!$D$20="SEPTIEMBRE",'RESULTADO INDEXADO'!BX73,IF('INTRODUCIR DATOS'!$D$20="OCTUBRE",'RESULTADO INDEXADO'!CE73,IF('INTRODUCIR DATOS'!$D$20="NOVIEMBRE",'RESULTADO INDEXADO'!CL73,IF('INTRODUCIR DATOS'!$D$20="DICIEMBRE",'RESULTADO INDEXADO'!CS73))))))))))))</f>
        <v>0</v>
      </c>
      <c r="K73" s="290">
        <f>('INTRODUCIR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DATOS'!$D$17)+'INTRODUCIR DATOS'!$D$15+'INTRODUCIR DATOS'!$D$16+IF('INTRODUCIR DATOS'!$D$21=21%,(('INTRODUCIR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DATOS'!$D$17)+'INTRODUCIR DATOS'!$D$16)*21/100,IF('INTRODUCIR DATOS'!$D$21=10%,(('INTRODUCIR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DATOS'!$D$17)+'INTRODUCIR DATOS'!$D$16)*10/100))</f>
        <v>1.0285</v>
      </c>
      <c r="L73" s="292">
        <f>IF(K73=0,"",'INTRODUCIR DATOS'!$D$14-K73)</f>
        <v>113.12150000000001</v>
      </c>
      <c r="M73" s="271">
        <f>IF(K73=0,"",('INTRODUCIR DATOS'!$D$14-K73)/'INTRODUCIR DATOS'!$D$14)</f>
        <v>0.99098992553657472</v>
      </c>
      <c r="N73" s="274" t="s">
        <v>136</v>
      </c>
      <c r="O73" s="268"/>
      <c r="P73" s="262"/>
      <c r="Q73" s="262"/>
      <c r="R73" s="263"/>
      <c r="S73" s="263"/>
      <c r="T73" s="298"/>
      <c r="U73" s="274" t="s">
        <v>136</v>
      </c>
      <c r="V73" s="268"/>
      <c r="W73" s="262"/>
      <c r="X73" s="262"/>
      <c r="Y73" s="263"/>
      <c r="Z73" s="263"/>
      <c r="AA73" s="298"/>
      <c r="AB73" s="274" t="s">
        <v>136</v>
      </c>
      <c r="AC73" s="268"/>
      <c r="AD73" s="262"/>
      <c r="AE73" s="262"/>
      <c r="AF73" s="263"/>
      <c r="AG73" s="263"/>
      <c r="AH73" s="298"/>
      <c r="AI73" s="274" t="s">
        <v>136</v>
      </c>
      <c r="AJ73" s="268"/>
      <c r="AK73" s="262"/>
      <c r="AL73" s="262"/>
      <c r="AM73" s="263"/>
      <c r="AN73" s="263"/>
      <c r="AO73" s="298"/>
      <c r="AP73" s="274" t="s">
        <v>136</v>
      </c>
      <c r="AQ73" s="268"/>
      <c r="AR73" s="262"/>
      <c r="AS73" s="262"/>
      <c r="AT73" s="263"/>
      <c r="AU73" s="263"/>
      <c r="AV73" s="298"/>
      <c r="AW73" s="274" t="s">
        <v>136</v>
      </c>
      <c r="AX73" s="268"/>
      <c r="AY73" s="262"/>
      <c r="AZ73" s="262"/>
      <c r="BA73" s="263"/>
      <c r="BB73" s="263"/>
      <c r="BC73" s="298"/>
      <c r="BD73" s="274" t="s">
        <v>136</v>
      </c>
      <c r="BE73" s="268"/>
      <c r="BF73" s="262"/>
      <c r="BG73" s="262"/>
      <c r="BH73" s="263"/>
      <c r="BI73" s="263"/>
      <c r="BJ73" s="298"/>
      <c r="BK73" s="274" t="s">
        <v>136</v>
      </c>
      <c r="BL73" s="268"/>
      <c r="BM73" s="262"/>
      <c r="BN73" s="262"/>
      <c r="BO73" s="263"/>
      <c r="BP73" s="263"/>
      <c r="BQ73" s="298"/>
      <c r="BR73" s="274" t="s">
        <v>136</v>
      </c>
      <c r="BS73" s="268"/>
      <c r="BT73" s="262"/>
      <c r="BU73" s="262"/>
      <c r="BV73" s="263"/>
      <c r="BW73" s="263"/>
      <c r="BX73" s="298"/>
      <c r="BY73" s="274" t="s">
        <v>136</v>
      </c>
      <c r="BZ73" s="268"/>
      <c r="CA73" s="262"/>
      <c r="CB73" s="262"/>
      <c r="CC73" s="263"/>
      <c r="CD73" s="263"/>
      <c r="CE73" s="298"/>
      <c r="CF73" s="274" t="s">
        <v>136</v>
      </c>
      <c r="CG73" s="268"/>
      <c r="CH73" s="262"/>
      <c r="CI73" s="262"/>
      <c r="CJ73" s="263"/>
      <c r="CK73" s="263"/>
      <c r="CL73" s="298"/>
      <c r="CM73" s="274" t="s">
        <v>136</v>
      </c>
      <c r="CN73" s="268"/>
      <c r="CO73" s="262"/>
      <c r="CP73" s="262"/>
      <c r="CQ73" s="263"/>
      <c r="CR73" s="263"/>
      <c r="CS73" s="298"/>
    </row>
    <row r="74" spans="1:97">
      <c r="A74" s="41" t="s">
        <v>142</v>
      </c>
      <c r="B74" s="40"/>
      <c r="C74" s="145"/>
      <c r="D74" s="311" t="s">
        <v>134</v>
      </c>
      <c r="E74" s="267" t="b">
        <f>IF('INTRODUCIR DATOS'!$D$20="ENERO",'RESULTADO INDEXADO'!O74,IF('INTRODUCIR DATOS'!$D$20="FEBRERO",'RESULTADO INDEXADO'!V74,IF('INTRODUCIR DATOS'!$D$20="MARZO",'RESULTADO INDEXADO'!AC74,IF('INTRODUCIR DATOS'!$D$20="ABRIL",'RESULTADO INDEXADO'!AJ74,IF('INTRODUCIR DATOS'!$D$20="MAYO",'RESULTADO INDEXADO'!AQ74,IF('INTRODUCIR DATOS'!$D$20="JUNIO",'RESULTADO INDEXADO'!AX74,IF('INTRODUCIR DATOS'!$D$20="JULIO",'RESULTADO INDEXADO'!BE74,IF('INTRODUCIR DATOS'!$D$20="AGOSTO",'RESULTADO INDEXADO'!BL74,IF('INTRODUCIR DATOS'!$D$20="SEPTIEMBRE",'RESULTADO INDEXADO'!BS74,IF('INTRODUCIR DATOS'!$D$20="OCTUBRE",'RESULTADO INDEXADO'!BZ74,IF('INTRODUCIR DATOS'!$D$20="NOVIEMBRE",'RESULTADO INDEXADO'!CG74,IF('INTRODUCIR DATOS'!$D$20="DICIEMBRE",'RESULTADO INDEXADO'!CN74))))))))))))</f>
        <v>0</v>
      </c>
      <c r="F74" s="256" t="b">
        <f>IF('INTRODUCIR DATOS'!$D$20="ENERO",'RESULTADO INDEXADO'!P74,IF('INTRODUCIR DATOS'!$D$20="FEBRERO",'RESULTADO INDEXADO'!W74,IF('INTRODUCIR DATOS'!$D$20="MARZO",'RESULTADO INDEXADO'!AD74,IF('INTRODUCIR DATOS'!$D$20="ABRIL",'RESULTADO INDEXADO'!AK74,IF('INTRODUCIR DATOS'!$D$20="MAYO",'RESULTADO INDEXADO'!AR74,IF('INTRODUCIR DATOS'!$D$20="JUNIO",'RESULTADO INDEXADO'!AY74,IF('INTRODUCIR DATOS'!$D$20="JULIO",'RESULTADO INDEXADO'!BF74,IF('INTRODUCIR DATOS'!$D$20="AGOSTO",'RESULTADO INDEXADO'!BM74,IF('INTRODUCIR DATOS'!$D$20="SEPTIEMBRE",'RESULTADO INDEXADO'!BT74,IF('INTRODUCIR DATOS'!$D$20="OCTUBRE",'RESULTADO INDEXADO'!CA74,IF('INTRODUCIR DATOS'!$D$20="NOVIEMBRE",'RESULTADO INDEXADO'!CH74,IF('INTRODUCIR DATOS'!$D$20="DICIEMBRE",'RESULTADO INDEXADO'!CO74))))))))))))</f>
        <v>0</v>
      </c>
      <c r="G74" s="257" t="b">
        <f>IF('INTRODUCIR DATOS'!$D$20="ENERO",'RESULTADO INDEXADO'!Q74,IF('INTRODUCIR DATOS'!$D$20="FEBRERO",'RESULTADO INDEXADO'!X74,IF('INTRODUCIR DATOS'!$D$20="MARZO",'RESULTADO INDEXADO'!AE74,IF('INTRODUCIR DATOS'!$D$20="ABRIL",'RESULTADO INDEXADO'!AL74,IF('INTRODUCIR DATOS'!$D$20="MAYO",'RESULTADO INDEXADO'!AS74,IF('INTRODUCIR DATOS'!$D$20="JUNIO",'RESULTADO INDEXADO'!AZ74,IF('INTRODUCIR DATOS'!$D$20="JULIO",'RESULTADO INDEXADO'!BG74,IF('INTRODUCIR DATOS'!$D$20="AGOSTO",'RESULTADO INDEXADO'!BN74,IF('INTRODUCIR DATOS'!$D$20="SEPTIEMBRE",'RESULTADO INDEXADO'!BU74,IF('INTRODUCIR DATOS'!$D$20="OCTUBRE",'RESULTADO INDEXADO'!CB74,IF('INTRODUCIR DATOS'!$D$20="NOVIEMBRE",'RESULTADO INDEXADO'!CI74,IF('INTRODUCIR DATOS'!$D$20="DICIEMBRE",'RESULTADO INDEXADO'!CP74))))))))))))</f>
        <v>0</v>
      </c>
      <c r="H74" s="257" t="b">
        <f>IF('INTRODUCIR DATOS'!$D$20="ENERO",'RESULTADO INDEXADO'!R74,IF('INTRODUCIR DATOS'!$D$20="FEBRERO",'RESULTADO INDEXADO'!Y74,IF('INTRODUCIR DATOS'!$D$20="MARZO",'RESULTADO INDEXADO'!AF74,IF('INTRODUCIR DATOS'!$D$20="ABRIL",'RESULTADO INDEXADO'!AM74,IF('INTRODUCIR DATOS'!$D$20="MAYO",'RESULTADO INDEXADO'!AT74,IF('INTRODUCIR DATOS'!$D$20="JUNIO",'RESULTADO INDEXADO'!BA74,IF('INTRODUCIR DATOS'!$D$20="JULIO",'RESULTADO INDEXADO'!BH74,IF('INTRODUCIR DATOS'!$D$20="AGOSTO",'RESULTADO INDEXADO'!BO74,IF('INTRODUCIR DATOS'!$D$20="SEPTIEMBRE",'RESULTADO INDEXADO'!BV74,IF('INTRODUCIR DATOS'!$D$20="OCTUBRE",'RESULTADO INDEXADO'!CC74,IF('INTRODUCIR DATOS'!$D$20="NOVIEMBRE",'RESULTADO INDEXADO'!CJ74,IF('INTRODUCIR DATOS'!$D$20="DICIEMBRE",'RESULTADO INDEXADO'!CQ74))))))))))))</f>
        <v>0</v>
      </c>
      <c r="I74" s="257" t="b">
        <f>IF('INTRODUCIR DATOS'!$D$20="ENERO",'RESULTADO INDEXADO'!S74,IF('INTRODUCIR DATOS'!$D$20="FEBRERO",'RESULTADO INDEXADO'!Z74,IF('INTRODUCIR DATOS'!$D$20="MARZO",'RESULTADO INDEXADO'!AG74,IF('INTRODUCIR DATOS'!$D$20="ABRIL",'RESULTADO INDEXADO'!AN74,IF('INTRODUCIR DATOS'!$D$20="MAYO",'RESULTADO INDEXADO'!AU74,IF('INTRODUCIR DATOS'!$D$20="JUNIO",'RESULTADO INDEXADO'!BB74,IF('INTRODUCIR DATOS'!$D$20="JULIO",'RESULTADO INDEXADO'!BI74,IF('INTRODUCIR DATOS'!$D$20="AGOSTO",'RESULTADO INDEXADO'!BP74,IF('INTRODUCIR DATOS'!$D$20="SEPTIEMBRE",'RESULTADO INDEXADO'!BW74,IF('INTRODUCIR DATOS'!$D$20="OCTUBRE",'RESULTADO INDEXADO'!CD74,IF('INTRODUCIR DATOS'!$D$20="NOVIEMBRE",'RESULTADO INDEXADO'!CK74,IF('INTRODUCIR DATOS'!$D$20="DICIEMBRE",'RESULTADO INDEXADO'!CR74))))))))))))</f>
        <v>0</v>
      </c>
      <c r="J74" s="296" t="b">
        <f>IF('INTRODUCIR DATOS'!$D$20="ENERO",'RESULTADO INDEXADO'!T74,IF('INTRODUCIR DATOS'!$D$20="FEBRERO",'RESULTADO INDEXADO'!AA74,IF('INTRODUCIR DATOS'!$D$20="MARZO",'RESULTADO INDEXADO'!AH74,IF('INTRODUCIR DATOS'!$D$20="ABRIL",'RESULTADO INDEXADO'!AO74,IF('INTRODUCIR DATOS'!$D$20="MAYO",'RESULTADO INDEXADO'!AV74,IF('INTRODUCIR DATOS'!$D$20="JUNIO",'RESULTADO INDEXADO'!BC74,IF('INTRODUCIR DATOS'!$D$20="JULIO",'RESULTADO INDEXADO'!BJ74,IF('INTRODUCIR DATOS'!$D$20="AGOSTO",'RESULTADO INDEXADO'!BQ74,IF('INTRODUCIR DATOS'!$D$20="SEPTIEMBRE",'RESULTADO INDEXADO'!BX74,IF('INTRODUCIR DATOS'!$D$20="OCTUBRE",'RESULTADO INDEXADO'!CE74,IF('INTRODUCIR DATOS'!$D$20="NOVIEMBRE",'RESULTADO INDEXADO'!CL74,IF('INTRODUCIR DATOS'!$D$20="DICIEMBRE",'RESULTADO INDEXADO'!CS74))))))))))))</f>
        <v>0</v>
      </c>
      <c r="K74" s="41"/>
      <c r="L74" s="40"/>
      <c r="M74" s="145"/>
      <c r="N74" s="275" t="s">
        <v>134</v>
      </c>
      <c r="O74" s="267"/>
      <c r="P74" s="256"/>
      <c r="Q74" s="257"/>
      <c r="R74" s="257"/>
      <c r="S74" s="257"/>
      <c r="T74" s="296"/>
      <c r="U74" s="275" t="s">
        <v>134</v>
      </c>
      <c r="V74" s="267"/>
      <c r="W74" s="256"/>
      <c r="X74" s="257"/>
      <c r="Y74" s="257"/>
      <c r="Z74" s="257"/>
      <c r="AA74" s="296"/>
      <c r="AB74" s="275" t="s">
        <v>134</v>
      </c>
      <c r="AC74" s="267"/>
      <c r="AD74" s="256"/>
      <c r="AE74" s="257"/>
      <c r="AF74" s="257"/>
      <c r="AG74" s="257"/>
      <c r="AH74" s="296"/>
      <c r="AI74" s="275" t="s">
        <v>134</v>
      </c>
      <c r="AJ74" s="267"/>
      <c r="AK74" s="256"/>
      <c r="AL74" s="257"/>
      <c r="AM74" s="257"/>
      <c r="AN74" s="257"/>
      <c r="AO74" s="296"/>
      <c r="AP74" s="275" t="s">
        <v>134</v>
      </c>
      <c r="AQ74" s="267"/>
      <c r="AR74" s="256"/>
      <c r="AS74" s="257"/>
      <c r="AT74" s="257"/>
      <c r="AU74" s="257"/>
      <c r="AV74" s="296"/>
      <c r="AW74" s="275" t="s">
        <v>134</v>
      </c>
      <c r="AX74" s="267"/>
      <c r="AY74" s="256"/>
      <c r="AZ74" s="257"/>
      <c r="BA74" s="257"/>
      <c r="BB74" s="257"/>
      <c r="BC74" s="296"/>
      <c r="BD74" s="275" t="s">
        <v>134</v>
      </c>
      <c r="BE74" s="267"/>
      <c r="BF74" s="256"/>
      <c r="BG74" s="257"/>
      <c r="BH74" s="257"/>
      <c r="BI74" s="257"/>
      <c r="BJ74" s="296"/>
      <c r="BK74" s="275" t="s">
        <v>134</v>
      </c>
      <c r="BL74" s="267"/>
      <c r="BM74" s="256"/>
      <c r="BN74" s="257"/>
      <c r="BO74" s="257"/>
      <c r="BP74" s="257"/>
      <c r="BQ74" s="296"/>
      <c r="BR74" s="275" t="s">
        <v>134</v>
      </c>
      <c r="BS74" s="267"/>
      <c r="BT74" s="256"/>
      <c r="BU74" s="257"/>
      <c r="BV74" s="257"/>
      <c r="BW74" s="257"/>
      <c r="BX74" s="296"/>
      <c r="BY74" s="275" t="s">
        <v>134</v>
      </c>
      <c r="BZ74" s="267"/>
      <c r="CA74" s="256"/>
      <c r="CB74" s="257"/>
      <c r="CC74" s="257"/>
      <c r="CD74" s="257"/>
      <c r="CE74" s="296"/>
      <c r="CF74" s="275" t="s">
        <v>134</v>
      </c>
      <c r="CG74" s="267"/>
      <c r="CH74" s="256"/>
      <c r="CI74" s="257"/>
      <c r="CJ74" s="257"/>
      <c r="CK74" s="257"/>
      <c r="CL74" s="296"/>
      <c r="CM74" s="275" t="s">
        <v>134</v>
      </c>
      <c r="CN74" s="267"/>
      <c r="CO74" s="256"/>
      <c r="CP74" s="257"/>
      <c r="CQ74" s="257"/>
      <c r="CR74" s="257"/>
      <c r="CS74" s="296"/>
    </row>
    <row r="75" spans="1:97">
      <c r="A75" s="41" t="s">
        <v>142</v>
      </c>
      <c r="B75" s="40"/>
      <c r="C75" s="145"/>
      <c r="D75" s="320" t="s">
        <v>136</v>
      </c>
      <c r="E75" s="266" t="b">
        <f>IF('INTRODUCIR DATOS'!$D$20="ENERO",'RESULTADO INDEXADO'!O75,IF('INTRODUCIR DATOS'!$D$20="FEBRERO",'RESULTADO INDEXADO'!V75,IF('INTRODUCIR DATOS'!$D$20="MARZO",'RESULTADO INDEXADO'!AC75,IF('INTRODUCIR DATOS'!$D$20="ABRIL",'RESULTADO INDEXADO'!AJ75,IF('INTRODUCIR DATOS'!$D$20="MAYO",'RESULTADO INDEXADO'!AQ75,IF('INTRODUCIR DATOS'!$D$20="JUNIO",'RESULTADO INDEXADO'!AX75,IF('INTRODUCIR DATOS'!$D$20="JULIO",'RESULTADO INDEXADO'!BE75,IF('INTRODUCIR DATOS'!$D$20="AGOSTO",'RESULTADO INDEXADO'!BL75,IF('INTRODUCIR DATOS'!$D$20="SEPTIEMBRE",'RESULTADO INDEXADO'!BS75,IF('INTRODUCIR DATOS'!$D$20="OCTUBRE",'RESULTADO INDEXADO'!BZ75,IF('INTRODUCIR DATOS'!$D$20="NOVIEMBRE",'RESULTADO INDEXADO'!CG75,IF('INTRODUCIR DATOS'!$D$20="DICIEMBRE",'RESULTADO INDEXADO'!CN75))))))))))))</f>
        <v>0</v>
      </c>
      <c r="F75" s="253" t="b">
        <f>IF('INTRODUCIR DATOS'!$D$20="ENERO",'RESULTADO INDEXADO'!P75,IF('INTRODUCIR DATOS'!$D$20="FEBRERO",'RESULTADO INDEXADO'!W75,IF('INTRODUCIR DATOS'!$D$20="MARZO",'RESULTADO INDEXADO'!AD75,IF('INTRODUCIR DATOS'!$D$20="ABRIL",'RESULTADO INDEXADO'!AK75,IF('INTRODUCIR DATOS'!$D$20="MAYO",'RESULTADO INDEXADO'!AR75,IF('INTRODUCIR DATOS'!$D$20="JUNIO",'RESULTADO INDEXADO'!AY75,IF('INTRODUCIR DATOS'!$D$20="JULIO",'RESULTADO INDEXADO'!BF75,IF('INTRODUCIR DATOS'!$D$20="AGOSTO",'RESULTADO INDEXADO'!BM75,IF('INTRODUCIR DATOS'!$D$20="SEPTIEMBRE",'RESULTADO INDEXADO'!BT75,IF('INTRODUCIR DATOS'!$D$20="OCTUBRE",'RESULTADO INDEXADO'!CA75,IF('INTRODUCIR DATOS'!$D$20="NOVIEMBRE",'RESULTADO INDEXADO'!CH75,IF('INTRODUCIR DATOS'!$D$20="DICIEMBRE",'RESULTADO INDEXADO'!CO75))))))))))))</f>
        <v>0</v>
      </c>
      <c r="G75" s="253" t="b">
        <f>IF('INTRODUCIR DATOS'!$D$20="ENERO",'RESULTADO INDEXADO'!Q75,IF('INTRODUCIR DATOS'!$D$20="FEBRERO",'RESULTADO INDEXADO'!X75,IF('INTRODUCIR DATOS'!$D$20="MARZO",'RESULTADO INDEXADO'!AE75,IF('INTRODUCIR DATOS'!$D$20="ABRIL",'RESULTADO INDEXADO'!AL75,IF('INTRODUCIR DATOS'!$D$20="MAYO",'RESULTADO INDEXADO'!AS75,IF('INTRODUCIR DATOS'!$D$20="JUNIO",'RESULTADO INDEXADO'!AZ75,IF('INTRODUCIR DATOS'!$D$20="JULIO",'RESULTADO INDEXADO'!BG75,IF('INTRODUCIR DATOS'!$D$20="AGOSTO",'RESULTADO INDEXADO'!BN75,IF('INTRODUCIR DATOS'!$D$20="SEPTIEMBRE",'RESULTADO INDEXADO'!BU75,IF('INTRODUCIR DATOS'!$D$20="OCTUBRE",'RESULTADO INDEXADO'!CB75,IF('INTRODUCIR DATOS'!$D$20="NOVIEMBRE",'RESULTADO INDEXADO'!CI75,IF('INTRODUCIR DATOS'!$D$20="DICIEMBRE",'RESULTADO INDEXADO'!CP75))))))))))))</f>
        <v>0</v>
      </c>
      <c r="H75" s="254" t="b">
        <f>IF('INTRODUCIR DATOS'!$D$20="ENERO",'RESULTADO INDEXADO'!R75,IF('INTRODUCIR DATOS'!$D$20="FEBRERO",'RESULTADO INDEXADO'!Y75,IF('INTRODUCIR DATOS'!$D$20="MARZO",'RESULTADO INDEXADO'!AF75,IF('INTRODUCIR DATOS'!$D$20="ABRIL",'RESULTADO INDEXADO'!AM75,IF('INTRODUCIR DATOS'!$D$20="MAYO",'RESULTADO INDEXADO'!AT75,IF('INTRODUCIR DATOS'!$D$20="JUNIO",'RESULTADO INDEXADO'!BA75,IF('INTRODUCIR DATOS'!$D$20="JULIO",'RESULTADO INDEXADO'!BH75,IF('INTRODUCIR DATOS'!$D$20="AGOSTO",'RESULTADO INDEXADO'!BO75,IF('INTRODUCIR DATOS'!$D$20="SEPTIEMBRE",'RESULTADO INDEXADO'!BV75,IF('INTRODUCIR DATOS'!$D$20="OCTUBRE",'RESULTADO INDEXADO'!CC75,IF('INTRODUCIR DATOS'!$D$20="NOVIEMBRE",'RESULTADO INDEXADO'!CJ75,IF('INTRODUCIR DATOS'!$D$20="DICIEMBRE",'RESULTADO INDEXADO'!CQ75))))))))))))</f>
        <v>0</v>
      </c>
      <c r="I75" s="254" t="b">
        <f>IF('INTRODUCIR DATOS'!$D$20="ENERO",'RESULTADO INDEXADO'!S75,IF('INTRODUCIR DATOS'!$D$20="FEBRERO",'RESULTADO INDEXADO'!Z75,IF('INTRODUCIR DATOS'!$D$20="MARZO",'RESULTADO INDEXADO'!AG75,IF('INTRODUCIR DATOS'!$D$20="ABRIL",'RESULTADO INDEXADO'!AN75,IF('INTRODUCIR DATOS'!$D$20="MAYO",'RESULTADO INDEXADO'!AU75,IF('INTRODUCIR DATOS'!$D$20="JUNIO",'RESULTADO INDEXADO'!BB75,IF('INTRODUCIR DATOS'!$D$20="JULIO",'RESULTADO INDEXADO'!BI75,IF('INTRODUCIR DATOS'!$D$20="AGOSTO",'RESULTADO INDEXADO'!BP75,IF('INTRODUCIR DATOS'!$D$20="SEPTIEMBRE",'RESULTADO INDEXADO'!BW75,IF('INTRODUCIR DATOS'!$D$20="OCTUBRE",'RESULTADO INDEXADO'!CD75,IF('INTRODUCIR DATOS'!$D$20="NOVIEMBRE",'RESULTADO INDEXADO'!CK75,IF('INTRODUCIR DATOS'!$D$20="DICIEMBRE",'RESULTADO INDEXADO'!CR75))))))))))))</f>
        <v>0</v>
      </c>
      <c r="J75" s="295" t="b">
        <f>IF('INTRODUCIR DATOS'!$D$20="ENERO",'RESULTADO INDEXADO'!T75,IF('INTRODUCIR DATOS'!$D$20="FEBRERO",'RESULTADO INDEXADO'!AA75,IF('INTRODUCIR DATOS'!$D$20="MARZO",'RESULTADO INDEXADO'!AH75,IF('INTRODUCIR DATOS'!$D$20="ABRIL",'RESULTADO INDEXADO'!AO75,IF('INTRODUCIR DATOS'!$D$20="MAYO",'RESULTADO INDEXADO'!AV75,IF('INTRODUCIR DATOS'!$D$20="JUNIO",'RESULTADO INDEXADO'!BC75,IF('INTRODUCIR DATOS'!$D$20="JULIO",'RESULTADO INDEXADO'!BJ75,IF('INTRODUCIR DATOS'!$D$20="AGOSTO",'RESULTADO INDEXADO'!BQ75,IF('INTRODUCIR DATOS'!$D$20="SEPTIEMBRE",'RESULTADO INDEXADO'!BX75,IF('INTRODUCIR DATOS'!$D$20="OCTUBRE",'RESULTADO INDEXADO'!CE75,IF('INTRODUCIR DATOS'!$D$20="NOVIEMBRE",'RESULTADO INDEXADO'!CL75,IF('INTRODUCIR DATOS'!$D$20="DICIEMBRE",'RESULTADO INDEXADO'!CS75))))))))))))</f>
        <v>0</v>
      </c>
      <c r="K75" s="290">
        <f>('INTRODUCIR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DATOS'!$D$17)+'INTRODUCIR DATOS'!$D$15+'INTRODUCIR DATOS'!$D$16+IF('INTRODUCIR DATOS'!$D$21=21%,(('INTRODUCIR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DATOS'!$D$17)+'INTRODUCIR DATOS'!$D$16)*21/100,IF('INTRODUCIR DATOS'!$D$21=10%,(('INTRODUCIR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DATOS'!$D$17)+'INTRODUCIR DATOS'!$D$16)*10/100))</f>
        <v>1.0285</v>
      </c>
      <c r="L75" s="292">
        <f>IF(K75=0,"",'INTRODUCIR DATOS'!$D$14-K75)</f>
        <v>113.12150000000001</v>
      </c>
      <c r="M75" s="271">
        <f>IF(K75=0,"",('INTRODUCIR DATOS'!$D$14-K75)/'INTRODUCIR DATOS'!$D$14)</f>
        <v>0.99098992553657472</v>
      </c>
      <c r="N75" s="276" t="s">
        <v>136</v>
      </c>
      <c r="O75" s="268"/>
      <c r="P75" s="262"/>
      <c r="Q75" s="262"/>
      <c r="R75" s="263"/>
      <c r="S75" s="263"/>
      <c r="T75" s="298"/>
      <c r="U75" s="276" t="s">
        <v>136</v>
      </c>
      <c r="V75" s="268"/>
      <c r="W75" s="262"/>
      <c r="X75" s="262"/>
      <c r="Y75" s="263"/>
      <c r="Z75" s="263"/>
      <c r="AA75" s="298"/>
      <c r="AB75" s="276" t="s">
        <v>136</v>
      </c>
      <c r="AC75" s="268"/>
      <c r="AD75" s="262"/>
      <c r="AE75" s="262"/>
      <c r="AF75" s="263"/>
      <c r="AG75" s="263"/>
      <c r="AH75" s="298"/>
      <c r="AI75" s="276" t="s">
        <v>136</v>
      </c>
      <c r="AJ75" s="268"/>
      <c r="AK75" s="262"/>
      <c r="AL75" s="262"/>
      <c r="AM75" s="263"/>
      <c r="AN75" s="263"/>
      <c r="AO75" s="298"/>
      <c r="AP75" s="276" t="s">
        <v>136</v>
      </c>
      <c r="AQ75" s="268"/>
      <c r="AR75" s="262"/>
      <c r="AS75" s="262"/>
      <c r="AT75" s="263"/>
      <c r="AU75" s="263"/>
      <c r="AV75" s="298"/>
      <c r="AW75" s="276" t="s">
        <v>136</v>
      </c>
      <c r="AX75" s="268"/>
      <c r="AY75" s="262"/>
      <c r="AZ75" s="262"/>
      <c r="BA75" s="263"/>
      <c r="BB75" s="263"/>
      <c r="BC75" s="298"/>
      <c r="BD75" s="276" t="s">
        <v>136</v>
      </c>
      <c r="BE75" s="268"/>
      <c r="BF75" s="262"/>
      <c r="BG75" s="262"/>
      <c r="BH75" s="263"/>
      <c r="BI75" s="263"/>
      <c r="BJ75" s="298"/>
      <c r="BK75" s="276" t="s">
        <v>136</v>
      </c>
      <c r="BL75" s="268"/>
      <c r="BM75" s="262"/>
      <c r="BN75" s="262"/>
      <c r="BO75" s="263"/>
      <c r="BP75" s="263"/>
      <c r="BQ75" s="298"/>
      <c r="BR75" s="276" t="s">
        <v>136</v>
      </c>
      <c r="BS75" s="268"/>
      <c r="BT75" s="262"/>
      <c r="BU75" s="262"/>
      <c r="BV75" s="263"/>
      <c r="BW75" s="263"/>
      <c r="BX75" s="298"/>
      <c r="BY75" s="276" t="s">
        <v>136</v>
      </c>
      <c r="BZ75" s="268"/>
      <c r="CA75" s="262"/>
      <c r="CB75" s="262"/>
      <c r="CC75" s="263"/>
      <c r="CD75" s="263"/>
      <c r="CE75" s="298"/>
      <c r="CF75" s="276" t="s">
        <v>136</v>
      </c>
      <c r="CG75" s="268"/>
      <c r="CH75" s="262"/>
      <c r="CI75" s="262"/>
      <c r="CJ75" s="263"/>
      <c r="CK75" s="263"/>
      <c r="CL75" s="298"/>
      <c r="CM75" s="276" t="s">
        <v>136</v>
      </c>
      <c r="CN75" s="268"/>
      <c r="CO75" s="262"/>
      <c r="CP75" s="262"/>
      <c r="CQ75" s="263"/>
      <c r="CR75" s="263"/>
      <c r="CS75" s="298"/>
    </row>
    <row r="76" spans="1:97">
      <c r="A76" s="41" t="s">
        <v>142</v>
      </c>
      <c r="B76" s="40"/>
      <c r="C76" s="145"/>
      <c r="D76" s="311" t="s">
        <v>134</v>
      </c>
      <c r="E76" s="267" t="b">
        <f>IF('INTRODUCIR DATOS'!$D$20="ENERO",'RESULTADO INDEXADO'!O76,IF('INTRODUCIR DATOS'!$D$20="FEBRERO",'RESULTADO INDEXADO'!V76,IF('INTRODUCIR DATOS'!$D$20="MARZO",'RESULTADO INDEXADO'!AC76,IF('INTRODUCIR DATOS'!$D$20="ABRIL",'RESULTADO INDEXADO'!AJ76,IF('INTRODUCIR DATOS'!$D$20="MAYO",'RESULTADO INDEXADO'!AQ76,IF('INTRODUCIR DATOS'!$D$20="JUNIO",'RESULTADO INDEXADO'!AX76,IF('INTRODUCIR DATOS'!$D$20="JULIO",'RESULTADO INDEXADO'!BE76,IF('INTRODUCIR DATOS'!$D$20="AGOSTO",'RESULTADO INDEXADO'!BL76,IF('INTRODUCIR DATOS'!$D$20="SEPTIEMBRE",'RESULTADO INDEXADO'!BS76,IF('INTRODUCIR DATOS'!$D$20="OCTUBRE",'RESULTADO INDEXADO'!BZ76,IF('INTRODUCIR DATOS'!$D$20="NOVIEMBRE",'RESULTADO INDEXADO'!CG76,IF('INTRODUCIR DATOS'!$D$20="DICIEMBRE",'RESULTADO INDEXADO'!CN76))))))))))))</f>
        <v>0</v>
      </c>
      <c r="F76" s="256" t="b">
        <f>IF('INTRODUCIR DATOS'!$D$20="ENERO",'RESULTADO INDEXADO'!P76,IF('INTRODUCIR DATOS'!$D$20="FEBRERO",'RESULTADO INDEXADO'!W76,IF('INTRODUCIR DATOS'!$D$20="MARZO",'RESULTADO INDEXADO'!AD76,IF('INTRODUCIR DATOS'!$D$20="ABRIL",'RESULTADO INDEXADO'!AK76,IF('INTRODUCIR DATOS'!$D$20="MAYO",'RESULTADO INDEXADO'!AR76,IF('INTRODUCIR DATOS'!$D$20="JUNIO",'RESULTADO INDEXADO'!AY76,IF('INTRODUCIR DATOS'!$D$20="JULIO",'RESULTADO INDEXADO'!BF76,IF('INTRODUCIR DATOS'!$D$20="AGOSTO",'RESULTADO INDEXADO'!BM76,IF('INTRODUCIR DATOS'!$D$20="SEPTIEMBRE",'RESULTADO INDEXADO'!BT76,IF('INTRODUCIR DATOS'!$D$20="OCTUBRE",'RESULTADO INDEXADO'!CA76,IF('INTRODUCIR DATOS'!$D$20="NOVIEMBRE",'RESULTADO INDEXADO'!CH76,IF('INTRODUCIR DATOS'!$D$20="DICIEMBRE",'RESULTADO INDEXADO'!CO76))))))))))))</f>
        <v>0</v>
      </c>
      <c r="G76" s="257" t="b">
        <f>IF('INTRODUCIR DATOS'!$D$20="ENERO",'RESULTADO INDEXADO'!Q76,IF('INTRODUCIR DATOS'!$D$20="FEBRERO",'RESULTADO INDEXADO'!X76,IF('INTRODUCIR DATOS'!$D$20="MARZO",'RESULTADO INDEXADO'!AE76,IF('INTRODUCIR DATOS'!$D$20="ABRIL",'RESULTADO INDEXADO'!AL76,IF('INTRODUCIR DATOS'!$D$20="MAYO",'RESULTADO INDEXADO'!AS76,IF('INTRODUCIR DATOS'!$D$20="JUNIO",'RESULTADO INDEXADO'!AZ76,IF('INTRODUCIR DATOS'!$D$20="JULIO",'RESULTADO INDEXADO'!BG76,IF('INTRODUCIR DATOS'!$D$20="AGOSTO",'RESULTADO INDEXADO'!BN76,IF('INTRODUCIR DATOS'!$D$20="SEPTIEMBRE",'RESULTADO INDEXADO'!BU76,IF('INTRODUCIR DATOS'!$D$20="OCTUBRE",'RESULTADO INDEXADO'!CB76,IF('INTRODUCIR DATOS'!$D$20="NOVIEMBRE",'RESULTADO INDEXADO'!CI76,IF('INTRODUCIR DATOS'!$D$20="DICIEMBRE",'RESULTADO INDEXADO'!CP76))))))))))))</f>
        <v>0</v>
      </c>
      <c r="H76" s="257" t="b">
        <f>IF('INTRODUCIR DATOS'!$D$20="ENERO",'RESULTADO INDEXADO'!R76,IF('INTRODUCIR DATOS'!$D$20="FEBRERO",'RESULTADO INDEXADO'!Y76,IF('INTRODUCIR DATOS'!$D$20="MARZO",'RESULTADO INDEXADO'!AF76,IF('INTRODUCIR DATOS'!$D$20="ABRIL",'RESULTADO INDEXADO'!AM76,IF('INTRODUCIR DATOS'!$D$20="MAYO",'RESULTADO INDEXADO'!AT76,IF('INTRODUCIR DATOS'!$D$20="JUNIO",'RESULTADO INDEXADO'!BA76,IF('INTRODUCIR DATOS'!$D$20="JULIO",'RESULTADO INDEXADO'!BH76,IF('INTRODUCIR DATOS'!$D$20="AGOSTO",'RESULTADO INDEXADO'!BO76,IF('INTRODUCIR DATOS'!$D$20="SEPTIEMBRE",'RESULTADO INDEXADO'!BV76,IF('INTRODUCIR DATOS'!$D$20="OCTUBRE",'RESULTADO INDEXADO'!CC76,IF('INTRODUCIR DATOS'!$D$20="NOVIEMBRE",'RESULTADO INDEXADO'!CJ76,IF('INTRODUCIR DATOS'!$D$20="DICIEMBRE",'RESULTADO INDEXADO'!CQ76))))))))))))</f>
        <v>0</v>
      </c>
      <c r="I76" s="257" t="b">
        <f>IF('INTRODUCIR DATOS'!$D$20="ENERO",'RESULTADO INDEXADO'!S76,IF('INTRODUCIR DATOS'!$D$20="FEBRERO",'RESULTADO INDEXADO'!Z76,IF('INTRODUCIR DATOS'!$D$20="MARZO",'RESULTADO INDEXADO'!AG76,IF('INTRODUCIR DATOS'!$D$20="ABRIL",'RESULTADO INDEXADO'!AN76,IF('INTRODUCIR DATOS'!$D$20="MAYO",'RESULTADO INDEXADO'!AU76,IF('INTRODUCIR DATOS'!$D$20="JUNIO",'RESULTADO INDEXADO'!BB76,IF('INTRODUCIR DATOS'!$D$20="JULIO",'RESULTADO INDEXADO'!BI76,IF('INTRODUCIR DATOS'!$D$20="AGOSTO",'RESULTADO INDEXADO'!BP76,IF('INTRODUCIR DATOS'!$D$20="SEPTIEMBRE",'RESULTADO INDEXADO'!BW76,IF('INTRODUCIR DATOS'!$D$20="OCTUBRE",'RESULTADO INDEXADO'!CD76,IF('INTRODUCIR DATOS'!$D$20="NOVIEMBRE",'RESULTADO INDEXADO'!CK76,IF('INTRODUCIR DATOS'!$D$20="DICIEMBRE",'RESULTADO INDEXADO'!CR76))))))))))))</f>
        <v>0</v>
      </c>
      <c r="J76" s="296" t="b">
        <f>IF('INTRODUCIR DATOS'!$D$20="ENERO",'RESULTADO INDEXADO'!T76,IF('INTRODUCIR DATOS'!$D$20="FEBRERO",'RESULTADO INDEXADO'!AA76,IF('INTRODUCIR DATOS'!$D$20="MARZO",'RESULTADO INDEXADO'!AH76,IF('INTRODUCIR DATOS'!$D$20="ABRIL",'RESULTADO INDEXADO'!AO76,IF('INTRODUCIR DATOS'!$D$20="MAYO",'RESULTADO INDEXADO'!AV76,IF('INTRODUCIR DATOS'!$D$20="JUNIO",'RESULTADO INDEXADO'!BC76,IF('INTRODUCIR DATOS'!$D$20="JULIO",'RESULTADO INDEXADO'!BJ76,IF('INTRODUCIR DATOS'!$D$20="AGOSTO",'RESULTADO INDEXADO'!BQ76,IF('INTRODUCIR DATOS'!$D$20="SEPTIEMBRE",'RESULTADO INDEXADO'!BX76,IF('INTRODUCIR DATOS'!$D$20="OCTUBRE",'RESULTADO INDEXADO'!CE76,IF('INTRODUCIR DATOS'!$D$20="NOVIEMBRE",'RESULTADO INDEXADO'!CL76,IF('INTRODUCIR DATOS'!$D$20="DICIEMBRE",'RESULTADO INDEXADO'!CS76))))))))))))</f>
        <v>0</v>
      </c>
      <c r="K76" s="41"/>
      <c r="L76" s="40"/>
      <c r="M76" s="145"/>
      <c r="N76" s="275" t="s">
        <v>134</v>
      </c>
      <c r="O76" s="267"/>
      <c r="P76" s="256"/>
      <c r="Q76" s="257"/>
      <c r="R76" s="257"/>
      <c r="S76" s="257"/>
      <c r="T76" s="296"/>
      <c r="U76" s="275" t="s">
        <v>134</v>
      </c>
      <c r="V76" s="267"/>
      <c r="W76" s="256"/>
      <c r="X76" s="257"/>
      <c r="Y76" s="257"/>
      <c r="Z76" s="257"/>
      <c r="AA76" s="296"/>
      <c r="AB76" s="275" t="s">
        <v>134</v>
      </c>
      <c r="AC76" s="267"/>
      <c r="AD76" s="256"/>
      <c r="AE76" s="257"/>
      <c r="AF76" s="257"/>
      <c r="AG76" s="257"/>
      <c r="AH76" s="296"/>
      <c r="AI76" s="275" t="s">
        <v>134</v>
      </c>
      <c r="AJ76" s="267"/>
      <c r="AK76" s="256"/>
      <c r="AL76" s="257"/>
      <c r="AM76" s="257"/>
      <c r="AN76" s="257"/>
      <c r="AO76" s="296"/>
      <c r="AP76" s="275" t="s">
        <v>134</v>
      </c>
      <c r="AQ76" s="267"/>
      <c r="AR76" s="256"/>
      <c r="AS76" s="257"/>
      <c r="AT76" s="257"/>
      <c r="AU76" s="257"/>
      <c r="AV76" s="296"/>
      <c r="AW76" s="275" t="s">
        <v>134</v>
      </c>
      <c r="AX76" s="267"/>
      <c r="AY76" s="256"/>
      <c r="AZ76" s="257"/>
      <c r="BA76" s="257"/>
      <c r="BB76" s="257"/>
      <c r="BC76" s="296"/>
      <c r="BD76" s="275" t="s">
        <v>134</v>
      </c>
      <c r="BE76" s="267"/>
      <c r="BF76" s="256"/>
      <c r="BG76" s="257"/>
      <c r="BH76" s="257"/>
      <c r="BI76" s="257"/>
      <c r="BJ76" s="296"/>
      <c r="BK76" s="275" t="s">
        <v>134</v>
      </c>
      <c r="BL76" s="267"/>
      <c r="BM76" s="256"/>
      <c r="BN76" s="257"/>
      <c r="BO76" s="257"/>
      <c r="BP76" s="257"/>
      <c r="BQ76" s="296"/>
      <c r="BR76" s="275" t="s">
        <v>134</v>
      </c>
      <c r="BS76" s="267"/>
      <c r="BT76" s="256"/>
      <c r="BU76" s="257"/>
      <c r="BV76" s="257"/>
      <c r="BW76" s="257"/>
      <c r="BX76" s="296"/>
      <c r="BY76" s="275" t="s">
        <v>134</v>
      </c>
      <c r="BZ76" s="267"/>
      <c r="CA76" s="256"/>
      <c r="CB76" s="257"/>
      <c r="CC76" s="257"/>
      <c r="CD76" s="257"/>
      <c r="CE76" s="296"/>
      <c r="CF76" s="275" t="s">
        <v>134</v>
      </c>
      <c r="CG76" s="267"/>
      <c r="CH76" s="256"/>
      <c r="CI76" s="257"/>
      <c r="CJ76" s="257"/>
      <c r="CK76" s="257"/>
      <c r="CL76" s="296"/>
      <c r="CM76" s="275" t="s">
        <v>134</v>
      </c>
      <c r="CN76" s="267"/>
      <c r="CO76" s="256"/>
      <c r="CP76" s="257"/>
      <c r="CQ76" s="257"/>
      <c r="CR76" s="257"/>
      <c r="CS76" s="296"/>
    </row>
    <row r="77" spans="1:97">
      <c r="A77" s="41" t="s">
        <v>142</v>
      </c>
      <c r="B77" s="40"/>
      <c r="C77" s="145"/>
      <c r="D77" s="320" t="s">
        <v>136</v>
      </c>
      <c r="E77" s="266" t="b">
        <f>IF('INTRODUCIR DATOS'!$D$20="ENERO",'RESULTADO INDEXADO'!O77,IF('INTRODUCIR DATOS'!$D$20="FEBRERO",'RESULTADO INDEXADO'!V77,IF('INTRODUCIR DATOS'!$D$20="MARZO",'RESULTADO INDEXADO'!AC77,IF('INTRODUCIR DATOS'!$D$20="ABRIL",'RESULTADO INDEXADO'!AJ77,IF('INTRODUCIR DATOS'!$D$20="MAYO",'RESULTADO INDEXADO'!AQ77,IF('INTRODUCIR DATOS'!$D$20="JUNIO",'RESULTADO INDEXADO'!AX77,IF('INTRODUCIR DATOS'!$D$20="JULIO",'RESULTADO INDEXADO'!BE77,IF('INTRODUCIR DATOS'!$D$20="AGOSTO",'RESULTADO INDEXADO'!BL77,IF('INTRODUCIR DATOS'!$D$20="SEPTIEMBRE",'RESULTADO INDEXADO'!BS77,IF('INTRODUCIR DATOS'!$D$20="OCTUBRE",'RESULTADO INDEXADO'!BZ77,IF('INTRODUCIR DATOS'!$D$20="NOVIEMBRE",'RESULTADO INDEXADO'!CG77,IF('INTRODUCIR DATOS'!$D$20="DICIEMBRE",'RESULTADO INDEXADO'!CN77))))))))))))</f>
        <v>0</v>
      </c>
      <c r="F77" s="253" t="b">
        <f>IF('INTRODUCIR DATOS'!$D$20="ENERO",'RESULTADO INDEXADO'!P77,IF('INTRODUCIR DATOS'!$D$20="FEBRERO",'RESULTADO INDEXADO'!W77,IF('INTRODUCIR DATOS'!$D$20="MARZO",'RESULTADO INDEXADO'!AD77,IF('INTRODUCIR DATOS'!$D$20="ABRIL",'RESULTADO INDEXADO'!AK77,IF('INTRODUCIR DATOS'!$D$20="MAYO",'RESULTADO INDEXADO'!AR77,IF('INTRODUCIR DATOS'!$D$20="JUNIO",'RESULTADO INDEXADO'!AY77,IF('INTRODUCIR DATOS'!$D$20="JULIO",'RESULTADO INDEXADO'!BF77,IF('INTRODUCIR DATOS'!$D$20="AGOSTO",'RESULTADO INDEXADO'!BM77,IF('INTRODUCIR DATOS'!$D$20="SEPTIEMBRE",'RESULTADO INDEXADO'!BT77,IF('INTRODUCIR DATOS'!$D$20="OCTUBRE",'RESULTADO INDEXADO'!CA77,IF('INTRODUCIR DATOS'!$D$20="NOVIEMBRE",'RESULTADO INDEXADO'!CH77,IF('INTRODUCIR DATOS'!$D$20="DICIEMBRE",'RESULTADO INDEXADO'!CO77))))))))))))</f>
        <v>0</v>
      </c>
      <c r="G77" s="253" t="b">
        <f>IF('INTRODUCIR DATOS'!$D$20="ENERO",'RESULTADO INDEXADO'!Q77,IF('INTRODUCIR DATOS'!$D$20="FEBRERO",'RESULTADO INDEXADO'!X77,IF('INTRODUCIR DATOS'!$D$20="MARZO",'RESULTADO INDEXADO'!AE77,IF('INTRODUCIR DATOS'!$D$20="ABRIL",'RESULTADO INDEXADO'!AL77,IF('INTRODUCIR DATOS'!$D$20="MAYO",'RESULTADO INDEXADO'!AS77,IF('INTRODUCIR DATOS'!$D$20="JUNIO",'RESULTADO INDEXADO'!AZ77,IF('INTRODUCIR DATOS'!$D$20="JULIO",'RESULTADO INDEXADO'!BG77,IF('INTRODUCIR DATOS'!$D$20="AGOSTO",'RESULTADO INDEXADO'!BN77,IF('INTRODUCIR DATOS'!$D$20="SEPTIEMBRE",'RESULTADO INDEXADO'!BU77,IF('INTRODUCIR DATOS'!$D$20="OCTUBRE",'RESULTADO INDEXADO'!CB77,IF('INTRODUCIR DATOS'!$D$20="NOVIEMBRE",'RESULTADO INDEXADO'!CI77,IF('INTRODUCIR DATOS'!$D$20="DICIEMBRE",'RESULTADO INDEXADO'!CP77))))))))))))</f>
        <v>0</v>
      </c>
      <c r="H77" s="254" t="b">
        <f>IF('INTRODUCIR DATOS'!$D$20="ENERO",'RESULTADO INDEXADO'!R77,IF('INTRODUCIR DATOS'!$D$20="FEBRERO",'RESULTADO INDEXADO'!Y77,IF('INTRODUCIR DATOS'!$D$20="MARZO",'RESULTADO INDEXADO'!AF77,IF('INTRODUCIR DATOS'!$D$20="ABRIL",'RESULTADO INDEXADO'!AM77,IF('INTRODUCIR DATOS'!$D$20="MAYO",'RESULTADO INDEXADO'!AT77,IF('INTRODUCIR DATOS'!$D$20="JUNIO",'RESULTADO INDEXADO'!BA77,IF('INTRODUCIR DATOS'!$D$20="JULIO",'RESULTADO INDEXADO'!BH77,IF('INTRODUCIR DATOS'!$D$20="AGOSTO",'RESULTADO INDEXADO'!BO77,IF('INTRODUCIR DATOS'!$D$20="SEPTIEMBRE",'RESULTADO INDEXADO'!BV77,IF('INTRODUCIR DATOS'!$D$20="OCTUBRE",'RESULTADO INDEXADO'!CC77,IF('INTRODUCIR DATOS'!$D$20="NOVIEMBRE",'RESULTADO INDEXADO'!CJ77,IF('INTRODUCIR DATOS'!$D$20="DICIEMBRE",'RESULTADO INDEXADO'!CQ77))))))))))))</f>
        <v>0</v>
      </c>
      <c r="I77" s="254" t="b">
        <f>IF('INTRODUCIR DATOS'!$D$20="ENERO",'RESULTADO INDEXADO'!S77,IF('INTRODUCIR DATOS'!$D$20="FEBRERO",'RESULTADO INDEXADO'!Z77,IF('INTRODUCIR DATOS'!$D$20="MARZO",'RESULTADO INDEXADO'!AG77,IF('INTRODUCIR DATOS'!$D$20="ABRIL",'RESULTADO INDEXADO'!AN77,IF('INTRODUCIR DATOS'!$D$20="MAYO",'RESULTADO INDEXADO'!AU77,IF('INTRODUCIR DATOS'!$D$20="JUNIO",'RESULTADO INDEXADO'!BB77,IF('INTRODUCIR DATOS'!$D$20="JULIO",'RESULTADO INDEXADO'!BI77,IF('INTRODUCIR DATOS'!$D$20="AGOSTO",'RESULTADO INDEXADO'!BP77,IF('INTRODUCIR DATOS'!$D$20="SEPTIEMBRE",'RESULTADO INDEXADO'!BW77,IF('INTRODUCIR DATOS'!$D$20="OCTUBRE",'RESULTADO INDEXADO'!CD77,IF('INTRODUCIR DATOS'!$D$20="NOVIEMBRE",'RESULTADO INDEXADO'!CK77,IF('INTRODUCIR DATOS'!$D$20="DICIEMBRE",'RESULTADO INDEXADO'!CR77))))))))))))</f>
        <v>0</v>
      </c>
      <c r="J77" s="295" t="b">
        <f>IF('INTRODUCIR DATOS'!$D$20="ENERO",'RESULTADO INDEXADO'!T77,IF('INTRODUCIR DATOS'!$D$20="FEBRERO",'RESULTADO INDEXADO'!AA77,IF('INTRODUCIR DATOS'!$D$20="MARZO",'RESULTADO INDEXADO'!AH77,IF('INTRODUCIR DATOS'!$D$20="ABRIL",'RESULTADO INDEXADO'!AO77,IF('INTRODUCIR DATOS'!$D$20="MAYO",'RESULTADO INDEXADO'!AV77,IF('INTRODUCIR DATOS'!$D$20="JUNIO",'RESULTADO INDEXADO'!BC77,IF('INTRODUCIR DATOS'!$D$20="JULIO",'RESULTADO INDEXADO'!BJ77,IF('INTRODUCIR DATOS'!$D$20="AGOSTO",'RESULTADO INDEXADO'!BQ77,IF('INTRODUCIR DATOS'!$D$20="SEPTIEMBRE",'RESULTADO INDEXADO'!BX77,IF('INTRODUCIR DATOS'!$D$20="OCTUBRE",'RESULTADO INDEXADO'!CE77,IF('INTRODUCIR DATOS'!$D$20="NOVIEMBRE",'RESULTADO INDEXADO'!CL77,IF('INTRODUCIR DATOS'!$D$20="DICIEMBRE",'RESULTADO INDEXADO'!CS77))))))))))))</f>
        <v>0</v>
      </c>
      <c r="K77" s="290">
        <f>('INTRODUCIR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DATOS'!$D$17)+'INTRODUCIR DATOS'!$D$15+'INTRODUCIR DATOS'!$D$16+IF('INTRODUCIR DATOS'!$D$21=21%,(('INTRODUCIR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DATOS'!$D$17)+'INTRODUCIR DATOS'!$D$16)*21/100,IF('INTRODUCIR DATOS'!$D$21=10%,(('INTRODUCIR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DATOS'!$D$17)+'INTRODUCIR DATOS'!$D$16)*10/100))</f>
        <v>1.0285</v>
      </c>
      <c r="L77" s="292">
        <f>IF(K77=0,"",'INTRODUCIR DATOS'!$D$14-K77)</f>
        <v>113.12150000000001</v>
      </c>
      <c r="M77" s="271">
        <f>IF(K77=0,"",('INTRODUCIR DATOS'!$D$14-K77)/'INTRODUCIR DATOS'!$D$14)</f>
        <v>0.99098992553657472</v>
      </c>
      <c r="N77" s="276" t="s">
        <v>136</v>
      </c>
      <c r="O77" s="268"/>
      <c r="P77" s="262"/>
      <c r="Q77" s="262"/>
      <c r="R77" s="263"/>
      <c r="S77" s="263"/>
      <c r="T77" s="298"/>
      <c r="U77" s="276" t="s">
        <v>136</v>
      </c>
      <c r="V77" s="268"/>
      <c r="W77" s="262"/>
      <c r="X77" s="262"/>
      <c r="Y77" s="263"/>
      <c r="Z77" s="263"/>
      <c r="AA77" s="298"/>
      <c r="AB77" s="276" t="s">
        <v>136</v>
      </c>
      <c r="AC77" s="268"/>
      <c r="AD77" s="262"/>
      <c r="AE77" s="262"/>
      <c r="AF77" s="263"/>
      <c r="AG77" s="263"/>
      <c r="AH77" s="298"/>
      <c r="AI77" s="276" t="s">
        <v>136</v>
      </c>
      <c r="AJ77" s="268"/>
      <c r="AK77" s="262"/>
      <c r="AL77" s="262"/>
      <c r="AM77" s="263"/>
      <c r="AN77" s="263"/>
      <c r="AO77" s="298"/>
      <c r="AP77" s="276" t="s">
        <v>136</v>
      </c>
      <c r="AQ77" s="268"/>
      <c r="AR77" s="262"/>
      <c r="AS77" s="262"/>
      <c r="AT77" s="263"/>
      <c r="AU77" s="263"/>
      <c r="AV77" s="298"/>
      <c r="AW77" s="276" t="s">
        <v>136</v>
      </c>
      <c r="AX77" s="268"/>
      <c r="AY77" s="262"/>
      <c r="AZ77" s="262"/>
      <c r="BA77" s="263"/>
      <c r="BB77" s="263"/>
      <c r="BC77" s="298"/>
      <c r="BD77" s="276" t="s">
        <v>136</v>
      </c>
      <c r="BE77" s="268"/>
      <c r="BF77" s="262"/>
      <c r="BG77" s="262"/>
      <c r="BH77" s="263"/>
      <c r="BI77" s="263"/>
      <c r="BJ77" s="298"/>
      <c r="BK77" s="276" t="s">
        <v>136</v>
      </c>
      <c r="BL77" s="268"/>
      <c r="BM77" s="262"/>
      <c r="BN77" s="262"/>
      <c r="BO77" s="263"/>
      <c r="BP77" s="263"/>
      <c r="BQ77" s="298"/>
      <c r="BR77" s="276" t="s">
        <v>136</v>
      </c>
      <c r="BS77" s="268"/>
      <c r="BT77" s="262"/>
      <c r="BU77" s="262"/>
      <c r="BV77" s="263"/>
      <c r="BW77" s="263"/>
      <c r="BX77" s="298"/>
      <c r="BY77" s="276" t="s">
        <v>136</v>
      </c>
      <c r="BZ77" s="268"/>
      <c r="CA77" s="262"/>
      <c r="CB77" s="262"/>
      <c r="CC77" s="263"/>
      <c r="CD77" s="263"/>
      <c r="CE77" s="298"/>
      <c r="CF77" s="276" t="s">
        <v>136</v>
      </c>
      <c r="CG77" s="268"/>
      <c r="CH77" s="262"/>
      <c r="CI77" s="262"/>
      <c r="CJ77" s="263"/>
      <c r="CK77" s="263"/>
      <c r="CL77" s="298"/>
      <c r="CM77" s="276" t="s">
        <v>136</v>
      </c>
      <c r="CN77" s="268"/>
      <c r="CO77" s="262"/>
      <c r="CP77" s="262"/>
      <c r="CQ77" s="263"/>
      <c r="CR77" s="263"/>
      <c r="CS77" s="298"/>
    </row>
    <row r="78" spans="1:97">
      <c r="A78" s="41" t="s">
        <v>142</v>
      </c>
      <c r="B78" s="40"/>
      <c r="C78" s="145"/>
      <c r="D78" s="311" t="s">
        <v>134</v>
      </c>
      <c r="E78" s="267" t="b">
        <f>IF('INTRODUCIR DATOS'!$D$20="ENERO",'RESULTADO INDEXADO'!O78,IF('INTRODUCIR DATOS'!$D$20="FEBRERO",'RESULTADO INDEXADO'!V78,IF('INTRODUCIR DATOS'!$D$20="MARZO",'RESULTADO INDEXADO'!AC78,IF('INTRODUCIR DATOS'!$D$20="ABRIL",'RESULTADO INDEXADO'!AJ78,IF('INTRODUCIR DATOS'!$D$20="MAYO",'RESULTADO INDEXADO'!AQ78,IF('INTRODUCIR DATOS'!$D$20="JUNIO",'RESULTADO INDEXADO'!AX78,IF('INTRODUCIR DATOS'!$D$20="JULIO",'RESULTADO INDEXADO'!BE78,IF('INTRODUCIR DATOS'!$D$20="AGOSTO",'RESULTADO INDEXADO'!BL78,IF('INTRODUCIR DATOS'!$D$20="SEPTIEMBRE",'RESULTADO INDEXADO'!BS78,IF('INTRODUCIR DATOS'!$D$20="OCTUBRE",'RESULTADO INDEXADO'!BZ78,IF('INTRODUCIR DATOS'!$D$20="NOVIEMBRE",'RESULTADO INDEXADO'!CG78,IF('INTRODUCIR DATOS'!$D$20="DICIEMBRE",'RESULTADO INDEXADO'!CN78))))))))))))</f>
        <v>0</v>
      </c>
      <c r="F78" s="256" t="b">
        <f>IF('INTRODUCIR DATOS'!$D$20="ENERO",'RESULTADO INDEXADO'!P78,IF('INTRODUCIR DATOS'!$D$20="FEBRERO",'RESULTADO INDEXADO'!W78,IF('INTRODUCIR DATOS'!$D$20="MARZO",'RESULTADO INDEXADO'!AD78,IF('INTRODUCIR DATOS'!$D$20="ABRIL",'RESULTADO INDEXADO'!AK78,IF('INTRODUCIR DATOS'!$D$20="MAYO",'RESULTADO INDEXADO'!AR78,IF('INTRODUCIR DATOS'!$D$20="JUNIO",'RESULTADO INDEXADO'!AY78,IF('INTRODUCIR DATOS'!$D$20="JULIO",'RESULTADO INDEXADO'!BF78,IF('INTRODUCIR DATOS'!$D$20="AGOSTO",'RESULTADO INDEXADO'!BM78,IF('INTRODUCIR DATOS'!$D$20="SEPTIEMBRE",'RESULTADO INDEXADO'!BT78,IF('INTRODUCIR DATOS'!$D$20="OCTUBRE",'RESULTADO INDEXADO'!CA78,IF('INTRODUCIR DATOS'!$D$20="NOVIEMBRE",'RESULTADO INDEXADO'!CH78,IF('INTRODUCIR DATOS'!$D$20="DICIEMBRE",'RESULTADO INDEXADO'!CO78))))))))))))</f>
        <v>0</v>
      </c>
      <c r="G78" s="257" t="b">
        <f>IF('INTRODUCIR DATOS'!$D$20="ENERO",'RESULTADO INDEXADO'!Q78,IF('INTRODUCIR DATOS'!$D$20="FEBRERO",'RESULTADO INDEXADO'!X78,IF('INTRODUCIR DATOS'!$D$20="MARZO",'RESULTADO INDEXADO'!AE78,IF('INTRODUCIR DATOS'!$D$20="ABRIL",'RESULTADO INDEXADO'!AL78,IF('INTRODUCIR DATOS'!$D$20="MAYO",'RESULTADO INDEXADO'!AS78,IF('INTRODUCIR DATOS'!$D$20="JUNIO",'RESULTADO INDEXADO'!AZ78,IF('INTRODUCIR DATOS'!$D$20="JULIO",'RESULTADO INDEXADO'!BG78,IF('INTRODUCIR DATOS'!$D$20="AGOSTO",'RESULTADO INDEXADO'!BN78,IF('INTRODUCIR DATOS'!$D$20="SEPTIEMBRE",'RESULTADO INDEXADO'!BU78,IF('INTRODUCIR DATOS'!$D$20="OCTUBRE",'RESULTADO INDEXADO'!CB78,IF('INTRODUCIR DATOS'!$D$20="NOVIEMBRE",'RESULTADO INDEXADO'!CI78,IF('INTRODUCIR DATOS'!$D$20="DICIEMBRE",'RESULTADO INDEXADO'!CP78))))))))))))</f>
        <v>0</v>
      </c>
      <c r="H78" s="257" t="b">
        <f>IF('INTRODUCIR DATOS'!$D$20="ENERO",'RESULTADO INDEXADO'!R78,IF('INTRODUCIR DATOS'!$D$20="FEBRERO",'RESULTADO INDEXADO'!Y78,IF('INTRODUCIR DATOS'!$D$20="MARZO",'RESULTADO INDEXADO'!AF78,IF('INTRODUCIR DATOS'!$D$20="ABRIL",'RESULTADO INDEXADO'!AM78,IF('INTRODUCIR DATOS'!$D$20="MAYO",'RESULTADO INDEXADO'!AT78,IF('INTRODUCIR DATOS'!$D$20="JUNIO",'RESULTADO INDEXADO'!BA78,IF('INTRODUCIR DATOS'!$D$20="JULIO",'RESULTADO INDEXADO'!BH78,IF('INTRODUCIR DATOS'!$D$20="AGOSTO",'RESULTADO INDEXADO'!BO78,IF('INTRODUCIR DATOS'!$D$20="SEPTIEMBRE",'RESULTADO INDEXADO'!BV78,IF('INTRODUCIR DATOS'!$D$20="OCTUBRE",'RESULTADO INDEXADO'!CC78,IF('INTRODUCIR DATOS'!$D$20="NOVIEMBRE",'RESULTADO INDEXADO'!CJ78,IF('INTRODUCIR DATOS'!$D$20="DICIEMBRE",'RESULTADO INDEXADO'!CQ78))))))))))))</f>
        <v>0</v>
      </c>
      <c r="I78" s="257" t="b">
        <f>IF('INTRODUCIR DATOS'!$D$20="ENERO",'RESULTADO INDEXADO'!S78,IF('INTRODUCIR DATOS'!$D$20="FEBRERO",'RESULTADO INDEXADO'!Z78,IF('INTRODUCIR DATOS'!$D$20="MARZO",'RESULTADO INDEXADO'!AG78,IF('INTRODUCIR DATOS'!$D$20="ABRIL",'RESULTADO INDEXADO'!AN78,IF('INTRODUCIR DATOS'!$D$20="MAYO",'RESULTADO INDEXADO'!AU78,IF('INTRODUCIR DATOS'!$D$20="JUNIO",'RESULTADO INDEXADO'!BB78,IF('INTRODUCIR DATOS'!$D$20="JULIO",'RESULTADO INDEXADO'!BI78,IF('INTRODUCIR DATOS'!$D$20="AGOSTO",'RESULTADO INDEXADO'!BP78,IF('INTRODUCIR DATOS'!$D$20="SEPTIEMBRE",'RESULTADO INDEXADO'!BW78,IF('INTRODUCIR DATOS'!$D$20="OCTUBRE",'RESULTADO INDEXADO'!CD78,IF('INTRODUCIR DATOS'!$D$20="NOVIEMBRE",'RESULTADO INDEXADO'!CK78,IF('INTRODUCIR DATOS'!$D$20="DICIEMBRE",'RESULTADO INDEXADO'!CR78))))))))))))</f>
        <v>0</v>
      </c>
      <c r="J78" s="296" t="b">
        <f>IF('INTRODUCIR DATOS'!$D$20="ENERO",'RESULTADO INDEXADO'!T78,IF('INTRODUCIR DATOS'!$D$20="FEBRERO",'RESULTADO INDEXADO'!AA78,IF('INTRODUCIR DATOS'!$D$20="MARZO",'RESULTADO INDEXADO'!AH78,IF('INTRODUCIR DATOS'!$D$20="ABRIL",'RESULTADO INDEXADO'!AO78,IF('INTRODUCIR DATOS'!$D$20="MAYO",'RESULTADO INDEXADO'!AV78,IF('INTRODUCIR DATOS'!$D$20="JUNIO",'RESULTADO INDEXADO'!BC78,IF('INTRODUCIR DATOS'!$D$20="JULIO",'RESULTADO INDEXADO'!BJ78,IF('INTRODUCIR DATOS'!$D$20="AGOSTO",'RESULTADO INDEXADO'!BQ78,IF('INTRODUCIR DATOS'!$D$20="SEPTIEMBRE",'RESULTADO INDEXADO'!BX78,IF('INTRODUCIR DATOS'!$D$20="OCTUBRE",'RESULTADO INDEXADO'!CE78,IF('INTRODUCIR DATOS'!$D$20="NOVIEMBRE",'RESULTADO INDEXADO'!CL78,IF('INTRODUCIR DATOS'!$D$20="DICIEMBRE",'RESULTADO INDEXADO'!CS78))))))))))))</f>
        <v>0</v>
      </c>
      <c r="K78" s="41"/>
      <c r="L78" s="40"/>
      <c r="M78" s="145"/>
      <c r="N78" s="275" t="s">
        <v>134</v>
      </c>
      <c r="O78" s="267"/>
      <c r="P78" s="256"/>
      <c r="Q78" s="257"/>
      <c r="R78" s="257"/>
      <c r="S78" s="257"/>
      <c r="T78" s="296"/>
      <c r="U78" s="275" t="s">
        <v>134</v>
      </c>
      <c r="V78" s="267"/>
      <c r="W78" s="256"/>
      <c r="X78" s="257"/>
      <c r="Y78" s="257"/>
      <c r="Z78" s="257"/>
      <c r="AA78" s="296"/>
      <c r="AB78" s="275" t="s">
        <v>134</v>
      </c>
      <c r="AC78" s="267"/>
      <c r="AD78" s="256"/>
      <c r="AE78" s="257"/>
      <c r="AF78" s="257"/>
      <c r="AG78" s="257"/>
      <c r="AH78" s="296"/>
      <c r="AI78" s="275" t="s">
        <v>134</v>
      </c>
      <c r="AJ78" s="267"/>
      <c r="AK78" s="256"/>
      <c r="AL78" s="257"/>
      <c r="AM78" s="257"/>
      <c r="AN78" s="257"/>
      <c r="AO78" s="296"/>
      <c r="AP78" s="275" t="s">
        <v>134</v>
      </c>
      <c r="AQ78" s="267"/>
      <c r="AR78" s="256"/>
      <c r="AS78" s="257"/>
      <c r="AT78" s="257"/>
      <c r="AU78" s="257"/>
      <c r="AV78" s="296"/>
      <c r="AW78" s="275" t="s">
        <v>134</v>
      </c>
      <c r="AX78" s="267"/>
      <c r="AY78" s="256"/>
      <c r="AZ78" s="257"/>
      <c r="BA78" s="257"/>
      <c r="BB78" s="257"/>
      <c r="BC78" s="296"/>
      <c r="BD78" s="275" t="s">
        <v>134</v>
      </c>
      <c r="BE78" s="267"/>
      <c r="BF78" s="256"/>
      <c r="BG78" s="257"/>
      <c r="BH78" s="257"/>
      <c r="BI78" s="257"/>
      <c r="BJ78" s="296"/>
      <c r="BK78" s="275" t="s">
        <v>134</v>
      </c>
      <c r="BL78" s="267"/>
      <c r="BM78" s="256"/>
      <c r="BN78" s="257"/>
      <c r="BO78" s="257"/>
      <c r="BP78" s="257"/>
      <c r="BQ78" s="296"/>
      <c r="BR78" s="275" t="s">
        <v>134</v>
      </c>
      <c r="BS78" s="267"/>
      <c r="BT78" s="256"/>
      <c r="BU78" s="257"/>
      <c r="BV78" s="257"/>
      <c r="BW78" s="257"/>
      <c r="BX78" s="296"/>
      <c r="BY78" s="275" t="s">
        <v>134</v>
      </c>
      <c r="BZ78" s="267"/>
      <c r="CA78" s="256"/>
      <c r="CB78" s="257"/>
      <c r="CC78" s="257"/>
      <c r="CD78" s="257"/>
      <c r="CE78" s="296"/>
      <c r="CF78" s="275" t="s">
        <v>134</v>
      </c>
      <c r="CG78" s="267"/>
      <c r="CH78" s="256"/>
      <c r="CI78" s="257"/>
      <c r="CJ78" s="257"/>
      <c r="CK78" s="257"/>
      <c r="CL78" s="296"/>
      <c r="CM78" s="275" t="s">
        <v>134</v>
      </c>
      <c r="CN78" s="267"/>
      <c r="CO78" s="256"/>
      <c r="CP78" s="257"/>
      <c r="CQ78" s="257"/>
      <c r="CR78" s="257"/>
      <c r="CS78" s="296"/>
    </row>
    <row r="79" spans="1:97">
      <c r="A79" s="41" t="s">
        <v>142</v>
      </c>
      <c r="B79" s="40"/>
      <c r="C79" s="145"/>
      <c r="D79" s="320" t="s">
        <v>136</v>
      </c>
      <c r="E79" s="266" t="b">
        <f>IF('INTRODUCIR DATOS'!$D$20="ENERO",'RESULTADO INDEXADO'!O79,IF('INTRODUCIR DATOS'!$D$20="FEBRERO",'RESULTADO INDEXADO'!V79,IF('INTRODUCIR DATOS'!$D$20="MARZO",'RESULTADO INDEXADO'!AC79,IF('INTRODUCIR DATOS'!$D$20="ABRIL",'RESULTADO INDEXADO'!AJ79,IF('INTRODUCIR DATOS'!$D$20="MAYO",'RESULTADO INDEXADO'!AQ79,IF('INTRODUCIR DATOS'!$D$20="JUNIO",'RESULTADO INDEXADO'!AX79,IF('INTRODUCIR DATOS'!$D$20="JULIO",'RESULTADO INDEXADO'!BE79,IF('INTRODUCIR DATOS'!$D$20="AGOSTO",'RESULTADO INDEXADO'!BL79,IF('INTRODUCIR DATOS'!$D$20="SEPTIEMBRE",'RESULTADO INDEXADO'!BS79,IF('INTRODUCIR DATOS'!$D$20="OCTUBRE",'RESULTADO INDEXADO'!BZ79,IF('INTRODUCIR DATOS'!$D$20="NOVIEMBRE",'RESULTADO INDEXADO'!CG79,IF('INTRODUCIR DATOS'!$D$20="DICIEMBRE",'RESULTADO INDEXADO'!CN79))))))))))))</f>
        <v>0</v>
      </c>
      <c r="F79" s="253" t="b">
        <f>IF('INTRODUCIR DATOS'!$D$20="ENERO",'RESULTADO INDEXADO'!P79,IF('INTRODUCIR DATOS'!$D$20="FEBRERO",'RESULTADO INDEXADO'!W79,IF('INTRODUCIR DATOS'!$D$20="MARZO",'RESULTADO INDEXADO'!AD79,IF('INTRODUCIR DATOS'!$D$20="ABRIL",'RESULTADO INDEXADO'!AK79,IF('INTRODUCIR DATOS'!$D$20="MAYO",'RESULTADO INDEXADO'!AR79,IF('INTRODUCIR DATOS'!$D$20="JUNIO",'RESULTADO INDEXADO'!AY79,IF('INTRODUCIR DATOS'!$D$20="JULIO",'RESULTADO INDEXADO'!BF79,IF('INTRODUCIR DATOS'!$D$20="AGOSTO",'RESULTADO INDEXADO'!BM79,IF('INTRODUCIR DATOS'!$D$20="SEPTIEMBRE",'RESULTADO INDEXADO'!BT79,IF('INTRODUCIR DATOS'!$D$20="OCTUBRE",'RESULTADO INDEXADO'!CA79,IF('INTRODUCIR DATOS'!$D$20="NOVIEMBRE",'RESULTADO INDEXADO'!CH79,IF('INTRODUCIR DATOS'!$D$20="DICIEMBRE",'RESULTADO INDEXADO'!CO79))))))))))))</f>
        <v>0</v>
      </c>
      <c r="G79" s="253" t="b">
        <f>IF('INTRODUCIR DATOS'!$D$20="ENERO",'RESULTADO INDEXADO'!Q79,IF('INTRODUCIR DATOS'!$D$20="FEBRERO",'RESULTADO INDEXADO'!X79,IF('INTRODUCIR DATOS'!$D$20="MARZO",'RESULTADO INDEXADO'!AE79,IF('INTRODUCIR DATOS'!$D$20="ABRIL",'RESULTADO INDEXADO'!AL79,IF('INTRODUCIR DATOS'!$D$20="MAYO",'RESULTADO INDEXADO'!AS79,IF('INTRODUCIR DATOS'!$D$20="JUNIO",'RESULTADO INDEXADO'!AZ79,IF('INTRODUCIR DATOS'!$D$20="JULIO",'RESULTADO INDEXADO'!BG79,IF('INTRODUCIR DATOS'!$D$20="AGOSTO",'RESULTADO INDEXADO'!BN79,IF('INTRODUCIR DATOS'!$D$20="SEPTIEMBRE",'RESULTADO INDEXADO'!BU79,IF('INTRODUCIR DATOS'!$D$20="OCTUBRE",'RESULTADO INDEXADO'!CB79,IF('INTRODUCIR DATOS'!$D$20="NOVIEMBRE",'RESULTADO INDEXADO'!CI79,IF('INTRODUCIR DATOS'!$D$20="DICIEMBRE",'RESULTADO INDEXADO'!CP79))))))))))))</f>
        <v>0</v>
      </c>
      <c r="H79" s="254" t="b">
        <f>IF('INTRODUCIR DATOS'!$D$20="ENERO",'RESULTADO INDEXADO'!R79,IF('INTRODUCIR DATOS'!$D$20="FEBRERO",'RESULTADO INDEXADO'!Y79,IF('INTRODUCIR DATOS'!$D$20="MARZO",'RESULTADO INDEXADO'!AF79,IF('INTRODUCIR DATOS'!$D$20="ABRIL",'RESULTADO INDEXADO'!AM79,IF('INTRODUCIR DATOS'!$D$20="MAYO",'RESULTADO INDEXADO'!AT79,IF('INTRODUCIR DATOS'!$D$20="JUNIO",'RESULTADO INDEXADO'!BA79,IF('INTRODUCIR DATOS'!$D$20="JULIO",'RESULTADO INDEXADO'!BH79,IF('INTRODUCIR DATOS'!$D$20="AGOSTO",'RESULTADO INDEXADO'!BO79,IF('INTRODUCIR DATOS'!$D$20="SEPTIEMBRE",'RESULTADO INDEXADO'!BV79,IF('INTRODUCIR DATOS'!$D$20="OCTUBRE",'RESULTADO INDEXADO'!CC79,IF('INTRODUCIR DATOS'!$D$20="NOVIEMBRE",'RESULTADO INDEXADO'!CJ79,IF('INTRODUCIR DATOS'!$D$20="DICIEMBRE",'RESULTADO INDEXADO'!CQ79))))))))))))</f>
        <v>0</v>
      </c>
      <c r="I79" s="254" t="b">
        <f>IF('INTRODUCIR DATOS'!$D$20="ENERO",'RESULTADO INDEXADO'!S79,IF('INTRODUCIR DATOS'!$D$20="FEBRERO",'RESULTADO INDEXADO'!Z79,IF('INTRODUCIR DATOS'!$D$20="MARZO",'RESULTADO INDEXADO'!AG79,IF('INTRODUCIR DATOS'!$D$20="ABRIL",'RESULTADO INDEXADO'!AN79,IF('INTRODUCIR DATOS'!$D$20="MAYO",'RESULTADO INDEXADO'!AU79,IF('INTRODUCIR DATOS'!$D$20="JUNIO",'RESULTADO INDEXADO'!BB79,IF('INTRODUCIR DATOS'!$D$20="JULIO",'RESULTADO INDEXADO'!BI79,IF('INTRODUCIR DATOS'!$D$20="AGOSTO",'RESULTADO INDEXADO'!BP79,IF('INTRODUCIR DATOS'!$D$20="SEPTIEMBRE",'RESULTADO INDEXADO'!BW79,IF('INTRODUCIR DATOS'!$D$20="OCTUBRE",'RESULTADO INDEXADO'!CD79,IF('INTRODUCIR DATOS'!$D$20="NOVIEMBRE",'RESULTADO INDEXADO'!CK79,IF('INTRODUCIR DATOS'!$D$20="DICIEMBRE",'RESULTADO INDEXADO'!CR79))))))))))))</f>
        <v>0</v>
      </c>
      <c r="J79" s="295" t="b">
        <f>IF('INTRODUCIR DATOS'!$D$20="ENERO",'RESULTADO INDEXADO'!T79,IF('INTRODUCIR DATOS'!$D$20="FEBRERO",'RESULTADO INDEXADO'!AA79,IF('INTRODUCIR DATOS'!$D$20="MARZO",'RESULTADO INDEXADO'!AH79,IF('INTRODUCIR DATOS'!$D$20="ABRIL",'RESULTADO INDEXADO'!AO79,IF('INTRODUCIR DATOS'!$D$20="MAYO",'RESULTADO INDEXADO'!AV79,IF('INTRODUCIR DATOS'!$D$20="JUNIO",'RESULTADO INDEXADO'!BC79,IF('INTRODUCIR DATOS'!$D$20="JULIO",'RESULTADO INDEXADO'!BJ79,IF('INTRODUCIR DATOS'!$D$20="AGOSTO",'RESULTADO INDEXADO'!BQ79,IF('INTRODUCIR DATOS'!$D$20="SEPTIEMBRE",'RESULTADO INDEXADO'!BX79,IF('INTRODUCIR DATOS'!$D$20="OCTUBRE",'RESULTADO INDEXADO'!CE79,IF('INTRODUCIR DATOS'!$D$20="NOVIEMBRE",'RESULTADO INDEXADO'!CL79,IF('INTRODUCIR DATOS'!$D$20="DICIEMBRE",'RESULTADO INDEXADO'!CS79))))))))))))</f>
        <v>0</v>
      </c>
      <c r="K79" s="290">
        <f>('INTRODUCIR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DATOS'!$D$17)+'INTRODUCIR DATOS'!$D$15+'INTRODUCIR DATOS'!$D$16+IF('INTRODUCIR DATOS'!$D$21=21%,(('INTRODUCIR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DATOS'!$D$17)+'INTRODUCIR DATOS'!$D$16)*21/100,IF('INTRODUCIR DATOS'!$D$21=10%,(('INTRODUCIR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DATOS'!$D$17)+'INTRODUCIR DATOS'!$D$16)*10/100))</f>
        <v>1.0285</v>
      </c>
      <c r="L79" s="292">
        <f>IF(K79=0,"",'INTRODUCIR DATOS'!$D$14-K79)</f>
        <v>113.12150000000001</v>
      </c>
      <c r="M79" s="271">
        <f>IF(K79=0,"",('INTRODUCIR DATOS'!$D$14-K79)/'INTRODUCIR DATOS'!$D$14)</f>
        <v>0.99098992553657472</v>
      </c>
      <c r="N79" s="276" t="s">
        <v>136</v>
      </c>
      <c r="O79" s="268"/>
      <c r="P79" s="262"/>
      <c r="Q79" s="262"/>
      <c r="R79" s="263"/>
      <c r="S79" s="263"/>
      <c r="T79" s="298"/>
      <c r="U79" s="276" t="s">
        <v>136</v>
      </c>
      <c r="V79" s="268"/>
      <c r="W79" s="262"/>
      <c r="X79" s="262"/>
      <c r="Y79" s="263"/>
      <c r="Z79" s="263"/>
      <c r="AA79" s="298"/>
      <c r="AB79" s="276" t="s">
        <v>136</v>
      </c>
      <c r="AC79" s="268"/>
      <c r="AD79" s="262"/>
      <c r="AE79" s="262"/>
      <c r="AF79" s="263"/>
      <c r="AG79" s="263"/>
      <c r="AH79" s="298"/>
      <c r="AI79" s="276" t="s">
        <v>136</v>
      </c>
      <c r="AJ79" s="268"/>
      <c r="AK79" s="262"/>
      <c r="AL79" s="262"/>
      <c r="AM79" s="263"/>
      <c r="AN79" s="263"/>
      <c r="AO79" s="298"/>
      <c r="AP79" s="276" t="s">
        <v>136</v>
      </c>
      <c r="AQ79" s="268"/>
      <c r="AR79" s="262"/>
      <c r="AS79" s="262"/>
      <c r="AT79" s="263"/>
      <c r="AU79" s="263"/>
      <c r="AV79" s="298"/>
      <c r="AW79" s="276" t="s">
        <v>136</v>
      </c>
      <c r="AX79" s="268"/>
      <c r="AY79" s="262"/>
      <c r="AZ79" s="262"/>
      <c r="BA79" s="263"/>
      <c r="BB79" s="263"/>
      <c r="BC79" s="298"/>
      <c r="BD79" s="276" t="s">
        <v>136</v>
      </c>
      <c r="BE79" s="268"/>
      <c r="BF79" s="262"/>
      <c r="BG79" s="262"/>
      <c r="BH79" s="263"/>
      <c r="BI79" s="263"/>
      <c r="BJ79" s="298"/>
      <c r="BK79" s="276" t="s">
        <v>136</v>
      </c>
      <c r="BL79" s="268"/>
      <c r="BM79" s="262"/>
      <c r="BN79" s="262"/>
      <c r="BO79" s="263"/>
      <c r="BP79" s="263"/>
      <c r="BQ79" s="298"/>
      <c r="BR79" s="276" t="s">
        <v>136</v>
      </c>
      <c r="BS79" s="268"/>
      <c r="BT79" s="262"/>
      <c r="BU79" s="262"/>
      <c r="BV79" s="263"/>
      <c r="BW79" s="263"/>
      <c r="BX79" s="298"/>
      <c r="BY79" s="276" t="s">
        <v>136</v>
      </c>
      <c r="BZ79" s="268"/>
      <c r="CA79" s="262"/>
      <c r="CB79" s="262"/>
      <c r="CC79" s="263"/>
      <c r="CD79" s="263"/>
      <c r="CE79" s="298"/>
      <c r="CF79" s="276" t="s">
        <v>136</v>
      </c>
      <c r="CG79" s="268"/>
      <c r="CH79" s="262"/>
      <c r="CI79" s="262"/>
      <c r="CJ79" s="263"/>
      <c r="CK79" s="263"/>
      <c r="CL79" s="298"/>
      <c r="CM79" s="276" t="s">
        <v>136</v>
      </c>
      <c r="CN79" s="268"/>
      <c r="CO79" s="262"/>
      <c r="CP79" s="262"/>
      <c r="CQ79" s="263"/>
      <c r="CR79" s="263"/>
      <c r="CS79" s="298"/>
    </row>
    <row r="80" spans="1:97">
      <c r="A80" s="41" t="s">
        <v>142</v>
      </c>
      <c r="B80" s="40"/>
      <c r="C80" s="145"/>
      <c r="D80" s="311" t="s">
        <v>134</v>
      </c>
      <c r="E80" s="267" t="b">
        <f>IF('INTRODUCIR DATOS'!$D$20="ENERO",'RESULTADO INDEXADO'!O80,IF('INTRODUCIR DATOS'!$D$20="FEBRERO",'RESULTADO INDEXADO'!V80,IF('INTRODUCIR DATOS'!$D$20="MARZO",'RESULTADO INDEXADO'!AC80,IF('INTRODUCIR DATOS'!$D$20="ABRIL",'RESULTADO INDEXADO'!AJ80,IF('INTRODUCIR DATOS'!$D$20="MAYO",'RESULTADO INDEXADO'!AQ80,IF('INTRODUCIR DATOS'!$D$20="JUNIO",'RESULTADO INDEXADO'!AX80,IF('INTRODUCIR DATOS'!$D$20="JULIO",'RESULTADO INDEXADO'!BE80,IF('INTRODUCIR DATOS'!$D$20="AGOSTO",'RESULTADO INDEXADO'!BL80,IF('INTRODUCIR DATOS'!$D$20="SEPTIEMBRE",'RESULTADO INDEXADO'!BS80,IF('INTRODUCIR DATOS'!$D$20="OCTUBRE",'RESULTADO INDEXADO'!BZ80,IF('INTRODUCIR DATOS'!$D$20="NOVIEMBRE",'RESULTADO INDEXADO'!CG80,IF('INTRODUCIR DATOS'!$D$20="DICIEMBRE",'RESULTADO INDEXADO'!CN80))))))))))))</f>
        <v>0</v>
      </c>
      <c r="F80" s="256" t="b">
        <f>IF('INTRODUCIR DATOS'!$D$20="ENERO",'RESULTADO INDEXADO'!P80,IF('INTRODUCIR DATOS'!$D$20="FEBRERO",'RESULTADO INDEXADO'!W80,IF('INTRODUCIR DATOS'!$D$20="MARZO",'RESULTADO INDEXADO'!AD80,IF('INTRODUCIR DATOS'!$D$20="ABRIL",'RESULTADO INDEXADO'!AK80,IF('INTRODUCIR DATOS'!$D$20="MAYO",'RESULTADO INDEXADO'!AR80,IF('INTRODUCIR DATOS'!$D$20="JUNIO",'RESULTADO INDEXADO'!AY80,IF('INTRODUCIR DATOS'!$D$20="JULIO",'RESULTADO INDEXADO'!BF80,IF('INTRODUCIR DATOS'!$D$20="AGOSTO",'RESULTADO INDEXADO'!BM80,IF('INTRODUCIR DATOS'!$D$20="SEPTIEMBRE",'RESULTADO INDEXADO'!BT80,IF('INTRODUCIR DATOS'!$D$20="OCTUBRE",'RESULTADO INDEXADO'!CA80,IF('INTRODUCIR DATOS'!$D$20="NOVIEMBRE",'RESULTADO INDEXADO'!CH80,IF('INTRODUCIR DATOS'!$D$20="DICIEMBRE",'RESULTADO INDEXADO'!CO80))))))))))))</f>
        <v>0</v>
      </c>
      <c r="G80" s="257" t="b">
        <f>IF('INTRODUCIR DATOS'!$D$20="ENERO",'RESULTADO INDEXADO'!Q80,IF('INTRODUCIR DATOS'!$D$20="FEBRERO",'RESULTADO INDEXADO'!X80,IF('INTRODUCIR DATOS'!$D$20="MARZO",'RESULTADO INDEXADO'!AE80,IF('INTRODUCIR DATOS'!$D$20="ABRIL",'RESULTADO INDEXADO'!AL80,IF('INTRODUCIR DATOS'!$D$20="MAYO",'RESULTADO INDEXADO'!AS80,IF('INTRODUCIR DATOS'!$D$20="JUNIO",'RESULTADO INDEXADO'!AZ80,IF('INTRODUCIR DATOS'!$D$20="JULIO",'RESULTADO INDEXADO'!BG80,IF('INTRODUCIR DATOS'!$D$20="AGOSTO",'RESULTADO INDEXADO'!BN80,IF('INTRODUCIR DATOS'!$D$20="SEPTIEMBRE",'RESULTADO INDEXADO'!BU80,IF('INTRODUCIR DATOS'!$D$20="OCTUBRE",'RESULTADO INDEXADO'!CB80,IF('INTRODUCIR DATOS'!$D$20="NOVIEMBRE",'RESULTADO INDEXADO'!CI80,IF('INTRODUCIR DATOS'!$D$20="DICIEMBRE",'RESULTADO INDEXADO'!CP80))))))))))))</f>
        <v>0</v>
      </c>
      <c r="H80" s="257" t="b">
        <f>IF('INTRODUCIR DATOS'!$D$20="ENERO",'RESULTADO INDEXADO'!R80,IF('INTRODUCIR DATOS'!$D$20="FEBRERO",'RESULTADO INDEXADO'!Y80,IF('INTRODUCIR DATOS'!$D$20="MARZO",'RESULTADO INDEXADO'!AF80,IF('INTRODUCIR DATOS'!$D$20="ABRIL",'RESULTADO INDEXADO'!AM80,IF('INTRODUCIR DATOS'!$D$20="MAYO",'RESULTADO INDEXADO'!AT80,IF('INTRODUCIR DATOS'!$D$20="JUNIO",'RESULTADO INDEXADO'!BA80,IF('INTRODUCIR DATOS'!$D$20="JULIO",'RESULTADO INDEXADO'!BH80,IF('INTRODUCIR DATOS'!$D$20="AGOSTO",'RESULTADO INDEXADO'!BO80,IF('INTRODUCIR DATOS'!$D$20="SEPTIEMBRE",'RESULTADO INDEXADO'!BV80,IF('INTRODUCIR DATOS'!$D$20="OCTUBRE",'RESULTADO INDEXADO'!CC80,IF('INTRODUCIR DATOS'!$D$20="NOVIEMBRE",'RESULTADO INDEXADO'!CJ80,IF('INTRODUCIR DATOS'!$D$20="DICIEMBRE",'RESULTADO INDEXADO'!CQ80))))))))))))</f>
        <v>0</v>
      </c>
      <c r="I80" s="257" t="b">
        <f>IF('INTRODUCIR DATOS'!$D$20="ENERO",'RESULTADO INDEXADO'!S80,IF('INTRODUCIR DATOS'!$D$20="FEBRERO",'RESULTADO INDEXADO'!Z80,IF('INTRODUCIR DATOS'!$D$20="MARZO",'RESULTADO INDEXADO'!AG80,IF('INTRODUCIR DATOS'!$D$20="ABRIL",'RESULTADO INDEXADO'!AN80,IF('INTRODUCIR DATOS'!$D$20="MAYO",'RESULTADO INDEXADO'!AU80,IF('INTRODUCIR DATOS'!$D$20="JUNIO",'RESULTADO INDEXADO'!BB80,IF('INTRODUCIR DATOS'!$D$20="JULIO",'RESULTADO INDEXADO'!BI80,IF('INTRODUCIR DATOS'!$D$20="AGOSTO",'RESULTADO INDEXADO'!BP80,IF('INTRODUCIR DATOS'!$D$20="SEPTIEMBRE",'RESULTADO INDEXADO'!BW80,IF('INTRODUCIR DATOS'!$D$20="OCTUBRE",'RESULTADO INDEXADO'!CD80,IF('INTRODUCIR DATOS'!$D$20="NOVIEMBRE",'RESULTADO INDEXADO'!CK80,IF('INTRODUCIR DATOS'!$D$20="DICIEMBRE",'RESULTADO INDEXADO'!CR80))))))))))))</f>
        <v>0</v>
      </c>
      <c r="J80" s="296" t="b">
        <f>IF('INTRODUCIR DATOS'!$D$20="ENERO",'RESULTADO INDEXADO'!T80,IF('INTRODUCIR DATOS'!$D$20="FEBRERO",'RESULTADO INDEXADO'!AA80,IF('INTRODUCIR DATOS'!$D$20="MARZO",'RESULTADO INDEXADO'!AH80,IF('INTRODUCIR DATOS'!$D$20="ABRIL",'RESULTADO INDEXADO'!AO80,IF('INTRODUCIR DATOS'!$D$20="MAYO",'RESULTADO INDEXADO'!AV80,IF('INTRODUCIR DATOS'!$D$20="JUNIO",'RESULTADO INDEXADO'!BC80,IF('INTRODUCIR DATOS'!$D$20="JULIO",'RESULTADO INDEXADO'!BJ80,IF('INTRODUCIR DATOS'!$D$20="AGOSTO",'RESULTADO INDEXADO'!BQ80,IF('INTRODUCIR DATOS'!$D$20="SEPTIEMBRE",'RESULTADO INDEXADO'!BX80,IF('INTRODUCIR DATOS'!$D$20="OCTUBRE",'RESULTADO INDEXADO'!CE80,IF('INTRODUCIR DATOS'!$D$20="NOVIEMBRE",'RESULTADO INDEXADO'!CL80,IF('INTRODUCIR DATOS'!$D$20="DICIEMBRE",'RESULTADO INDEXADO'!CS80))))))))))))</f>
        <v>0</v>
      </c>
      <c r="K80" s="41"/>
      <c r="L80" s="40"/>
      <c r="M80" s="145"/>
      <c r="N80" s="275" t="s">
        <v>134</v>
      </c>
      <c r="O80" s="267"/>
      <c r="P80" s="256"/>
      <c r="Q80" s="257"/>
      <c r="R80" s="257"/>
      <c r="S80" s="257"/>
      <c r="T80" s="296"/>
      <c r="U80" s="275" t="s">
        <v>134</v>
      </c>
      <c r="V80" s="267"/>
      <c r="W80" s="256"/>
      <c r="X80" s="257"/>
      <c r="Y80" s="257"/>
      <c r="Z80" s="257"/>
      <c r="AA80" s="296"/>
      <c r="AB80" s="275" t="s">
        <v>134</v>
      </c>
      <c r="AC80" s="267"/>
      <c r="AD80" s="256"/>
      <c r="AE80" s="257"/>
      <c r="AF80" s="257"/>
      <c r="AG80" s="257"/>
      <c r="AH80" s="296"/>
      <c r="AI80" s="275" t="s">
        <v>134</v>
      </c>
      <c r="AJ80" s="267"/>
      <c r="AK80" s="256"/>
      <c r="AL80" s="257"/>
      <c r="AM80" s="257"/>
      <c r="AN80" s="257"/>
      <c r="AO80" s="296"/>
      <c r="AP80" s="275" t="s">
        <v>134</v>
      </c>
      <c r="AQ80" s="267"/>
      <c r="AR80" s="256"/>
      <c r="AS80" s="257"/>
      <c r="AT80" s="257"/>
      <c r="AU80" s="257"/>
      <c r="AV80" s="296"/>
      <c r="AW80" s="275" t="s">
        <v>134</v>
      </c>
      <c r="AX80" s="267"/>
      <c r="AY80" s="256"/>
      <c r="AZ80" s="257"/>
      <c r="BA80" s="257"/>
      <c r="BB80" s="257"/>
      <c r="BC80" s="296"/>
      <c r="BD80" s="275" t="s">
        <v>134</v>
      </c>
      <c r="BE80" s="267"/>
      <c r="BF80" s="256"/>
      <c r="BG80" s="257"/>
      <c r="BH80" s="257"/>
      <c r="BI80" s="257"/>
      <c r="BJ80" s="296"/>
      <c r="BK80" s="275" t="s">
        <v>134</v>
      </c>
      <c r="BL80" s="267"/>
      <c r="BM80" s="256"/>
      <c r="BN80" s="257"/>
      <c r="BO80" s="257"/>
      <c r="BP80" s="257"/>
      <c r="BQ80" s="296"/>
      <c r="BR80" s="275" t="s">
        <v>134</v>
      </c>
      <c r="BS80" s="267"/>
      <c r="BT80" s="256"/>
      <c r="BU80" s="257"/>
      <c r="BV80" s="257"/>
      <c r="BW80" s="257"/>
      <c r="BX80" s="296"/>
      <c r="BY80" s="275" t="s">
        <v>134</v>
      </c>
      <c r="BZ80" s="267"/>
      <c r="CA80" s="256"/>
      <c r="CB80" s="257"/>
      <c r="CC80" s="257"/>
      <c r="CD80" s="257"/>
      <c r="CE80" s="296"/>
      <c r="CF80" s="275" t="s">
        <v>134</v>
      </c>
      <c r="CG80" s="267"/>
      <c r="CH80" s="256"/>
      <c r="CI80" s="257"/>
      <c r="CJ80" s="257"/>
      <c r="CK80" s="257"/>
      <c r="CL80" s="296"/>
      <c r="CM80" s="275" t="s">
        <v>134</v>
      </c>
      <c r="CN80" s="267"/>
      <c r="CO80" s="256"/>
      <c r="CP80" s="257"/>
      <c r="CQ80" s="257"/>
      <c r="CR80" s="257"/>
      <c r="CS80" s="296"/>
    </row>
    <row r="81" spans="1:97" ht="15" thickBot="1">
      <c r="A81" s="42" t="s">
        <v>142</v>
      </c>
      <c r="B81" s="43"/>
      <c r="C81" s="20"/>
      <c r="D81" s="312" t="s">
        <v>136</v>
      </c>
      <c r="E81" s="269" t="b">
        <f>IF('INTRODUCIR DATOS'!$D$20="ENERO",'RESULTADO INDEXADO'!O81,IF('INTRODUCIR DATOS'!$D$20="FEBRERO",'RESULTADO INDEXADO'!V81,IF('INTRODUCIR DATOS'!$D$20="MARZO",'RESULTADO INDEXADO'!AC81,IF('INTRODUCIR DATOS'!$D$20="ABRIL",'RESULTADO INDEXADO'!AJ81,IF('INTRODUCIR DATOS'!$D$20="MAYO",'RESULTADO INDEXADO'!AQ81,IF('INTRODUCIR DATOS'!$D$20="JUNIO",'RESULTADO INDEXADO'!AX81,IF('INTRODUCIR DATOS'!$D$20="JULIO",'RESULTADO INDEXADO'!BE81,IF('INTRODUCIR DATOS'!$D$20="AGOSTO",'RESULTADO INDEXADO'!BL81,IF('INTRODUCIR DATOS'!$D$20="SEPTIEMBRE",'RESULTADO INDEXADO'!BS81,IF('INTRODUCIR DATOS'!$D$20="OCTUBRE",'RESULTADO INDEXADO'!BZ81,IF('INTRODUCIR DATOS'!$D$20="NOVIEMBRE",'RESULTADO INDEXADO'!CG81,IF('INTRODUCIR DATOS'!$D$20="DICIEMBRE",'RESULTADO INDEXADO'!CN81))))))))))))</f>
        <v>0</v>
      </c>
      <c r="F81" s="259" t="b">
        <f>IF('INTRODUCIR DATOS'!$D$20="ENERO",'RESULTADO INDEXADO'!P81,IF('INTRODUCIR DATOS'!$D$20="FEBRERO",'RESULTADO INDEXADO'!W81,IF('INTRODUCIR DATOS'!$D$20="MARZO",'RESULTADO INDEXADO'!AD81,IF('INTRODUCIR DATOS'!$D$20="ABRIL",'RESULTADO INDEXADO'!AK81,IF('INTRODUCIR DATOS'!$D$20="MAYO",'RESULTADO INDEXADO'!AR81,IF('INTRODUCIR DATOS'!$D$20="JUNIO",'RESULTADO INDEXADO'!AY81,IF('INTRODUCIR DATOS'!$D$20="JULIO",'RESULTADO INDEXADO'!BF81,IF('INTRODUCIR DATOS'!$D$20="AGOSTO",'RESULTADO INDEXADO'!BM81,IF('INTRODUCIR DATOS'!$D$20="SEPTIEMBRE",'RESULTADO INDEXADO'!BT81,IF('INTRODUCIR DATOS'!$D$20="OCTUBRE",'RESULTADO INDEXADO'!CA81,IF('INTRODUCIR DATOS'!$D$20="NOVIEMBRE",'RESULTADO INDEXADO'!CH81,IF('INTRODUCIR DATOS'!$D$20="DICIEMBRE",'RESULTADO INDEXADO'!CO81))))))))))))</f>
        <v>0</v>
      </c>
      <c r="G81" s="259" t="b">
        <f>IF('INTRODUCIR DATOS'!$D$20="ENERO",'RESULTADO INDEXADO'!Q81,IF('INTRODUCIR DATOS'!$D$20="FEBRERO",'RESULTADO INDEXADO'!X81,IF('INTRODUCIR DATOS'!$D$20="MARZO",'RESULTADO INDEXADO'!AE81,IF('INTRODUCIR DATOS'!$D$20="ABRIL",'RESULTADO INDEXADO'!AL81,IF('INTRODUCIR DATOS'!$D$20="MAYO",'RESULTADO INDEXADO'!AS81,IF('INTRODUCIR DATOS'!$D$20="JUNIO",'RESULTADO INDEXADO'!AZ81,IF('INTRODUCIR DATOS'!$D$20="JULIO",'RESULTADO INDEXADO'!BG81,IF('INTRODUCIR DATOS'!$D$20="AGOSTO",'RESULTADO INDEXADO'!BN81,IF('INTRODUCIR DATOS'!$D$20="SEPTIEMBRE",'RESULTADO INDEXADO'!BU81,IF('INTRODUCIR DATOS'!$D$20="OCTUBRE",'RESULTADO INDEXADO'!CB81,IF('INTRODUCIR DATOS'!$D$20="NOVIEMBRE",'RESULTADO INDEXADO'!CI81,IF('INTRODUCIR DATOS'!$D$20="DICIEMBRE",'RESULTADO INDEXADO'!CP81))))))))))))</f>
        <v>0</v>
      </c>
      <c r="H81" s="260" t="b">
        <f>IF('INTRODUCIR DATOS'!$D$20="ENERO",'RESULTADO INDEXADO'!R81,IF('INTRODUCIR DATOS'!$D$20="FEBRERO",'RESULTADO INDEXADO'!Y81,IF('INTRODUCIR DATOS'!$D$20="MARZO",'RESULTADO INDEXADO'!AF81,IF('INTRODUCIR DATOS'!$D$20="ABRIL",'RESULTADO INDEXADO'!AM81,IF('INTRODUCIR DATOS'!$D$20="MAYO",'RESULTADO INDEXADO'!AT81,IF('INTRODUCIR DATOS'!$D$20="JUNIO",'RESULTADO INDEXADO'!BA81,IF('INTRODUCIR DATOS'!$D$20="JULIO",'RESULTADO INDEXADO'!BH81,IF('INTRODUCIR DATOS'!$D$20="AGOSTO",'RESULTADO INDEXADO'!BO81,IF('INTRODUCIR DATOS'!$D$20="SEPTIEMBRE",'RESULTADO INDEXADO'!BV81,IF('INTRODUCIR DATOS'!$D$20="OCTUBRE",'RESULTADO INDEXADO'!CC81,IF('INTRODUCIR DATOS'!$D$20="NOVIEMBRE",'RESULTADO INDEXADO'!CJ81,IF('INTRODUCIR DATOS'!$D$20="DICIEMBRE",'RESULTADO INDEXADO'!CQ81))))))))))))</f>
        <v>0</v>
      </c>
      <c r="I81" s="260" t="b">
        <f>IF('INTRODUCIR DATOS'!$D$20="ENERO",'RESULTADO INDEXADO'!S81,IF('INTRODUCIR DATOS'!$D$20="FEBRERO",'RESULTADO INDEXADO'!Z81,IF('INTRODUCIR DATOS'!$D$20="MARZO",'RESULTADO INDEXADO'!AG81,IF('INTRODUCIR DATOS'!$D$20="ABRIL",'RESULTADO INDEXADO'!AN81,IF('INTRODUCIR DATOS'!$D$20="MAYO",'RESULTADO INDEXADO'!AU81,IF('INTRODUCIR DATOS'!$D$20="JUNIO",'RESULTADO INDEXADO'!BB81,IF('INTRODUCIR DATOS'!$D$20="JULIO",'RESULTADO INDEXADO'!BI81,IF('INTRODUCIR DATOS'!$D$20="AGOSTO",'RESULTADO INDEXADO'!BP81,IF('INTRODUCIR DATOS'!$D$20="SEPTIEMBRE",'RESULTADO INDEXADO'!BW81,IF('INTRODUCIR DATOS'!$D$20="OCTUBRE",'RESULTADO INDEXADO'!CD81,IF('INTRODUCIR DATOS'!$D$20="NOVIEMBRE",'RESULTADO INDEXADO'!CK81,IF('INTRODUCIR DATOS'!$D$20="DICIEMBRE",'RESULTADO INDEXADO'!CR81))))))))))))</f>
        <v>0</v>
      </c>
      <c r="J81" s="316" t="b">
        <f>IF('INTRODUCIR DATOS'!$D$20="ENERO",'RESULTADO INDEXADO'!T81,IF('INTRODUCIR DATOS'!$D$20="FEBRERO",'RESULTADO INDEXADO'!AA81,IF('INTRODUCIR DATOS'!$D$20="MARZO",'RESULTADO INDEXADO'!AH81,IF('INTRODUCIR DATOS'!$D$20="ABRIL",'RESULTADO INDEXADO'!AO81,IF('INTRODUCIR DATOS'!$D$20="MAYO",'RESULTADO INDEXADO'!AV81,IF('INTRODUCIR DATOS'!$D$20="JUNIO",'RESULTADO INDEXADO'!BC81,IF('INTRODUCIR DATOS'!$D$20="JULIO",'RESULTADO INDEXADO'!BJ81,IF('INTRODUCIR DATOS'!$D$20="AGOSTO",'RESULTADO INDEXADO'!BQ81,IF('INTRODUCIR DATOS'!$D$20="SEPTIEMBRE",'RESULTADO INDEXADO'!BX81,IF('INTRODUCIR DATOS'!$D$20="OCTUBRE",'RESULTADO INDEXADO'!CE81,IF('INTRODUCIR DATOS'!$D$20="NOVIEMBRE",'RESULTADO INDEXADO'!CL81,IF('INTRODUCIR DATOS'!$D$20="DICIEMBRE",'RESULTADO INDEXADO'!CS81))))))))))))</f>
        <v>0</v>
      </c>
      <c r="K81" s="290">
        <f>('INTRODUCIR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DATOS'!$D$17)+'INTRODUCIR DATOS'!$D$15+'INTRODUCIR DATOS'!$D$16+IF('INTRODUCIR DATOS'!$D$21=21%,(('INTRODUCIR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DATOS'!$D$17)+'INTRODUCIR DATOS'!$D$16)*21/100,IF('INTRODUCIR DATOS'!$D$21=10%,(('INTRODUCIR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DATOS'!$D$17)+'INTRODUCIR DATOS'!$D$16)*10/100))</f>
        <v>1.0285</v>
      </c>
      <c r="L81" s="293">
        <f>IF(K81=0,"",'INTRODUCIR DATOS'!$D$14-K81)</f>
        <v>113.12150000000001</v>
      </c>
      <c r="M81" s="285">
        <f>IF(K81=0,"",('INTRODUCIR DATOS'!$D$14-K81)/'INTRODUCIR DATOS'!$D$14)</f>
        <v>0.99098992553657472</v>
      </c>
      <c r="N81" s="315" t="s">
        <v>136</v>
      </c>
      <c r="O81" s="269"/>
      <c r="P81" s="259"/>
      <c r="Q81" s="259"/>
      <c r="R81" s="260"/>
      <c r="S81" s="260"/>
      <c r="T81" s="316"/>
      <c r="U81" s="315" t="s">
        <v>136</v>
      </c>
      <c r="V81" s="269"/>
      <c r="W81" s="259"/>
      <c r="X81" s="259"/>
      <c r="Y81" s="260"/>
      <c r="Z81" s="260"/>
      <c r="AA81" s="316"/>
      <c r="AB81" s="315" t="s">
        <v>136</v>
      </c>
      <c r="AC81" s="269"/>
      <c r="AD81" s="259"/>
      <c r="AE81" s="259"/>
      <c r="AF81" s="260"/>
      <c r="AG81" s="260"/>
      <c r="AH81" s="316"/>
      <c r="AI81" s="315" t="s">
        <v>136</v>
      </c>
      <c r="AJ81" s="269"/>
      <c r="AK81" s="259"/>
      <c r="AL81" s="259"/>
      <c r="AM81" s="260"/>
      <c r="AN81" s="260"/>
      <c r="AO81" s="316"/>
      <c r="AP81" s="315" t="s">
        <v>136</v>
      </c>
      <c r="AQ81" s="269"/>
      <c r="AR81" s="259"/>
      <c r="AS81" s="259"/>
      <c r="AT81" s="260"/>
      <c r="AU81" s="260"/>
      <c r="AV81" s="316"/>
      <c r="AW81" s="315" t="s">
        <v>136</v>
      </c>
      <c r="AX81" s="269"/>
      <c r="AY81" s="259"/>
      <c r="AZ81" s="259"/>
      <c r="BA81" s="260"/>
      <c r="BB81" s="260"/>
      <c r="BC81" s="316"/>
      <c r="BD81" s="315" t="s">
        <v>136</v>
      </c>
      <c r="BE81" s="269"/>
      <c r="BF81" s="259"/>
      <c r="BG81" s="259"/>
      <c r="BH81" s="260"/>
      <c r="BI81" s="260"/>
      <c r="BJ81" s="316"/>
      <c r="BK81" s="315" t="s">
        <v>136</v>
      </c>
      <c r="BL81" s="269"/>
      <c r="BM81" s="259"/>
      <c r="BN81" s="259"/>
      <c r="BO81" s="260"/>
      <c r="BP81" s="260"/>
      <c r="BQ81" s="316"/>
      <c r="BR81" s="315" t="s">
        <v>136</v>
      </c>
      <c r="BS81" s="269"/>
      <c r="BT81" s="259"/>
      <c r="BU81" s="259"/>
      <c r="BV81" s="260"/>
      <c r="BW81" s="260"/>
      <c r="BX81" s="316"/>
      <c r="BY81" s="315" t="s">
        <v>136</v>
      </c>
      <c r="BZ81" s="269"/>
      <c r="CA81" s="259"/>
      <c r="CB81" s="259"/>
      <c r="CC81" s="260"/>
      <c r="CD81" s="260"/>
      <c r="CE81" s="316"/>
      <c r="CF81" s="315" t="s">
        <v>136</v>
      </c>
      <c r="CG81" s="269"/>
      <c r="CH81" s="259"/>
      <c r="CI81" s="259"/>
      <c r="CJ81" s="260"/>
      <c r="CK81" s="260"/>
      <c r="CL81" s="316"/>
      <c r="CM81" s="315" t="s">
        <v>136</v>
      </c>
      <c r="CN81" s="269"/>
      <c r="CO81" s="259"/>
      <c r="CP81" s="259"/>
      <c r="CQ81" s="260"/>
      <c r="CR81" s="260"/>
      <c r="CS81" s="316"/>
    </row>
  </sheetData>
  <conditionalFormatting sqref="L3 L5 L7 L9 L11 L13 L15 L17 L19 L21 L23 L25 L27 L29 L31 L33 L35 L37 L39 L41 L43 L45 L47 L49 L51 L53 L55 L57 L59 L61 L63 L65 L67 L69 L71 L73 L75 L77 L79 L81">
    <cfRule type="expression" dxfId="495" priority="3">
      <formula>LEFT(#REF!,3)="Fee"</formula>
    </cfRule>
  </conditionalFormatting>
  <conditionalFormatting sqref="M3 M5 M7 M9 M11 M13 M15 M17 M19 M21 M23 M25 M27 M29 M31 M33 M35 M37 M39 M41 M43 M45 M47 M49 M51 M53 M55 M57 M59 M61 M63 M65 M67 M69 M71 M73 M75 M77 M79 M81">
    <cfRule type="expression" dxfId="494" priority="2">
      <formula>LEFT(#REF!,3)&lt;&gt;"Fee"</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5" id="{F4B3DC5A-F942-4E9B-8C85-B78A04F298F1}">
            <xm:f>'G:\Users\GEC\Documents\LUZ\[Copia de 20200615.xlsx]DATOS'!#REF!="NO"</xm:f>
            <x14:dxf>
              <border>
                <left/>
                <right/>
                <top/>
                <bottom/>
                <vertical/>
                <horizontal/>
              </border>
            </x14:dxf>
          </x14:cfRule>
          <xm:sqref>L3 L5 L7 L9 L11 L13 L15 L17 L19 L21 L23 L25 L27 L29 L31 L33 L35 L37 L39 L41 L43 L45 L47 L49 L51 L53 L55 L57 L59 L61 L63 L65 L67 L69 L71 L73 L75 L77 L79 L81</xm:sqref>
        </x14:conditionalFormatting>
        <x14:conditionalFormatting xmlns:xm="http://schemas.microsoft.com/office/excel/2006/main">
          <x14:cfRule type="expression" priority="4" id="{871F7302-5BCE-45F7-9CA7-95494F29411E}">
            <xm:f>OR('G:\Users\GEC\Documents\LUZ\[Copia de 20200615.xlsx]AUX'!#REF!=TRUE,'G:\Users\GEC\Documents\LUZ\[Copia de 20200615.xlsx]AUX'!#REF!=TRUE)</xm:f>
            <x14:dxf>
              <font>
                <color theme="0"/>
              </font>
              <fill>
                <patternFill>
                  <bgColor theme="0"/>
                </patternFill>
              </fill>
              <border>
                <left/>
                <right/>
                <top/>
                <bottom/>
                <vertical/>
                <horizontal/>
              </border>
            </x14:dxf>
          </x14:cfRule>
          <xm:sqref>K3:L3 K5:L5 K7:L7 K9:L9 K11:L11 K13:L13 K15:L15 K17:L17 K19:L19 K21:L21 K23:L23 K25:L25 K27:L27 K29:L29 K31:L31 K33:L33 K35:L35 K37:L37 K39:L39 K41:L41 K43:L43 K45:L45 K47:L47 K49:L49 K51:L51 K53:L53 K55:L55 K57:L57 K59:L59 K61:L61 K63:L63 K65:L65 K67:L67 K69:L69 K71:L71 K73:L73 K75:L75 K77:L77 K79:L79 K81:L81</xm:sqref>
        </x14:conditionalFormatting>
        <x14:conditionalFormatting xmlns:xm="http://schemas.microsoft.com/office/excel/2006/main">
          <x14:cfRule type="expression" priority="1" id="{556F8C9A-2A3A-4F6D-9E5D-8C0B1B4BB597}">
            <xm:f>OR('G:\Users\GEC\Documents\LUZ\[Copia de 20200615.xlsx]AUX'!#REF!=TRUE,'G:\Users\GEC\Documents\LUZ\[Copia de 20200615.xlsx]AUX'!#REF!=TRUE)</xm:f>
            <x14:dxf>
              <font>
                <color theme="0"/>
              </font>
              <fill>
                <patternFill>
                  <bgColor theme="0"/>
                </patternFill>
              </fill>
              <border>
                <left/>
                <right/>
                <top/>
                <bottom/>
                <vertical/>
                <horizontal/>
              </border>
            </x14:dxf>
          </x14:cfRule>
          <xm:sqref>M3 M5 M7 M9 M11 M13 M15 M17 M19 M21 M23 M25 M27 M29 M31 M33 M35 M37 M39 M41 M43 M45 M47 M49 M51 M53 M55 M57 M59 M61 M63 M65 M67 M69 M71 M73 M75 M77 M79 M81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pageSetUpPr fitToPage="1"/>
  </sheetPr>
  <dimension ref="A1:P166"/>
  <sheetViews>
    <sheetView showZeros="0" topLeftCell="A7" zoomScale="85" zoomScaleNormal="85" workbookViewId="0">
      <selection activeCell="D26" sqref="D26"/>
    </sheetView>
  </sheetViews>
  <sheetFormatPr defaultColWidth="11.42578125" defaultRowHeight="14.45"/>
  <cols>
    <col min="1" max="1" width="15.42578125" style="19" customWidth="1"/>
    <col min="2" max="16384" width="11.42578125" style="19"/>
  </cols>
  <sheetData>
    <row r="1" spans="1:13" ht="15" customHeight="1" thickBot="1">
      <c r="A1" s="591" t="s">
        <v>10</v>
      </c>
      <c r="B1" s="600" t="s">
        <v>175</v>
      </c>
      <c r="C1" s="601"/>
      <c r="D1" s="599" t="s">
        <v>176</v>
      </c>
      <c r="E1" s="599"/>
      <c r="F1" s="599"/>
      <c r="G1" s="599"/>
      <c r="H1" s="507"/>
      <c r="I1" s="580" t="s">
        <v>177</v>
      </c>
      <c r="J1" s="599"/>
      <c r="K1" s="599"/>
      <c r="L1" s="599"/>
      <c r="M1" s="507"/>
    </row>
    <row r="2" spans="1:13">
      <c r="A2" s="592"/>
      <c r="B2" s="602"/>
      <c r="C2" s="481"/>
      <c r="D2" s="597" t="s">
        <v>18</v>
      </c>
      <c r="E2" s="574" t="s">
        <v>20</v>
      </c>
      <c r="F2" s="574" t="s">
        <v>24</v>
      </c>
      <c r="G2" s="586" t="s">
        <v>27</v>
      </c>
      <c r="H2" s="586" t="s">
        <v>29</v>
      </c>
      <c r="I2" s="608" t="s">
        <v>18</v>
      </c>
      <c r="J2" s="604" t="s">
        <v>20</v>
      </c>
      <c r="K2" s="604" t="s">
        <v>24</v>
      </c>
      <c r="L2" s="606" t="s">
        <v>27</v>
      </c>
      <c r="M2" s="586" t="s">
        <v>29</v>
      </c>
    </row>
    <row r="3" spans="1:13" ht="15" thickBot="1">
      <c r="A3" s="593"/>
      <c r="B3" s="602"/>
      <c r="C3" s="481"/>
      <c r="D3" s="598"/>
      <c r="E3" s="575"/>
      <c r="F3" s="575"/>
      <c r="G3" s="587"/>
      <c r="H3" s="587"/>
      <c r="I3" s="609"/>
      <c r="J3" s="605"/>
      <c r="K3" s="605"/>
      <c r="L3" s="607"/>
      <c r="M3" s="587"/>
    </row>
    <row r="4" spans="1:13">
      <c r="A4" s="594" t="s">
        <v>178</v>
      </c>
      <c r="B4" s="23" t="s">
        <v>179</v>
      </c>
      <c r="C4" s="22">
        <v>5</v>
      </c>
      <c r="D4" s="127">
        <v>78</v>
      </c>
      <c r="E4" s="112">
        <v>50</v>
      </c>
      <c r="F4" s="112">
        <v>48</v>
      </c>
      <c r="G4" s="112">
        <v>36</v>
      </c>
      <c r="H4" s="113">
        <v>9</v>
      </c>
      <c r="I4" s="111">
        <v>80</v>
      </c>
      <c r="J4" s="112">
        <v>60</v>
      </c>
      <c r="K4" s="112">
        <v>54</v>
      </c>
      <c r="L4" s="112">
        <v>41</v>
      </c>
      <c r="M4" s="113">
        <v>10</v>
      </c>
    </row>
    <row r="5" spans="1:13">
      <c r="A5" s="595"/>
      <c r="B5" s="41">
        <v>5</v>
      </c>
      <c r="C5" s="145">
        <v>10</v>
      </c>
      <c r="D5" s="128">
        <v>135</v>
      </c>
      <c r="E5" s="110">
        <v>90</v>
      </c>
      <c r="F5" s="110">
        <v>89</v>
      </c>
      <c r="G5" s="110">
        <v>68</v>
      </c>
      <c r="H5" s="115">
        <v>17</v>
      </c>
      <c r="I5" s="114">
        <v>140</v>
      </c>
      <c r="J5" s="110">
        <v>120</v>
      </c>
      <c r="K5" s="110">
        <v>98</v>
      </c>
      <c r="L5" s="110">
        <v>74</v>
      </c>
      <c r="M5" s="115">
        <v>19</v>
      </c>
    </row>
    <row r="6" spans="1:13">
      <c r="A6" s="595"/>
      <c r="B6" s="41">
        <v>10</v>
      </c>
      <c r="C6" s="145">
        <v>20</v>
      </c>
      <c r="D6" s="128">
        <v>188</v>
      </c>
      <c r="E6" s="110">
        <v>125</v>
      </c>
      <c r="F6" s="110">
        <v>119</v>
      </c>
      <c r="G6" s="110">
        <v>90</v>
      </c>
      <c r="H6" s="115">
        <v>23</v>
      </c>
      <c r="I6" s="114">
        <v>192</v>
      </c>
      <c r="J6" s="110">
        <v>155</v>
      </c>
      <c r="K6" s="110">
        <v>137</v>
      </c>
      <c r="L6" s="110">
        <v>103</v>
      </c>
      <c r="M6" s="115">
        <v>26</v>
      </c>
    </row>
    <row r="7" spans="1:13">
      <c r="A7" s="595"/>
      <c r="B7" s="41">
        <v>20</v>
      </c>
      <c r="C7" s="145">
        <v>35</v>
      </c>
      <c r="D7" s="128">
        <v>550</v>
      </c>
      <c r="E7" s="110">
        <v>300</v>
      </c>
      <c r="F7" s="110">
        <v>292</v>
      </c>
      <c r="G7" s="110">
        <v>221</v>
      </c>
      <c r="H7" s="115">
        <v>55</v>
      </c>
      <c r="I7" s="114">
        <v>559</v>
      </c>
      <c r="J7" s="110">
        <v>360</v>
      </c>
      <c r="K7" s="110">
        <v>328</v>
      </c>
      <c r="L7" s="110">
        <v>246</v>
      </c>
      <c r="M7" s="115">
        <v>62</v>
      </c>
    </row>
    <row r="8" spans="1:13" ht="15" thickBot="1">
      <c r="A8" s="596"/>
      <c r="B8" s="146">
        <v>35</v>
      </c>
      <c r="C8" s="147">
        <v>50</v>
      </c>
      <c r="D8" s="129">
        <v>630</v>
      </c>
      <c r="E8" s="117">
        <v>370</v>
      </c>
      <c r="F8" s="117">
        <v>362</v>
      </c>
      <c r="G8" s="117">
        <v>275</v>
      </c>
      <c r="H8" s="118">
        <v>69</v>
      </c>
      <c r="I8" s="116">
        <v>650</v>
      </c>
      <c r="J8" s="117">
        <v>500</v>
      </c>
      <c r="K8" s="117">
        <v>403</v>
      </c>
      <c r="L8" s="117">
        <v>302</v>
      </c>
      <c r="M8" s="118">
        <v>76</v>
      </c>
    </row>
    <row r="9" spans="1:13">
      <c r="A9" s="603" t="s">
        <v>178</v>
      </c>
      <c r="B9" s="23" t="s">
        <v>179</v>
      </c>
      <c r="C9" s="22">
        <v>5</v>
      </c>
      <c r="D9" s="127">
        <v>143</v>
      </c>
      <c r="E9" s="112">
        <v>95</v>
      </c>
      <c r="F9" s="112">
        <v>92</v>
      </c>
      <c r="G9" s="112">
        <v>70</v>
      </c>
      <c r="H9" s="113">
        <v>25</v>
      </c>
      <c r="I9" s="111">
        <v>144</v>
      </c>
      <c r="J9" s="112">
        <v>108</v>
      </c>
      <c r="K9" s="112">
        <v>106</v>
      </c>
      <c r="L9" s="112">
        <v>80</v>
      </c>
      <c r="M9" s="113">
        <v>28</v>
      </c>
    </row>
    <row r="10" spans="1:13">
      <c r="A10" s="595"/>
      <c r="B10" s="41">
        <v>5</v>
      </c>
      <c r="C10" s="145">
        <v>10</v>
      </c>
      <c r="D10" s="128">
        <v>252</v>
      </c>
      <c r="E10" s="110">
        <v>168</v>
      </c>
      <c r="F10" s="110">
        <v>162</v>
      </c>
      <c r="G10" s="110">
        <v>117</v>
      </c>
      <c r="H10" s="115">
        <v>28</v>
      </c>
      <c r="I10" s="114">
        <v>254</v>
      </c>
      <c r="J10" s="110">
        <v>181</v>
      </c>
      <c r="K10" s="110">
        <v>170</v>
      </c>
      <c r="L10" s="110">
        <v>123</v>
      </c>
      <c r="M10" s="115">
        <v>32</v>
      </c>
    </row>
    <row r="11" spans="1:13">
      <c r="A11" s="595"/>
      <c r="B11" s="41">
        <v>10</v>
      </c>
      <c r="C11" s="145">
        <v>20</v>
      </c>
      <c r="D11" s="128">
        <v>372</v>
      </c>
      <c r="E11" s="110">
        <v>248</v>
      </c>
      <c r="F11" s="110">
        <v>232</v>
      </c>
      <c r="G11" s="110">
        <v>173</v>
      </c>
      <c r="H11" s="115">
        <v>40</v>
      </c>
      <c r="I11" s="114">
        <v>375</v>
      </c>
      <c r="J11" s="110">
        <v>268</v>
      </c>
      <c r="K11" s="110">
        <v>243</v>
      </c>
      <c r="L11" s="110">
        <v>182</v>
      </c>
      <c r="M11" s="115">
        <v>43</v>
      </c>
    </row>
    <row r="12" spans="1:13">
      <c r="A12" s="595"/>
      <c r="B12" s="41">
        <v>20</v>
      </c>
      <c r="C12" s="145">
        <v>35</v>
      </c>
      <c r="D12" s="128">
        <v>518</v>
      </c>
      <c r="E12" s="110">
        <v>345</v>
      </c>
      <c r="F12" s="110">
        <v>328</v>
      </c>
      <c r="G12" s="110">
        <v>251</v>
      </c>
      <c r="H12" s="115">
        <v>83</v>
      </c>
      <c r="I12" s="114">
        <v>522</v>
      </c>
      <c r="J12" s="110">
        <v>377</v>
      </c>
      <c r="K12" s="110">
        <v>353</v>
      </c>
      <c r="L12" s="110">
        <v>265</v>
      </c>
      <c r="M12" s="115">
        <v>93</v>
      </c>
    </row>
    <row r="13" spans="1:13">
      <c r="A13" s="595"/>
      <c r="B13" s="41">
        <v>35</v>
      </c>
      <c r="C13" s="145">
        <v>50</v>
      </c>
      <c r="D13" s="144">
        <v>735</v>
      </c>
      <c r="E13" s="120">
        <v>490</v>
      </c>
      <c r="F13" s="120">
        <v>481</v>
      </c>
      <c r="G13" s="120">
        <v>368</v>
      </c>
      <c r="H13" s="121">
        <v>125</v>
      </c>
      <c r="I13" s="119">
        <v>742</v>
      </c>
      <c r="J13" s="120">
        <v>539</v>
      </c>
      <c r="K13" s="120">
        <v>524</v>
      </c>
      <c r="L13" s="120">
        <v>394</v>
      </c>
      <c r="M13" s="121">
        <v>138</v>
      </c>
    </row>
    <row r="14" spans="1:13">
      <c r="A14" s="595"/>
      <c r="B14" s="41">
        <v>50</v>
      </c>
      <c r="C14" s="145">
        <v>75</v>
      </c>
      <c r="D14" s="144">
        <v>966</v>
      </c>
      <c r="E14" s="120">
        <v>644</v>
      </c>
      <c r="F14" s="120">
        <v>580</v>
      </c>
      <c r="G14" s="120">
        <v>444</v>
      </c>
      <c r="H14" s="121">
        <v>150</v>
      </c>
      <c r="I14" s="119">
        <v>976</v>
      </c>
      <c r="J14" s="120">
        <v>712</v>
      </c>
      <c r="K14" s="120">
        <v>629</v>
      </c>
      <c r="L14" s="120">
        <v>471</v>
      </c>
      <c r="M14" s="121">
        <v>165</v>
      </c>
    </row>
    <row r="15" spans="1:13">
      <c r="A15" s="595"/>
      <c r="B15" s="41">
        <v>75</v>
      </c>
      <c r="C15" s="145">
        <v>100</v>
      </c>
      <c r="D15" s="144">
        <v>1290</v>
      </c>
      <c r="E15" s="120">
        <v>860</v>
      </c>
      <c r="F15" s="120">
        <v>703</v>
      </c>
      <c r="G15" s="120">
        <v>527</v>
      </c>
      <c r="H15" s="121">
        <v>185</v>
      </c>
      <c r="I15" s="119">
        <v>1300</v>
      </c>
      <c r="J15" s="120">
        <v>927</v>
      </c>
      <c r="K15" s="120">
        <v>758</v>
      </c>
      <c r="L15" s="120">
        <v>568</v>
      </c>
      <c r="M15" s="121">
        <v>199</v>
      </c>
    </row>
    <row r="16" spans="1:13" ht="15" thickBot="1">
      <c r="A16" s="595"/>
      <c r="B16" s="42">
        <v>100</v>
      </c>
      <c r="C16" s="20">
        <v>150</v>
      </c>
      <c r="D16" s="129">
        <v>1950</v>
      </c>
      <c r="E16" s="117">
        <v>1300</v>
      </c>
      <c r="F16" s="117">
        <v>786</v>
      </c>
      <c r="G16" s="117">
        <v>590</v>
      </c>
      <c r="H16" s="118">
        <v>207</v>
      </c>
      <c r="I16" s="116">
        <v>1965</v>
      </c>
      <c r="J16" s="117">
        <v>1402</v>
      </c>
      <c r="K16" s="117">
        <v>848</v>
      </c>
      <c r="L16" s="117">
        <v>636</v>
      </c>
      <c r="M16" s="118">
        <v>223</v>
      </c>
    </row>
    <row r="17" spans="1:16">
      <c r="A17" s="588" t="s">
        <v>180</v>
      </c>
      <c r="B17" s="148" t="s">
        <v>179</v>
      </c>
      <c r="C17" s="149">
        <v>5</v>
      </c>
      <c r="D17" s="127">
        <v>195</v>
      </c>
      <c r="E17" s="112">
        <v>130</v>
      </c>
      <c r="F17" s="112">
        <v>122</v>
      </c>
      <c r="G17" s="112">
        <v>92</v>
      </c>
      <c r="H17" s="113">
        <v>33</v>
      </c>
      <c r="I17" s="111">
        <v>151</v>
      </c>
      <c r="J17" s="112">
        <v>151</v>
      </c>
      <c r="K17" s="112">
        <v>141</v>
      </c>
      <c r="L17" s="112">
        <v>106</v>
      </c>
      <c r="M17" s="113">
        <v>37</v>
      </c>
    </row>
    <row r="18" spans="1:16">
      <c r="A18" s="589"/>
      <c r="B18" s="41">
        <v>5</v>
      </c>
      <c r="C18" s="145">
        <v>10</v>
      </c>
      <c r="D18" s="128">
        <v>315</v>
      </c>
      <c r="E18" s="110">
        <v>210</v>
      </c>
      <c r="F18" s="110">
        <v>186</v>
      </c>
      <c r="G18" s="110">
        <v>140</v>
      </c>
      <c r="H18" s="115">
        <v>49</v>
      </c>
      <c r="I18" s="114">
        <v>230</v>
      </c>
      <c r="J18" s="110">
        <v>215</v>
      </c>
      <c r="K18" s="110">
        <v>201</v>
      </c>
      <c r="L18" s="110">
        <v>151</v>
      </c>
      <c r="M18" s="115">
        <v>53</v>
      </c>
    </row>
    <row r="19" spans="1:16">
      <c r="A19" s="589"/>
      <c r="B19" s="41">
        <v>10</v>
      </c>
      <c r="C19" s="145">
        <v>20</v>
      </c>
      <c r="D19" s="128">
        <v>353</v>
      </c>
      <c r="E19" s="110">
        <v>235</v>
      </c>
      <c r="F19" s="110">
        <v>223</v>
      </c>
      <c r="G19" s="110">
        <v>167</v>
      </c>
      <c r="H19" s="115">
        <v>59</v>
      </c>
      <c r="I19" s="114">
        <v>354</v>
      </c>
      <c r="J19" s="110">
        <v>243</v>
      </c>
      <c r="K19" s="110">
        <v>241</v>
      </c>
      <c r="L19" s="110">
        <v>180</v>
      </c>
      <c r="M19" s="115">
        <v>63</v>
      </c>
    </row>
    <row r="20" spans="1:16">
      <c r="A20" s="589"/>
      <c r="B20" s="41">
        <v>20</v>
      </c>
      <c r="C20" s="145">
        <v>35</v>
      </c>
      <c r="D20" s="128">
        <v>713</v>
      </c>
      <c r="E20" s="110">
        <v>475</v>
      </c>
      <c r="F20" s="110">
        <v>317</v>
      </c>
      <c r="G20" s="110">
        <v>244</v>
      </c>
      <c r="H20" s="115">
        <v>95</v>
      </c>
      <c r="I20" s="114">
        <v>713</v>
      </c>
      <c r="J20" s="110">
        <v>480</v>
      </c>
      <c r="K20" s="110">
        <v>333</v>
      </c>
      <c r="L20" s="110">
        <v>256</v>
      </c>
      <c r="M20" s="115">
        <v>99</v>
      </c>
    </row>
    <row r="21" spans="1:16">
      <c r="A21" s="589"/>
      <c r="B21" s="41">
        <v>35</v>
      </c>
      <c r="C21" s="145">
        <v>50</v>
      </c>
      <c r="D21" s="128">
        <v>953</v>
      </c>
      <c r="E21" s="110">
        <v>635</v>
      </c>
      <c r="F21" s="110">
        <v>520</v>
      </c>
      <c r="G21" s="110">
        <v>408</v>
      </c>
      <c r="H21" s="115">
        <v>155</v>
      </c>
      <c r="I21" s="114">
        <v>955</v>
      </c>
      <c r="J21" s="110">
        <v>651</v>
      </c>
      <c r="K21" s="110">
        <v>561</v>
      </c>
      <c r="L21" s="110">
        <v>428</v>
      </c>
      <c r="M21" s="115">
        <v>163</v>
      </c>
    </row>
    <row r="22" spans="1:16">
      <c r="A22" s="589"/>
      <c r="B22" s="41">
        <v>50</v>
      </c>
      <c r="C22" s="145">
        <v>75</v>
      </c>
      <c r="D22" s="128">
        <v>1223</v>
      </c>
      <c r="E22" s="110">
        <v>815</v>
      </c>
      <c r="F22" s="110">
        <v>686</v>
      </c>
      <c r="G22" s="110">
        <v>529</v>
      </c>
      <c r="H22" s="115">
        <v>206</v>
      </c>
      <c r="I22" s="114">
        <v>1238</v>
      </c>
      <c r="J22" s="110">
        <v>917</v>
      </c>
      <c r="K22" s="110">
        <v>721</v>
      </c>
      <c r="L22" s="110">
        <v>555</v>
      </c>
      <c r="M22" s="115">
        <v>216</v>
      </c>
    </row>
    <row r="23" spans="1:16">
      <c r="A23" s="589"/>
      <c r="B23" s="41">
        <v>75</v>
      </c>
      <c r="C23" s="145">
        <v>100</v>
      </c>
      <c r="D23" s="128">
        <v>1695</v>
      </c>
      <c r="E23" s="110">
        <v>1130</v>
      </c>
      <c r="F23" s="110">
        <v>806</v>
      </c>
      <c r="G23" s="110">
        <v>620</v>
      </c>
      <c r="H23" s="115">
        <v>239</v>
      </c>
      <c r="I23" s="114">
        <v>1704</v>
      </c>
      <c r="J23" s="110">
        <v>1187</v>
      </c>
      <c r="K23" s="110">
        <v>847</v>
      </c>
      <c r="L23" s="110">
        <v>651</v>
      </c>
      <c r="M23" s="115">
        <v>250</v>
      </c>
    </row>
    <row r="24" spans="1:16">
      <c r="A24" s="589"/>
      <c r="B24" s="41">
        <v>100</v>
      </c>
      <c r="C24" s="145">
        <v>150</v>
      </c>
      <c r="D24" s="128">
        <v>1845</v>
      </c>
      <c r="E24" s="110">
        <v>1230</v>
      </c>
      <c r="F24" s="110">
        <v>898</v>
      </c>
      <c r="G24" s="110">
        <v>693</v>
      </c>
      <c r="H24" s="115">
        <v>273</v>
      </c>
      <c r="I24" s="114">
        <v>1854</v>
      </c>
      <c r="J24" s="110">
        <v>1292</v>
      </c>
      <c r="K24" s="110">
        <v>942</v>
      </c>
      <c r="L24" s="110">
        <v>728</v>
      </c>
      <c r="M24" s="115">
        <v>286</v>
      </c>
    </row>
    <row r="25" spans="1:16">
      <c r="A25" s="589"/>
      <c r="B25" s="41">
        <v>150</v>
      </c>
      <c r="C25" s="145">
        <v>200</v>
      </c>
      <c r="D25" s="128">
        <v>2010</v>
      </c>
      <c r="E25" s="110">
        <v>1340</v>
      </c>
      <c r="F25" s="110">
        <v>1068</v>
      </c>
      <c r="G25" s="110">
        <v>831</v>
      </c>
      <c r="H25" s="115">
        <v>336</v>
      </c>
      <c r="I25" s="114">
        <v>2020</v>
      </c>
      <c r="J25" s="110">
        <v>1407</v>
      </c>
      <c r="K25" s="110">
        <v>1121</v>
      </c>
      <c r="L25" s="110">
        <v>873</v>
      </c>
      <c r="M25" s="115">
        <v>352</v>
      </c>
    </row>
    <row r="26" spans="1:16">
      <c r="A26" s="589"/>
      <c r="B26" s="41">
        <v>200</v>
      </c>
      <c r="C26" s="145">
        <v>300</v>
      </c>
      <c r="D26" s="128">
        <v>2435</v>
      </c>
      <c r="E26" s="110">
        <v>1423</v>
      </c>
      <c r="F26" s="110">
        <v>1168</v>
      </c>
      <c r="G26" s="110">
        <v>876</v>
      </c>
      <c r="H26" s="115">
        <v>354</v>
      </c>
      <c r="I26" s="114">
        <v>2450</v>
      </c>
      <c r="J26" s="110">
        <v>1524</v>
      </c>
      <c r="K26" s="110">
        <v>1259</v>
      </c>
      <c r="L26" s="110">
        <v>945</v>
      </c>
      <c r="M26" s="115">
        <v>379</v>
      </c>
    </row>
    <row r="27" spans="1:16">
      <c r="A27" s="589"/>
      <c r="B27" s="41">
        <v>300</v>
      </c>
      <c r="C27" s="145">
        <v>500</v>
      </c>
      <c r="D27" s="128">
        <v>2813</v>
      </c>
      <c r="E27" s="110">
        <v>1682</v>
      </c>
      <c r="F27" s="110">
        <v>1582</v>
      </c>
      <c r="G27" s="110">
        <v>1186</v>
      </c>
      <c r="H27" s="115">
        <v>415</v>
      </c>
      <c r="I27" s="114">
        <v>2835</v>
      </c>
      <c r="J27" s="110">
        <v>1824</v>
      </c>
      <c r="K27" s="110">
        <v>1706</v>
      </c>
      <c r="L27" s="110">
        <v>1279</v>
      </c>
      <c r="M27" s="115">
        <v>448</v>
      </c>
    </row>
    <row r="28" spans="1:16">
      <c r="A28" s="589"/>
      <c r="B28" s="41">
        <v>500</v>
      </c>
      <c r="C28" s="145">
        <v>750</v>
      </c>
      <c r="D28" s="128">
        <v>3525</v>
      </c>
      <c r="E28" s="110">
        <v>2350</v>
      </c>
      <c r="F28" s="110">
        <v>2209</v>
      </c>
      <c r="G28" s="110">
        <v>1657</v>
      </c>
      <c r="H28" s="115">
        <v>580</v>
      </c>
      <c r="I28" s="114">
        <v>3553</v>
      </c>
      <c r="J28" s="110">
        <v>2538</v>
      </c>
      <c r="K28" s="110">
        <v>2382</v>
      </c>
      <c r="L28" s="110">
        <v>1787</v>
      </c>
      <c r="M28" s="115">
        <v>625</v>
      </c>
    </row>
    <row r="29" spans="1:16">
      <c r="A29" s="589"/>
      <c r="B29" s="41">
        <v>750</v>
      </c>
      <c r="C29" s="145">
        <v>1250</v>
      </c>
      <c r="D29" s="128">
        <v>4094</v>
      </c>
      <c r="E29" s="110">
        <v>3093</v>
      </c>
      <c r="F29" s="110">
        <v>2908</v>
      </c>
      <c r="G29" s="110">
        <v>2181</v>
      </c>
      <c r="H29" s="115">
        <v>763</v>
      </c>
      <c r="I29" s="114">
        <v>4131</v>
      </c>
      <c r="J29" s="110">
        <v>3340</v>
      </c>
      <c r="K29" s="110">
        <v>3136</v>
      </c>
      <c r="L29" s="110">
        <v>2352</v>
      </c>
      <c r="M29" s="115">
        <v>823</v>
      </c>
    </row>
    <row r="30" spans="1:16" ht="15" thickBot="1">
      <c r="A30" s="590"/>
      <c r="B30" s="146">
        <v>1250</v>
      </c>
      <c r="C30" s="147">
        <v>2500</v>
      </c>
      <c r="D30" s="144">
        <v>5216</v>
      </c>
      <c r="E30" s="120">
        <v>4716</v>
      </c>
      <c r="F30" s="120">
        <v>4434</v>
      </c>
      <c r="G30" s="120">
        <v>3326</v>
      </c>
      <c r="H30" s="121">
        <v>1164</v>
      </c>
      <c r="I30" s="119">
        <v>5273</v>
      </c>
      <c r="J30" s="120">
        <v>5093</v>
      </c>
      <c r="K30" s="120">
        <v>4782</v>
      </c>
      <c r="L30" s="120">
        <v>3587</v>
      </c>
      <c r="M30" s="121">
        <v>1255</v>
      </c>
    </row>
    <row r="31" spans="1:16">
      <c r="A31" s="588" t="s">
        <v>181</v>
      </c>
      <c r="B31" s="23" t="s">
        <v>179</v>
      </c>
      <c r="C31" s="22">
        <v>5</v>
      </c>
      <c r="D31" s="127"/>
      <c r="E31" s="112">
        <v>130</v>
      </c>
      <c r="F31" s="112">
        <v>122</v>
      </c>
      <c r="G31" s="112">
        <v>92</v>
      </c>
      <c r="H31" s="113">
        <v>33</v>
      </c>
      <c r="I31" s="127"/>
      <c r="J31" s="112">
        <v>151</v>
      </c>
      <c r="K31" s="112">
        <v>141</v>
      </c>
      <c r="L31" s="112">
        <v>106</v>
      </c>
      <c r="M31" s="113">
        <v>37</v>
      </c>
      <c r="P31" s="122"/>
    </row>
    <row r="32" spans="1:16">
      <c r="A32" s="589"/>
      <c r="B32" s="41">
        <v>5</v>
      </c>
      <c r="C32" s="145">
        <v>10</v>
      </c>
      <c r="D32" s="128"/>
      <c r="E32" s="110">
        <v>210</v>
      </c>
      <c r="F32" s="110">
        <v>186</v>
      </c>
      <c r="G32" s="110">
        <v>140</v>
      </c>
      <c r="H32" s="115">
        <v>49</v>
      </c>
      <c r="I32" s="128"/>
      <c r="J32" s="110">
        <v>215</v>
      </c>
      <c r="K32" s="110">
        <v>201</v>
      </c>
      <c r="L32" s="110">
        <v>151</v>
      </c>
      <c r="M32" s="115">
        <v>53</v>
      </c>
      <c r="P32" s="122"/>
    </row>
    <row r="33" spans="1:16">
      <c r="A33" s="589"/>
      <c r="B33" s="41">
        <v>10</v>
      </c>
      <c r="C33" s="145">
        <v>20</v>
      </c>
      <c r="D33" s="128"/>
      <c r="E33" s="110">
        <v>235</v>
      </c>
      <c r="F33" s="110">
        <v>223</v>
      </c>
      <c r="G33" s="110">
        <v>167</v>
      </c>
      <c r="H33" s="115">
        <v>59</v>
      </c>
      <c r="I33" s="128"/>
      <c r="J33" s="110">
        <v>243</v>
      </c>
      <c r="K33" s="110">
        <v>241</v>
      </c>
      <c r="L33" s="110">
        <v>180</v>
      </c>
      <c r="M33" s="115">
        <v>63</v>
      </c>
      <c r="O33" s="122"/>
      <c r="P33" s="122"/>
    </row>
    <row r="34" spans="1:16">
      <c r="A34" s="589"/>
      <c r="B34" s="41">
        <v>20</v>
      </c>
      <c r="C34" s="145">
        <v>35</v>
      </c>
      <c r="D34" s="128"/>
      <c r="E34" s="110">
        <v>475</v>
      </c>
      <c r="F34" s="110">
        <v>317</v>
      </c>
      <c r="G34" s="110">
        <v>244</v>
      </c>
      <c r="H34" s="115">
        <v>95</v>
      </c>
      <c r="I34" s="128"/>
      <c r="J34" s="110">
        <v>480</v>
      </c>
      <c r="K34" s="110">
        <v>333</v>
      </c>
      <c r="L34" s="110">
        <v>256</v>
      </c>
      <c r="M34" s="115">
        <v>99</v>
      </c>
      <c r="O34" s="122"/>
      <c r="P34" s="122"/>
    </row>
    <row r="35" spans="1:16">
      <c r="A35" s="589"/>
      <c r="B35" s="41">
        <v>35</v>
      </c>
      <c r="C35" s="145">
        <v>50</v>
      </c>
      <c r="D35" s="128"/>
      <c r="E35" s="110">
        <v>635</v>
      </c>
      <c r="F35" s="110">
        <v>534</v>
      </c>
      <c r="G35" s="110">
        <v>408</v>
      </c>
      <c r="H35" s="115">
        <v>155</v>
      </c>
      <c r="I35" s="128"/>
      <c r="J35" s="110">
        <v>651</v>
      </c>
      <c r="K35" s="110">
        <v>561</v>
      </c>
      <c r="L35" s="110">
        <v>428</v>
      </c>
      <c r="M35" s="115">
        <v>163</v>
      </c>
      <c r="O35" s="122"/>
      <c r="P35" s="122"/>
    </row>
    <row r="36" spans="1:16">
      <c r="A36" s="589"/>
      <c r="B36" s="41">
        <v>50</v>
      </c>
      <c r="C36" s="145">
        <v>75</v>
      </c>
      <c r="D36" s="128"/>
      <c r="E36" s="110">
        <v>815</v>
      </c>
      <c r="F36" s="110">
        <v>686</v>
      </c>
      <c r="G36" s="110">
        <v>529</v>
      </c>
      <c r="H36" s="115">
        <v>206</v>
      </c>
      <c r="I36" s="128"/>
      <c r="J36" s="110">
        <v>917</v>
      </c>
      <c r="K36" s="110">
        <v>721</v>
      </c>
      <c r="L36" s="110">
        <v>555</v>
      </c>
      <c r="M36" s="115">
        <v>216</v>
      </c>
      <c r="O36" s="122"/>
      <c r="P36" s="122"/>
    </row>
    <row r="37" spans="1:16">
      <c r="A37" s="589"/>
      <c r="B37" s="41">
        <v>75</v>
      </c>
      <c r="C37" s="145">
        <v>100</v>
      </c>
      <c r="D37" s="128"/>
      <c r="E37" s="110">
        <v>1130</v>
      </c>
      <c r="F37" s="110">
        <v>806</v>
      </c>
      <c r="G37" s="110">
        <v>620</v>
      </c>
      <c r="H37" s="115">
        <v>239</v>
      </c>
      <c r="I37" s="128"/>
      <c r="J37" s="110">
        <v>1187</v>
      </c>
      <c r="K37" s="110">
        <v>847</v>
      </c>
      <c r="L37" s="110">
        <v>651</v>
      </c>
      <c r="M37" s="115">
        <v>250</v>
      </c>
      <c r="O37" s="122"/>
      <c r="P37" s="122"/>
    </row>
    <row r="38" spans="1:16">
      <c r="A38" s="589"/>
      <c r="B38" s="41">
        <v>100</v>
      </c>
      <c r="C38" s="145">
        <v>150</v>
      </c>
      <c r="D38" s="128"/>
      <c r="E38" s="110">
        <v>1230</v>
      </c>
      <c r="F38" s="110">
        <v>898</v>
      </c>
      <c r="G38" s="110">
        <v>693</v>
      </c>
      <c r="H38" s="115">
        <v>273</v>
      </c>
      <c r="I38" s="128"/>
      <c r="J38" s="110">
        <v>1292</v>
      </c>
      <c r="K38" s="110">
        <v>942</v>
      </c>
      <c r="L38" s="110">
        <v>728</v>
      </c>
      <c r="M38" s="115">
        <v>286</v>
      </c>
      <c r="O38" s="122"/>
      <c r="P38" s="122"/>
    </row>
    <row r="39" spans="1:16">
      <c r="A39" s="589"/>
      <c r="B39" s="41">
        <v>150</v>
      </c>
      <c r="C39" s="145">
        <v>200</v>
      </c>
      <c r="D39" s="128"/>
      <c r="E39" s="110">
        <v>1340</v>
      </c>
      <c r="F39" s="110">
        <v>1068</v>
      </c>
      <c r="G39" s="110">
        <v>831</v>
      </c>
      <c r="H39" s="115">
        <v>336</v>
      </c>
      <c r="I39" s="128"/>
      <c r="J39" s="110">
        <v>1407</v>
      </c>
      <c r="K39" s="110">
        <v>1121</v>
      </c>
      <c r="L39" s="110">
        <v>873</v>
      </c>
      <c r="M39" s="115">
        <v>352</v>
      </c>
      <c r="O39" s="122"/>
      <c r="P39" s="123"/>
    </row>
    <row r="40" spans="1:16">
      <c r="A40" s="589"/>
      <c r="B40" s="41">
        <v>200</v>
      </c>
      <c r="C40" s="145">
        <v>300</v>
      </c>
      <c r="D40" s="128"/>
      <c r="E40" s="110">
        <v>1423</v>
      </c>
      <c r="F40" s="110">
        <v>1168</v>
      </c>
      <c r="G40" s="110">
        <v>876</v>
      </c>
      <c r="H40" s="115">
        <v>354</v>
      </c>
      <c r="I40" s="128"/>
      <c r="J40" s="110">
        <v>1524</v>
      </c>
      <c r="K40" s="110">
        <v>1259</v>
      </c>
      <c r="L40" s="110">
        <v>945</v>
      </c>
      <c r="M40" s="115">
        <v>379</v>
      </c>
      <c r="O40" s="122"/>
      <c r="P40" s="122"/>
    </row>
    <row r="41" spans="1:16">
      <c r="A41" s="589"/>
      <c r="B41" s="41">
        <v>300</v>
      </c>
      <c r="C41" s="145">
        <v>500</v>
      </c>
      <c r="D41" s="128"/>
      <c r="E41" s="110">
        <v>1682</v>
      </c>
      <c r="F41" s="110">
        <v>1582</v>
      </c>
      <c r="G41" s="110">
        <v>1186</v>
      </c>
      <c r="H41" s="115">
        <v>415</v>
      </c>
      <c r="I41" s="128"/>
      <c r="J41" s="110">
        <v>1827</v>
      </c>
      <c r="K41" s="110">
        <v>1706</v>
      </c>
      <c r="L41" s="110">
        <v>1279</v>
      </c>
      <c r="M41" s="115">
        <v>448</v>
      </c>
      <c r="O41" s="123"/>
      <c r="P41" s="122"/>
    </row>
    <row r="42" spans="1:16">
      <c r="A42" s="589"/>
      <c r="B42" s="41">
        <v>500</v>
      </c>
      <c r="C42" s="145">
        <v>750</v>
      </c>
      <c r="D42" s="128"/>
      <c r="E42" s="110">
        <v>2350</v>
      </c>
      <c r="F42" s="110">
        <v>2209</v>
      </c>
      <c r="G42" s="110">
        <v>1657</v>
      </c>
      <c r="H42" s="115">
        <v>580</v>
      </c>
      <c r="I42" s="128"/>
      <c r="J42" s="110">
        <v>2538</v>
      </c>
      <c r="K42" s="110">
        <v>2382</v>
      </c>
      <c r="L42" s="110">
        <v>1787</v>
      </c>
      <c r="M42" s="115">
        <v>625</v>
      </c>
      <c r="O42" s="122"/>
      <c r="P42" s="122"/>
    </row>
    <row r="43" spans="1:16">
      <c r="A43" s="589"/>
      <c r="B43" s="41">
        <v>750</v>
      </c>
      <c r="C43" s="145">
        <v>1250</v>
      </c>
      <c r="D43" s="128"/>
      <c r="E43" s="110">
        <v>3093</v>
      </c>
      <c r="F43" s="110">
        <v>2908</v>
      </c>
      <c r="G43" s="110">
        <v>2181</v>
      </c>
      <c r="H43" s="115">
        <v>763</v>
      </c>
      <c r="I43" s="128"/>
      <c r="J43" s="110">
        <v>3340</v>
      </c>
      <c r="K43" s="110">
        <v>3136</v>
      </c>
      <c r="L43" s="110">
        <v>2352</v>
      </c>
      <c r="M43" s="115">
        <v>823</v>
      </c>
      <c r="O43" s="122"/>
      <c r="P43" s="122"/>
    </row>
    <row r="44" spans="1:16">
      <c r="A44" s="589"/>
      <c r="B44" s="41">
        <v>1250</v>
      </c>
      <c r="C44" s="145">
        <v>2500</v>
      </c>
      <c r="D44" s="128"/>
      <c r="E44" s="110">
        <v>4716</v>
      </c>
      <c r="F44" s="110">
        <v>4434</v>
      </c>
      <c r="G44" s="110">
        <v>3326</v>
      </c>
      <c r="H44" s="115">
        <v>1164</v>
      </c>
      <c r="I44" s="128"/>
      <c r="J44" s="110">
        <v>5093</v>
      </c>
      <c r="K44" s="110">
        <v>4782</v>
      </c>
      <c r="L44" s="110">
        <v>3587</v>
      </c>
      <c r="M44" s="115">
        <v>1255</v>
      </c>
      <c r="O44" s="122"/>
      <c r="P44" s="122"/>
    </row>
    <row r="45" spans="1:16" ht="15" thickBot="1">
      <c r="A45" s="590"/>
      <c r="B45" s="42" t="s">
        <v>182</v>
      </c>
      <c r="C45" s="20">
        <v>2500</v>
      </c>
      <c r="D45" s="129"/>
      <c r="E45" s="117">
        <v>5153</v>
      </c>
      <c r="F45" s="117">
        <v>4216</v>
      </c>
      <c r="G45" s="117">
        <v>3794</v>
      </c>
      <c r="H45" s="118">
        <v>2925</v>
      </c>
      <c r="I45" s="129"/>
      <c r="J45" s="117">
        <v>5725</v>
      </c>
      <c r="K45" s="117">
        <v>4684</v>
      </c>
      <c r="L45" s="117">
        <v>4216</v>
      </c>
      <c r="M45" s="118">
        <v>3250</v>
      </c>
      <c r="O45" s="122"/>
      <c r="P45" s="122"/>
    </row>
    <row r="46" spans="1:16">
      <c r="A46" s="125"/>
      <c r="D46" s="126"/>
      <c r="F46" s="126"/>
      <c r="G46" s="126"/>
      <c r="H46" s="126"/>
      <c r="I46" s="126"/>
      <c r="J46" s="126"/>
      <c r="K46" s="126"/>
      <c r="L46" s="126"/>
      <c r="M46" s="126"/>
      <c r="O46" s="122"/>
      <c r="P46" s="122"/>
    </row>
    <row r="47" spans="1:16">
      <c r="A47" s="125"/>
      <c r="D47" s="126"/>
      <c r="F47" s="126"/>
      <c r="G47" s="126"/>
      <c r="H47" s="126"/>
      <c r="I47" s="126"/>
      <c r="J47" s="126"/>
      <c r="K47" s="126"/>
      <c r="L47" s="126"/>
      <c r="M47" s="126"/>
      <c r="O47" s="122"/>
      <c r="P47" s="122"/>
    </row>
    <row r="48" spans="1:16">
      <c r="O48" s="122"/>
      <c r="P48" s="124"/>
    </row>
    <row r="49" spans="15:16">
      <c r="O49" s="122"/>
      <c r="P49" s="122"/>
    </row>
    <row r="50" spans="15:16">
      <c r="O50" s="124"/>
      <c r="P50" s="122"/>
    </row>
    <row r="51" spans="15:16">
      <c r="O51" s="122"/>
      <c r="P51" s="122"/>
    </row>
    <row r="52" spans="15:16">
      <c r="O52" s="122"/>
      <c r="P52" s="122"/>
    </row>
    <row r="53" spans="15:16">
      <c r="O53" s="122"/>
      <c r="P53" s="122"/>
    </row>
    <row r="54" spans="15:16">
      <c r="O54" s="122"/>
      <c r="P54" s="122"/>
    </row>
    <row r="55" spans="15:16">
      <c r="O55" s="122"/>
      <c r="P55" s="122"/>
    </row>
    <row r="56" spans="15:16">
      <c r="O56" s="122"/>
      <c r="P56" s="122"/>
    </row>
    <row r="57" spans="15:16">
      <c r="O57" s="122"/>
    </row>
    <row r="58" spans="15:16">
      <c r="O58" s="122"/>
      <c r="P58" s="122"/>
    </row>
    <row r="59" spans="15:16">
      <c r="P59" s="122"/>
    </row>
    <row r="60" spans="15:16">
      <c r="O60" s="122"/>
      <c r="P60" s="122"/>
    </row>
    <row r="61" spans="15:16">
      <c r="O61" s="122"/>
      <c r="P61" s="122"/>
    </row>
    <row r="62" spans="15:16">
      <c r="O62" s="122"/>
      <c r="P62" s="122"/>
    </row>
    <row r="63" spans="15:16">
      <c r="O63" s="122"/>
      <c r="P63" s="122"/>
    </row>
    <row r="64" spans="15:16">
      <c r="O64" s="122"/>
      <c r="P64" s="122"/>
    </row>
    <row r="65" spans="15:16">
      <c r="O65" s="122"/>
      <c r="P65" s="122"/>
    </row>
    <row r="66" spans="15:16">
      <c r="O66" s="122"/>
    </row>
    <row r="67" spans="15:16">
      <c r="O67" s="122"/>
      <c r="P67" s="122"/>
    </row>
    <row r="68" spans="15:16">
      <c r="P68" s="122"/>
    </row>
    <row r="69" spans="15:16">
      <c r="O69" s="122"/>
      <c r="P69" s="122"/>
    </row>
    <row r="70" spans="15:16">
      <c r="O70" s="122"/>
      <c r="P70" s="122"/>
    </row>
    <row r="71" spans="15:16">
      <c r="O71" s="122"/>
      <c r="P71" s="122"/>
    </row>
    <row r="72" spans="15:16">
      <c r="O72" s="122"/>
      <c r="P72" s="122"/>
    </row>
    <row r="73" spans="15:16">
      <c r="O73" s="122"/>
      <c r="P73" s="122"/>
    </row>
    <row r="74" spans="15:16">
      <c r="O74" s="122"/>
      <c r="P74" s="122"/>
    </row>
    <row r="75" spans="15:16">
      <c r="O75" s="122"/>
    </row>
    <row r="76" spans="15:16">
      <c r="O76" s="122"/>
      <c r="P76" s="122"/>
    </row>
    <row r="77" spans="15:16">
      <c r="P77" s="122"/>
    </row>
    <row r="78" spans="15:16">
      <c r="O78" s="122"/>
      <c r="P78" s="122"/>
    </row>
    <row r="79" spans="15:16">
      <c r="O79" s="122"/>
      <c r="P79" s="122"/>
    </row>
    <row r="80" spans="15:16">
      <c r="O80" s="122"/>
      <c r="P80" s="122"/>
    </row>
    <row r="81" spans="15:16">
      <c r="O81" s="122"/>
      <c r="P81" s="122"/>
    </row>
    <row r="82" spans="15:16">
      <c r="O82" s="122"/>
      <c r="P82" s="122"/>
    </row>
    <row r="83" spans="15:16">
      <c r="O83" s="122"/>
      <c r="P83" s="122"/>
    </row>
    <row r="84" spans="15:16">
      <c r="O84" s="122"/>
    </row>
    <row r="85" spans="15:16">
      <c r="O85" s="122"/>
      <c r="P85" s="122"/>
    </row>
    <row r="86" spans="15:16">
      <c r="P86" s="122"/>
    </row>
    <row r="87" spans="15:16">
      <c r="O87" s="122"/>
      <c r="P87" s="122"/>
    </row>
    <row r="88" spans="15:16">
      <c r="O88" s="122"/>
      <c r="P88" s="122"/>
    </row>
    <row r="89" spans="15:16">
      <c r="O89" s="122"/>
      <c r="P89" s="122"/>
    </row>
    <row r="90" spans="15:16">
      <c r="O90" s="122"/>
      <c r="P90" s="122"/>
    </row>
    <row r="91" spans="15:16">
      <c r="O91" s="122"/>
      <c r="P91" s="122"/>
    </row>
    <row r="92" spans="15:16">
      <c r="O92" s="122"/>
      <c r="P92" s="122"/>
    </row>
    <row r="93" spans="15:16">
      <c r="O93" s="122"/>
    </row>
    <row r="94" spans="15:16">
      <c r="O94" s="122"/>
      <c r="P94" s="122"/>
    </row>
    <row r="95" spans="15:16">
      <c r="P95" s="122"/>
    </row>
    <row r="96" spans="15:16">
      <c r="O96" s="122"/>
      <c r="P96" s="122"/>
    </row>
    <row r="97" spans="15:16">
      <c r="O97" s="122"/>
      <c r="P97" s="122"/>
    </row>
    <row r="98" spans="15:16">
      <c r="O98" s="122"/>
      <c r="P98" s="122"/>
    </row>
    <row r="99" spans="15:16">
      <c r="O99" s="122"/>
      <c r="P99" s="122"/>
    </row>
    <row r="100" spans="15:16">
      <c r="O100" s="122"/>
      <c r="P100" s="122"/>
    </row>
    <row r="101" spans="15:16">
      <c r="O101" s="122"/>
      <c r="P101" s="122"/>
    </row>
    <row r="102" spans="15:16">
      <c r="O102" s="122"/>
    </row>
    <row r="103" spans="15:16">
      <c r="O103" s="122"/>
      <c r="P103" s="122"/>
    </row>
    <row r="104" spans="15:16">
      <c r="P104" s="122"/>
    </row>
    <row r="105" spans="15:16">
      <c r="O105" s="122"/>
      <c r="P105" s="122"/>
    </row>
    <row r="106" spans="15:16">
      <c r="O106" s="122"/>
      <c r="P106" s="122"/>
    </row>
    <row r="107" spans="15:16">
      <c r="O107" s="122"/>
      <c r="P107" s="122"/>
    </row>
    <row r="108" spans="15:16">
      <c r="O108" s="122"/>
      <c r="P108" s="122"/>
    </row>
    <row r="109" spans="15:16">
      <c r="O109" s="122"/>
      <c r="P109" s="122"/>
    </row>
    <row r="110" spans="15:16">
      <c r="O110" s="122"/>
      <c r="P110" s="122"/>
    </row>
    <row r="111" spans="15:16">
      <c r="O111" s="122"/>
    </row>
    <row r="112" spans="15:16">
      <c r="O112" s="122"/>
      <c r="P112" s="122"/>
    </row>
    <row r="113" spans="15:16">
      <c r="P113" s="122"/>
    </row>
    <row r="114" spans="15:16">
      <c r="O114" s="122"/>
      <c r="P114" s="122"/>
    </row>
    <row r="115" spans="15:16">
      <c r="O115" s="122"/>
      <c r="P115" s="122"/>
    </row>
    <row r="116" spans="15:16">
      <c r="O116" s="122"/>
      <c r="P116" s="122"/>
    </row>
    <row r="117" spans="15:16">
      <c r="O117" s="122"/>
      <c r="P117" s="122"/>
    </row>
    <row r="118" spans="15:16">
      <c r="O118" s="122"/>
      <c r="P118" s="122"/>
    </row>
    <row r="119" spans="15:16">
      <c r="O119" s="122"/>
      <c r="P119" s="122"/>
    </row>
    <row r="120" spans="15:16">
      <c r="O120" s="122"/>
    </row>
    <row r="121" spans="15:16">
      <c r="O121" s="122"/>
      <c r="P121" s="122"/>
    </row>
    <row r="122" spans="15:16">
      <c r="P122" s="122"/>
    </row>
    <row r="123" spans="15:16">
      <c r="O123" s="122"/>
      <c r="P123" s="122"/>
    </row>
    <row r="124" spans="15:16">
      <c r="O124" s="122"/>
      <c r="P124" s="122"/>
    </row>
    <row r="125" spans="15:16">
      <c r="O125" s="122"/>
      <c r="P125" s="122"/>
    </row>
    <row r="126" spans="15:16">
      <c r="O126" s="122"/>
      <c r="P126" s="122"/>
    </row>
    <row r="127" spans="15:16">
      <c r="O127" s="122"/>
      <c r="P127" s="122"/>
    </row>
    <row r="128" spans="15:16">
      <c r="O128" s="122"/>
      <c r="P128" s="122"/>
    </row>
    <row r="129" spans="15:16">
      <c r="O129" s="122"/>
    </row>
    <row r="130" spans="15:16">
      <c r="O130" s="122"/>
      <c r="P130" s="122"/>
    </row>
    <row r="131" spans="15:16">
      <c r="P131" s="122"/>
    </row>
    <row r="132" spans="15:16">
      <c r="O132" s="122"/>
      <c r="P132" s="122"/>
    </row>
    <row r="133" spans="15:16">
      <c r="O133" s="122"/>
      <c r="P133" s="122"/>
    </row>
    <row r="134" spans="15:16">
      <c r="O134" s="122"/>
      <c r="P134" s="122"/>
    </row>
    <row r="135" spans="15:16">
      <c r="O135" s="122"/>
      <c r="P135" s="122"/>
    </row>
    <row r="136" spans="15:16">
      <c r="O136" s="122"/>
      <c r="P136" s="122"/>
    </row>
    <row r="137" spans="15:16">
      <c r="O137" s="122"/>
      <c r="P137" s="122"/>
    </row>
    <row r="138" spans="15:16">
      <c r="O138" s="122"/>
    </row>
    <row r="139" spans="15:16">
      <c r="O139" s="122"/>
      <c r="P139" s="122"/>
    </row>
    <row r="140" spans="15:16">
      <c r="P140" s="122"/>
    </row>
    <row r="141" spans="15:16">
      <c r="O141" s="122"/>
      <c r="P141" s="122"/>
    </row>
    <row r="142" spans="15:16">
      <c r="O142" s="122"/>
      <c r="P142" s="122"/>
    </row>
    <row r="143" spans="15:16">
      <c r="O143" s="122"/>
      <c r="P143" s="122"/>
    </row>
    <row r="144" spans="15:16">
      <c r="O144" s="122"/>
      <c r="P144" s="122"/>
    </row>
    <row r="145" spans="15:16">
      <c r="O145" s="122"/>
      <c r="P145" s="122"/>
    </row>
    <row r="146" spans="15:16">
      <c r="O146" s="122"/>
      <c r="P146" s="122"/>
    </row>
    <row r="147" spans="15:16">
      <c r="O147" s="122"/>
    </row>
    <row r="148" spans="15:16">
      <c r="O148" s="122"/>
      <c r="P148" s="122"/>
    </row>
    <row r="149" spans="15:16">
      <c r="P149" s="122"/>
    </row>
    <row r="150" spans="15:16">
      <c r="O150" s="122"/>
      <c r="P150" s="122"/>
    </row>
    <row r="151" spans="15:16">
      <c r="O151" s="122"/>
      <c r="P151" s="122"/>
    </row>
    <row r="152" spans="15:16">
      <c r="O152" s="122"/>
      <c r="P152" s="122"/>
    </row>
    <row r="153" spans="15:16">
      <c r="O153" s="122"/>
      <c r="P153" s="122"/>
    </row>
    <row r="154" spans="15:16">
      <c r="O154" s="122"/>
      <c r="P154" s="122"/>
    </row>
    <row r="155" spans="15:16">
      <c r="O155" s="122"/>
      <c r="P155" s="122"/>
    </row>
    <row r="156" spans="15:16">
      <c r="O156" s="122"/>
    </row>
    <row r="157" spans="15:16">
      <c r="O157" s="122"/>
      <c r="P157" s="122"/>
    </row>
    <row r="158" spans="15:16">
      <c r="P158" s="122"/>
    </row>
    <row r="159" spans="15:16">
      <c r="O159" s="122"/>
      <c r="P159" s="122"/>
    </row>
    <row r="160" spans="15:16">
      <c r="O160" s="122"/>
      <c r="P160" s="122"/>
    </row>
    <row r="161" spans="15:16">
      <c r="O161" s="122"/>
      <c r="P161" s="122"/>
    </row>
    <row r="162" spans="15:16">
      <c r="O162" s="122"/>
      <c r="P162" s="122"/>
    </row>
    <row r="163" spans="15:16">
      <c r="O163" s="122"/>
      <c r="P163" s="122"/>
    </row>
    <row r="164" spans="15:16">
      <c r="O164" s="122"/>
      <c r="P164" s="122"/>
    </row>
    <row r="165" spans="15:16">
      <c r="O165" s="122"/>
    </row>
    <row r="166" spans="15:16">
      <c r="O166" s="122"/>
    </row>
  </sheetData>
  <sheetProtection algorithmName="SHA-512" hashValue="PmGDA9hMk2gHvOHF7iXBzNJugpFNgIiu+ChTXJ/3B1YG5zGCJRoa3Ihck+s6gUqaflIP2ur/Ic6wjEUojlW5gQ==" saltValue="zu1K6omsma7P9gQO6umGEw==" spinCount="100000" sheet="1" objects="1" scenarios="1"/>
  <mergeCells count="18">
    <mergeCell ref="M2:M3"/>
    <mergeCell ref="I1:M1"/>
    <mergeCell ref="J2:J3"/>
    <mergeCell ref="K2:K3"/>
    <mergeCell ref="L2:L3"/>
    <mergeCell ref="I2:I3"/>
    <mergeCell ref="A31:A45"/>
    <mergeCell ref="E2:E3"/>
    <mergeCell ref="F2:F3"/>
    <mergeCell ref="G2:G3"/>
    <mergeCell ref="A9:A16"/>
    <mergeCell ref="H2:H3"/>
    <mergeCell ref="A17:A30"/>
    <mergeCell ref="A1:A3"/>
    <mergeCell ref="A4:A8"/>
    <mergeCell ref="D2:D3"/>
    <mergeCell ref="D1:H1"/>
    <mergeCell ref="B1:C3"/>
  </mergeCells>
  <pageMargins left="0.7" right="0.7" top="0.75" bottom="0.75" header="0.3" footer="0.3"/>
  <pageSetup paperSize="9" scale="7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U67"/>
  <sheetViews>
    <sheetView showZeros="0" zoomScale="85" zoomScaleNormal="85" workbookViewId="0">
      <selection activeCell="D21" sqref="D21"/>
    </sheetView>
  </sheetViews>
  <sheetFormatPr defaultColWidth="11.42578125" defaultRowHeight="14.45"/>
  <cols>
    <col min="1" max="1" width="13.5703125" style="19" customWidth="1"/>
    <col min="2" max="3" width="11.42578125" style="19"/>
    <col min="4" max="4" width="12.140625" style="19" bestFit="1" customWidth="1"/>
    <col min="5" max="5" width="12.5703125" style="19" customWidth="1"/>
    <col min="6" max="7" width="12.140625" style="19" bestFit="1" customWidth="1"/>
    <col min="8" max="8" width="17.28515625" style="19" bestFit="1" customWidth="1"/>
    <col min="9" max="9" width="15.7109375" style="19" bestFit="1" customWidth="1"/>
    <col min="10" max="10" width="16.5703125" style="19" bestFit="1" customWidth="1"/>
    <col min="11" max="11" width="15" style="19" bestFit="1" customWidth="1"/>
    <col min="12" max="15" width="12.140625" style="19" customWidth="1"/>
    <col min="16" max="16" width="17.28515625" style="19" bestFit="1" customWidth="1"/>
    <col min="17" max="17" width="15.7109375" style="19" bestFit="1" customWidth="1"/>
    <col min="18" max="18" width="16.5703125" style="19" bestFit="1" customWidth="1"/>
    <col min="19" max="19" width="15" style="19" bestFit="1" customWidth="1"/>
    <col min="20" max="16384" width="11.42578125" style="19"/>
  </cols>
  <sheetData>
    <row r="1" spans="1:21" ht="15" customHeight="1" thickBot="1">
      <c r="A1" s="591" t="s">
        <v>10</v>
      </c>
      <c r="B1" s="600" t="s">
        <v>175</v>
      </c>
      <c r="C1" s="613"/>
      <c r="D1" s="615" t="s">
        <v>176</v>
      </c>
      <c r="E1" s="616"/>
      <c r="F1" s="616"/>
      <c r="G1" s="616"/>
      <c r="H1" s="616"/>
      <c r="I1" s="616"/>
      <c r="J1" s="616"/>
      <c r="K1" s="616"/>
      <c r="L1" s="616"/>
      <c r="M1" s="616"/>
      <c r="N1" s="616"/>
      <c r="O1" s="616"/>
      <c r="P1" s="580" t="s">
        <v>177</v>
      </c>
      <c r="Q1" s="599"/>
      <c r="R1" s="599"/>
      <c r="S1" s="599"/>
      <c r="T1" s="599"/>
      <c r="U1" s="581"/>
    </row>
    <row r="2" spans="1:21">
      <c r="A2" s="592"/>
      <c r="B2" s="602"/>
      <c r="C2" s="481"/>
      <c r="D2" s="577" t="s">
        <v>30</v>
      </c>
      <c r="E2" s="578" t="s">
        <v>35</v>
      </c>
      <c r="F2" s="578" t="s">
        <v>40</v>
      </c>
      <c r="G2" s="578" t="s">
        <v>43</v>
      </c>
      <c r="H2" s="578" t="s">
        <v>47</v>
      </c>
      <c r="I2" s="578" t="s">
        <v>51</v>
      </c>
      <c r="J2" s="578" t="s">
        <v>54</v>
      </c>
      <c r="K2" s="578" t="s">
        <v>58</v>
      </c>
      <c r="L2" s="578" t="s">
        <v>59</v>
      </c>
      <c r="M2" s="578" t="s">
        <v>147</v>
      </c>
      <c r="N2" s="578" t="s">
        <v>183</v>
      </c>
      <c r="O2" s="614" t="s">
        <v>149</v>
      </c>
      <c r="P2" s="611" t="s">
        <v>184</v>
      </c>
      <c r="Q2" s="604" t="s">
        <v>185</v>
      </c>
      <c r="R2" s="604" t="s">
        <v>186</v>
      </c>
      <c r="S2" s="606" t="s">
        <v>187</v>
      </c>
      <c r="T2" s="600" t="s">
        <v>22</v>
      </c>
      <c r="U2" s="613" t="s">
        <v>84</v>
      </c>
    </row>
    <row r="3" spans="1:21" ht="15" thickBot="1">
      <c r="A3" s="610"/>
      <c r="B3" s="602"/>
      <c r="C3" s="481"/>
      <c r="D3" s="576"/>
      <c r="E3" s="575"/>
      <c r="F3" s="575"/>
      <c r="G3" s="575"/>
      <c r="H3" s="575"/>
      <c r="I3" s="575"/>
      <c r="J3" s="575"/>
      <c r="K3" s="575"/>
      <c r="L3" s="575"/>
      <c r="M3" s="575"/>
      <c r="N3" s="575"/>
      <c r="O3" s="587"/>
      <c r="P3" s="612"/>
      <c r="Q3" s="605"/>
      <c r="R3" s="605"/>
      <c r="S3" s="607"/>
      <c r="T3" s="602"/>
      <c r="U3" s="617"/>
    </row>
    <row r="4" spans="1:21">
      <c r="A4" s="588" t="s">
        <v>188</v>
      </c>
      <c r="B4" s="23">
        <v>0</v>
      </c>
      <c r="C4" s="22">
        <v>1</v>
      </c>
      <c r="D4" s="415">
        <v>80</v>
      </c>
      <c r="E4" s="419">
        <v>50</v>
      </c>
      <c r="F4" s="419">
        <v>30</v>
      </c>
      <c r="G4" s="419">
        <v>5</v>
      </c>
      <c r="H4" s="422">
        <v>80</v>
      </c>
      <c r="I4" s="419">
        <v>50</v>
      </c>
      <c r="J4" s="419">
        <v>30</v>
      </c>
      <c r="K4" s="419">
        <v>5</v>
      </c>
      <c r="L4" s="21"/>
      <c r="M4" s="21"/>
      <c r="N4" s="21"/>
      <c r="O4" s="76"/>
      <c r="P4" s="111"/>
      <c r="Q4" s="112"/>
      <c r="R4" s="112"/>
      <c r="S4" s="112"/>
      <c r="T4" s="112"/>
      <c r="U4" s="113"/>
    </row>
    <row r="5" spans="1:21">
      <c r="A5" s="589"/>
      <c r="B5" s="41">
        <v>1</v>
      </c>
      <c r="C5" s="145">
        <v>2</v>
      </c>
      <c r="D5" s="416">
        <v>84</v>
      </c>
      <c r="E5" s="417">
        <v>65</v>
      </c>
      <c r="F5" s="417">
        <v>45</v>
      </c>
      <c r="G5" s="417">
        <v>10</v>
      </c>
      <c r="H5" s="421">
        <v>84</v>
      </c>
      <c r="I5" s="417">
        <v>65</v>
      </c>
      <c r="J5" s="417">
        <v>45</v>
      </c>
      <c r="K5" s="417">
        <v>10</v>
      </c>
      <c r="L5" s="40"/>
      <c r="M5" s="40"/>
      <c r="N5" s="40"/>
      <c r="O5" s="335"/>
      <c r="P5" s="114"/>
      <c r="Q5" s="110"/>
      <c r="R5" s="110"/>
      <c r="S5" s="110"/>
      <c r="T5" s="110"/>
      <c r="U5" s="115"/>
    </row>
    <row r="6" spans="1:21">
      <c r="A6" s="589"/>
      <c r="B6" s="41">
        <v>2</v>
      </c>
      <c r="C6" s="145">
        <v>5</v>
      </c>
      <c r="D6" s="416">
        <v>105</v>
      </c>
      <c r="E6" s="417">
        <v>92</v>
      </c>
      <c r="F6" s="417">
        <v>65</v>
      </c>
      <c r="G6" s="417">
        <v>20</v>
      </c>
      <c r="H6" s="421">
        <v>105</v>
      </c>
      <c r="I6" s="417">
        <v>92</v>
      </c>
      <c r="J6" s="417">
        <v>65</v>
      </c>
      <c r="K6" s="417">
        <v>20</v>
      </c>
      <c r="L6" s="40"/>
      <c r="M6" s="40"/>
      <c r="N6" s="40"/>
      <c r="O6" s="335"/>
      <c r="P6" s="114"/>
      <c r="Q6" s="110"/>
      <c r="R6" s="110"/>
      <c r="S6" s="110"/>
      <c r="T6" s="110"/>
      <c r="U6" s="115"/>
    </row>
    <row r="7" spans="1:21">
      <c r="A7" s="589"/>
      <c r="B7" s="41">
        <v>5</v>
      </c>
      <c r="C7" s="145">
        <v>10</v>
      </c>
      <c r="D7" s="416">
        <v>165</v>
      </c>
      <c r="E7" s="417">
        <v>125</v>
      </c>
      <c r="F7" s="417">
        <v>90</v>
      </c>
      <c r="G7" s="417">
        <v>50</v>
      </c>
      <c r="H7" s="421">
        <v>165</v>
      </c>
      <c r="I7" s="417">
        <v>125</v>
      </c>
      <c r="J7" s="417">
        <v>90</v>
      </c>
      <c r="K7" s="417">
        <v>50</v>
      </c>
      <c r="L7" s="40"/>
      <c r="M7" s="40"/>
      <c r="N7" s="40"/>
      <c r="O7" s="335"/>
      <c r="P7" s="114"/>
      <c r="Q7" s="110"/>
      <c r="R7" s="110"/>
      <c r="S7" s="110"/>
      <c r="T7" s="110"/>
      <c r="U7" s="115"/>
    </row>
    <row r="8" spans="1:21">
      <c r="A8" s="589"/>
      <c r="B8" s="41">
        <v>10</v>
      </c>
      <c r="C8" s="145">
        <v>20</v>
      </c>
      <c r="D8" s="416">
        <v>245</v>
      </c>
      <c r="E8" s="417">
        <v>220</v>
      </c>
      <c r="F8" s="417">
        <v>160</v>
      </c>
      <c r="G8" s="417">
        <v>85</v>
      </c>
      <c r="H8" s="40"/>
      <c r="I8" s="40"/>
      <c r="J8" s="40"/>
      <c r="K8" s="40"/>
      <c r="L8" s="40"/>
      <c r="M8" s="40"/>
      <c r="N8" s="40"/>
      <c r="O8" s="335"/>
      <c r="P8" s="114"/>
      <c r="Q8" s="110"/>
      <c r="R8" s="110"/>
      <c r="S8" s="110"/>
      <c r="T8" s="110"/>
      <c r="U8" s="115"/>
    </row>
    <row r="9" spans="1:21">
      <c r="A9" s="589"/>
      <c r="B9" s="41">
        <v>20</v>
      </c>
      <c r="C9" s="145">
        <v>30</v>
      </c>
      <c r="D9" s="416">
        <v>460</v>
      </c>
      <c r="E9" s="417">
        <v>315</v>
      </c>
      <c r="F9" s="417">
        <v>263</v>
      </c>
      <c r="G9" s="417">
        <v>200</v>
      </c>
      <c r="H9" s="40"/>
      <c r="I9" s="40"/>
      <c r="J9" s="40"/>
      <c r="K9" s="40"/>
      <c r="L9" s="40"/>
      <c r="M9" s="40"/>
      <c r="N9" s="40"/>
      <c r="O9" s="335"/>
      <c r="P9" s="114"/>
      <c r="Q9" s="110"/>
      <c r="R9" s="110"/>
      <c r="S9" s="110"/>
      <c r="T9" s="110"/>
      <c r="U9" s="115"/>
    </row>
    <row r="10" spans="1:21">
      <c r="A10" s="589"/>
      <c r="B10" s="41">
        <v>30</v>
      </c>
      <c r="C10" s="145">
        <v>40</v>
      </c>
      <c r="D10" s="416">
        <v>590</v>
      </c>
      <c r="E10" s="417">
        <v>394</v>
      </c>
      <c r="F10" s="417">
        <v>345</v>
      </c>
      <c r="G10" s="417">
        <v>265</v>
      </c>
      <c r="H10" s="40"/>
      <c r="I10" s="40"/>
      <c r="J10" s="40"/>
      <c r="K10" s="40"/>
      <c r="L10" s="40"/>
      <c r="M10" s="40"/>
      <c r="N10" s="40"/>
      <c r="O10" s="335"/>
      <c r="P10" s="114"/>
      <c r="Q10" s="110"/>
      <c r="R10" s="110"/>
      <c r="S10" s="110"/>
      <c r="T10" s="110"/>
      <c r="U10" s="115"/>
    </row>
    <row r="11" spans="1:21">
      <c r="A11" s="589"/>
      <c r="B11" s="41">
        <v>40</v>
      </c>
      <c r="C11" s="145">
        <v>50</v>
      </c>
      <c r="D11" s="416">
        <v>690</v>
      </c>
      <c r="E11" s="417">
        <v>582</v>
      </c>
      <c r="F11" s="417">
        <v>463</v>
      </c>
      <c r="G11" s="417">
        <v>306</v>
      </c>
      <c r="H11" s="40"/>
      <c r="I11" s="40"/>
      <c r="J11" s="40"/>
      <c r="K11" s="40"/>
      <c r="L11" s="40"/>
      <c r="M11" s="40"/>
      <c r="N11" s="40"/>
      <c r="O11" s="335"/>
      <c r="P11" s="114"/>
      <c r="Q11" s="110"/>
      <c r="R11" s="110"/>
      <c r="S11" s="110"/>
      <c r="T11" s="110"/>
      <c r="U11" s="115"/>
    </row>
    <row r="12" spans="1:21">
      <c r="A12" s="589"/>
      <c r="B12" s="41">
        <v>50</v>
      </c>
      <c r="C12" s="145">
        <v>70</v>
      </c>
      <c r="D12" s="416">
        <v>900</v>
      </c>
      <c r="E12" s="417">
        <v>655</v>
      </c>
      <c r="F12" s="417">
        <v>595</v>
      </c>
      <c r="G12" s="417">
        <v>390</v>
      </c>
      <c r="H12" s="110"/>
      <c r="I12" s="110"/>
      <c r="J12" s="110"/>
      <c r="K12" s="110"/>
      <c r="L12" s="40"/>
      <c r="M12" s="40"/>
      <c r="N12" s="40"/>
      <c r="O12" s="335"/>
      <c r="P12" s="114"/>
      <c r="Q12" s="110"/>
      <c r="R12" s="110"/>
      <c r="S12" s="110"/>
      <c r="T12" s="110"/>
      <c r="U12" s="115"/>
    </row>
    <row r="13" spans="1:21">
      <c r="A13" s="589"/>
      <c r="B13" s="41">
        <v>70</v>
      </c>
      <c r="C13" s="145">
        <v>100</v>
      </c>
      <c r="D13" s="416">
        <v>1200</v>
      </c>
      <c r="E13" s="417">
        <v>830</v>
      </c>
      <c r="F13" s="417">
        <v>730</v>
      </c>
      <c r="G13" s="417">
        <v>470</v>
      </c>
      <c r="H13" s="40"/>
      <c r="I13" s="40"/>
      <c r="J13" s="40"/>
      <c r="K13" s="40"/>
      <c r="L13" s="40"/>
      <c r="M13" s="40"/>
      <c r="N13" s="40"/>
      <c r="O13" s="335"/>
      <c r="P13" s="114"/>
      <c r="Q13" s="110"/>
      <c r="R13" s="110"/>
      <c r="S13" s="110"/>
      <c r="T13" s="110"/>
      <c r="U13" s="115"/>
    </row>
    <row r="14" spans="1:21" ht="15" thickBot="1">
      <c r="A14" s="590"/>
      <c r="B14" s="42">
        <v>100</v>
      </c>
      <c r="C14" s="20">
        <v>100000</v>
      </c>
      <c r="D14" s="420">
        <v>1650</v>
      </c>
      <c r="E14" s="418">
        <v>1270</v>
      </c>
      <c r="F14" s="418">
        <v>1000</v>
      </c>
      <c r="G14" s="418">
        <v>600</v>
      </c>
      <c r="H14" s="43"/>
      <c r="I14" s="43"/>
      <c r="J14" s="43"/>
      <c r="K14" s="43"/>
      <c r="L14" s="43"/>
      <c r="M14" s="43"/>
      <c r="N14" s="43"/>
      <c r="O14" s="77"/>
      <c r="P14" s="116"/>
      <c r="Q14" s="117"/>
      <c r="R14" s="117"/>
      <c r="S14" s="117"/>
      <c r="T14" s="117"/>
      <c r="U14" s="118"/>
    </row>
    <row r="15" spans="1:21">
      <c r="A15" s="588" t="s">
        <v>180</v>
      </c>
      <c r="B15" s="23">
        <v>0</v>
      </c>
      <c r="C15" s="22">
        <v>1</v>
      </c>
      <c r="D15" s="415">
        <v>130</v>
      </c>
      <c r="E15" s="419">
        <v>100</v>
      </c>
      <c r="F15" s="419">
        <v>69</v>
      </c>
      <c r="G15" s="419">
        <v>15</v>
      </c>
      <c r="H15" s="422">
        <v>130</v>
      </c>
      <c r="I15" s="419">
        <v>100</v>
      </c>
      <c r="J15" s="419">
        <v>69</v>
      </c>
      <c r="K15" s="419">
        <v>15</v>
      </c>
      <c r="L15" s="21"/>
      <c r="M15" s="21"/>
      <c r="N15" s="21"/>
      <c r="O15" s="76"/>
      <c r="P15" s="111"/>
      <c r="Q15" s="112"/>
      <c r="R15" s="112"/>
      <c r="S15" s="112"/>
      <c r="T15" s="112"/>
      <c r="U15" s="113"/>
    </row>
    <row r="16" spans="1:21">
      <c r="A16" s="589"/>
      <c r="B16" s="41">
        <v>1</v>
      </c>
      <c r="C16" s="145">
        <v>2</v>
      </c>
      <c r="D16" s="416">
        <v>135</v>
      </c>
      <c r="E16" s="417">
        <v>120</v>
      </c>
      <c r="F16" s="417">
        <v>83</v>
      </c>
      <c r="G16" s="417">
        <v>20</v>
      </c>
      <c r="H16" s="421">
        <v>135</v>
      </c>
      <c r="I16" s="417">
        <v>120</v>
      </c>
      <c r="J16" s="417">
        <v>83</v>
      </c>
      <c r="K16" s="417">
        <v>20</v>
      </c>
      <c r="L16" s="40"/>
      <c r="M16" s="40"/>
      <c r="N16" s="40"/>
      <c r="O16" s="335"/>
      <c r="P16" s="114"/>
      <c r="Q16" s="110"/>
      <c r="R16" s="110"/>
      <c r="S16" s="110"/>
      <c r="T16" s="110"/>
      <c r="U16" s="115"/>
    </row>
    <row r="17" spans="1:21">
      <c r="A17" s="589"/>
      <c r="B17" s="41">
        <v>2</v>
      </c>
      <c r="C17" s="145">
        <v>5</v>
      </c>
      <c r="D17" s="416">
        <v>140</v>
      </c>
      <c r="E17" s="417">
        <v>130</v>
      </c>
      <c r="F17" s="417">
        <v>99</v>
      </c>
      <c r="G17" s="417">
        <v>25</v>
      </c>
      <c r="H17" s="421">
        <v>140</v>
      </c>
      <c r="I17" s="417">
        <v>130</v>
      </c>
      <c r="J17" s="417">
        <v>99</v>
      </c>
      <c r="K17" s="417">
        <v>25</v>
      </c>
      <c r="L17" s="40"/>
      <c r="M17" s="40"/>
      <c r="N17" s="40"/>
      <c r="O17" s="335"/>
      <c r="P17" s="114"/>
      <c r="Q17" s="110"/>
      <c r="R17" s="110"/>
      <c r="S17" s="110"/>
      <c r="T17" s="110"/>
      <c r="U17" s="115"/>
    </row>
    <row r="18" spans="1:21">
      <c r="A18" s="589"/>
      <c r="B18" s="41">
        <v>5</v>
      </c>
      <c r="C18" s="145">
        <v>10</v>
      </c>
      <c r="D18" s="416">
        <v>218</v>
      </c>
      <c r="E18" s="417">
        <v>145</v>
      </c>
      <c r="F18" s="417">
        <v>130</v>
      </c>
      <c r="G18" s="417">
        <v>50</v>
      </c>
      <c r="H18" s="421">
        <v>218</v>
      </c>
      <c r="I18" s="417">
        <v>145</v>
      </c>
      <c r="J18" s="417">
        <v>130</v>
      </c>
      <c r="K18" s="417">
        <v>50</v>
      </c>
      <c r="L18" s="40"/>
      <c r="M18" s="40"/>
      <c r="N18" s="40"/>
      <c r="O18" s="335"/>
      <c r="P18" s="114"/>
      <c r="Q18" s="110"/>
      <c r="R18" s="110"/>
      <c r="S18" s="110"/>
      <c r="T18" s="110"/>
      <c r="U18" s="115"/>
    </row>
    <row r="19" spans="1:21">
      <c r="A19" s="589"/>
      <c r="B19" s="41">
        <v>10</v>
      </c>
      <c r="C19" s="145">
        <v>20</v>
      </c>
      <c r="D19" s="416">
        <v>350</v>
      </c>
      <c r="E19" s="417">
        <v>250</v>
      </c>
      <c r="F19" s="417">
        <v>195</v>
      </c>
      <c r="G19" s="417">
        <v>95</v>
      </c>
      <c r="H19" s="40"/>
      <c r="I19" s="40"/>
      <c r="J19" s="40"/>
      <c r="K19" s="40"/>
      <c r="L19" s="40"/>
      <c r="M19" s="40"/>
      <c r="N19" s="40"/>
      <c r="O19" s="335"/>
      <c r="P19" s="114"/>
      <c r="Q19" s="110"/>
      <c r="R19" s="110"/>
      <c r="S19" s="110"/>
      <c r="T19" s="110"/>
      <c r="U19" s="115"/>
    </row>
    <row r="20" spans="1:21">
      <c r="A20" s="589"/>
      <c r="B20" s="41">
        <v>20</v>
      </c>
      <c r="C20" s="145">
        <v>30</v>
      </c>
      <c r="D20" s="416">
        <v>540</v>
      </c>
      <c r="E20" s="417">
        <v>350</v>
      </c>
      <c r="F20" s="417">
        <v>300</v>
      </c>
      <c r="G20" s="417">
        <v>160</v>
      </c>
      <c r="H20" s="40"/>
      <c r="I20" s="40"/>
      <c r="J20" s="40"/>
      <c r="K20" s="40"/>
      <c r="L20" s="40"/>
      <c r="M20" s="40"/>
      <c r="N20" s="40"/>
      <c r="O20" s="335"/>
      <c r="P20" s="114"/>
      <c r="Q20" s="110"/>
      <c r="R20" s="110"/>
      <c r="S20" s="110"/>
      <c r="T20" s="110"/>
      <c r="U20" s="115"/>
    </row>
    <row r="21" spans="1:21">
      <c r="A21" s="589"/>
      <c r="B21" s="41">
        <v>30</v>
      </c>
      <c r="C21" s="145">
        <v>40</v>
      </c>
      <c r="D21" s="416">
        <v>590</v>
      </c>
      <c r="E21" s="417">
        <v>500</v>
      </c>
      <c r="F21" s="417">
        <v>390</v>
      </c>
      <c r="G21" s="417">
        <v>220</v>
      </c>
      <c r="H21" s="40"/>
      <c r="I21" s="40"/>
      <c r="J21" s="40"/>
      <c r="K21" s="40"/>
      <c r="L21" s="40"/>
      <c r="M21" s="40"/>
      <c r="N21" s="40"/>
      <c r="O21" s="335"/>
      <c r="P21" s="114"/>
      <c r="Q21" s="110"/>
      <c r="R21" s="110"/>
      <c r="S21" s="110"/>
      <c r="T21" s="110"/>
      <c r="U21" s="115"/>
    </row>
    <row r="22" spans="1:21">
      <c r="A22" s="589"/>
      <c r="B22" s="41">
        <v>40</v>
      </c>
      <c r="C22" s="145">
        <v>50</v>
      </c>
      <c r="D22" s="416">
        <v>660</v>
      </c>
      <c r="E22" s="417">
        <v>630</v>
      </c>
      <c r="F22" s="417">
        <v>490</v>
      </c>
      <c r="G22" s="417">
        <v>290</v>
      </c>
      <c r="H22" s="40"/>
      <c r="I22" s="40"/>
      <c r="J22" s="40"/>
      <c r="K22" s="40"/>
      <c r="L22" s="40"/>
      <c r="M22" s="40"/>
      <c r="N22" s="40"/>
      <c r="O22" s="335"/>
      <c r="P22" s="114"/>
      <c r="Q22" s="110"/>
      <c r="R22" s="110"/>
      <c r="S22" s="110"/>
      <c r="T22" s="110"/>
      <c r="U22" s="115"/>
    </row>
    <row r="23" spans="1:21">
      <c r="A23" s="589"/>
      <c r="B23" s="41">
        <v>50</v>
      </c>
      <c r="C23" s="145">
        <v>70</v>
      </c>
      <c r="D23" s="416">
        <v>820</v>
      </c>
      <c r="E23" s="417">
        <v>750</v>
      </c>
      <c r="F23" s="417">
        <v>595</v>
      </c>
      <c r="G23" s="417">
        <v>400</v>
      </c>
      <c r="H23" s="110"/>
      <c r="I23" s="110"/>
      <c r="J23" s="110"/>
      <c r="K23" s="110"/>
      <c r="L23" s="40"/>
      <c r="M23" s="40"/>
      <c r="N23" s="40"/>
      <c r="O23" s="335"/>
      <c r="P23" s="114"/>
      <c r="Q23" s="110"/>
      <c r="R23" s="110"/>
      <c r="S23" s="110"/>
      <c r="T23" s="110"/>
      <c r="U23" s="115"/>
    </row>
    <row r="24" spans="1:21">
      <c r="A24" s="589"/>
      <c r="B24" s="41">
        <v>70</v>
      </c>
      <c r="C24" s="145">
        <v>100</v>
      </c>
      <c r="D24" s="416">
        <v>1155</v>
      </c>
      <c r="E24" s="417">
        <v>1000</v>
      </c>
      <c r="F24" s="417">
        <v>815</v>
      </c>
      <c r="G24" s="417">
        <v>550</v>
      </c>
      <c r="H24" s="110"/>
      <c r="I24" s="110"/>
      <c r="J24" s="110"/>
      <c r="K24" s="110"/>
      <c r="L24" s="40"/>
      <c r="M24" s="40"/>
      <c r="N24" s="40"/>
      <c r="O24" s="335"/>
      <c r="P24" s="114"/>
      <c r="Q24" s="110"/>
      <c r="R24" s="110"/>
      <c r="S24" s="110"/>
      <c r="T24" s="110"/>
      <c r="U24" s="115"/>
    </row>
    <row r="25" spans="1:21">
      <c r="A25" s="589"/>
      <c r="B25" s="41">
        <v>100</v>
      </c>
      <c r="C25" s="145">
        <v>150</v>
      </c>
      <c r="D25" s="416">
        <v>1795</v>
      </c>
      <c r="E25" s="417">
        <v>1260</v>
      </c>
      <c r="F25" s="417">
        <v>955</v>
      </c>
      <c r="G25" s="417">
        <v>775</v>
      </c>
      <c r="H25" s="40"/>
      <c r="I25" s="40"/>
      <c r="J25" s="40"/>
      <c r="K25" s="40"/>
      <c r="L25" s="40"/>
      <c r="M25" s="40"/>
      <c r="N25" s="40"/>
      <c r="O25" s="335"/>
      <c r="P25" s="114"/>
      <c r="Q25" s="110"/>
      <c r="R25" s="110"/>
      <c r="S25" s="110"/>
      <c r="T25" s="110"/>
      <c r="U25" s="115"/>
    </row>
    <row r="26" spans="1:21">
      <c r="A26" s="589"/>
      <c r="B26" s="41">
        <v>150</v>
      </c>
      <c r="C26" s="145">
        <v>200</v>
      </c>
      <c r="D26" s="416">
        <v>2560</v>
      </c>
      <c r="E26" s="417">
        <v>1700</v>
      </c>
      <c r="F26" s="417">
        <v>1360</v>
      </c>
      <c r="G26" s="417">
        <v>990</v>
      </c>
      <c r="H26" s="40"/>
      <c r="I26" s="417"/>
      <c r="J26" s="40"/>
      <c r="K26" s="40"/>
      <c r="L26" s="40"/>
      <c r="M26" s="40"/>
      <c r="N26" s="40"/>
      <c r="O26" s="335"/>
      <c r="P26" s="114"/>
      <c r="Q26" s="110"/>
      <c r="R26" s="110"/>
      <c r="S26" s="110"/>
      <c r="T26" s="110"/>
      <c r="U26" s="115"/>
    </row>
    <row r="27" spans="1:21">
      <c r="A27" s="589"/>
      <c r="B27" s="41">
        <v>200</v>
      </c>
      <c r="C27" s="145">
        <v>300</v>
      </c>
      <c r="D27" s="416">
        <v>3580</v>
      </c>
      <c r="E27" s="417">
        <v>2380</v>
      </c>
      <c r="F27" s="417">
        <v>1900</v>
      </c>
      <c r="G27" s="417">
        <v>1195</v>
      </c>
      <c r="H27" s="40"/>
      <c r="I27" s="417"/>
      <c r="J27" s="40"/>
      <c r="K27" s="40"/>
      <c r="L27" s="40"/>
      <c r="M27" s="40"/>
      <c r="N27" s="40"/>
      <c r="O27" s="335"/>
      <c r="P27" s="114"/>
      <c r="Q27" s="110"/>
      <c r="R27" s="110"/>
      <c r="S27" s="110"/>
      <c r="T27" s="110"/>
      <c r="U27" s="115"/>
    </row>
    <row r="28" spans="1:21">
      <c r="A28" s="589"/>
      <c r="B28" s="41">
        <v>300</v>
      </c>
      <c r="C28" s="145">
        <v>400</v>
      </c>
      <c r="D28" s="416">
        <v>5100</v>
      </c>
      <c r="E28" s="417">
        <v>3400</v>
      </c>
      <c r="F28" s="417">
        <v>2720</v>
      </c>
      <c r="G28" s="417">
        <v>1705</v>
      </c>
      <c r="H28" s="40"/>
      <c r="I28" s="417"/>
      <c r="J28" s="40"/>
      <c r="K28" s="40"/>
      <c r="L28" s="40"/>
      <c r="M28" s="40"/>
      <c r="N28" s="40"/>
      <c r="O28" s="335"/>
      <c r="P28" s="114"/>
      <c r="Q28" s="110"/>
      <c r="R28" s="110"/>
      <c r="S28" s="110"/>
      <c r="T28" s="110"/>
      <c r="U28" s="115"/>
    </row>
    <row r="29" spans="1:21">
      <c r="A29" s="589"/>
      <c r="B29" s="41">
        <v>400</v>
      </c>
      <c r="C29" s="145">
        <v>500</v>
      </c>
      <c r="D29" s="416">
        <v>6100</v>
      </c>
      <c r="E29" s="417">
        <v>4460</v>
      </c>
      <c r="F29" s="417">
        <v>3570</v>
      </c>
      <c r="G29" s="417">
        <v>2230</v>
      </c>
      <c r="H29" s="40"/>
      <c r="I29" s="417"/>
      <c r="J29" s="40"/>
      <c r="K29" s="40"/>
      <c r="L29" s="40"/>
      <c r="M29" s="40"/>
      <c r="N29" s="40"/>
      <c r="O29" s="335"/>
      <c r="P29" s="114"/>
      <c r="Q29" s="110"/>
      <c r="R29" s="110"/>
      <c r="S29" s="110"/>
      <c r="T29" s="110"/>
      <c r="U29" s="115"/>
    </row>
    <row r="30" spans="1:21">
      <c r="A30" s="589"/>
      <c r="B30" s="41">
        <v>500</v>
      </c>
      <c r="C30" s="145">
        <v>700</v>
      </c>
      <c r="D30" s="416">
        <v>8100</v>
      </c>
      <c r="E30" s="417">
        <v>5880</v>
      </c>
      <c r="F30" s="417">
        <v>4700</v>
      </c>
      <c r="G30" s="417">
        <v>2940</v>
      </c>
      <c r="H30" s="40"/>
      <c r="I30" s="40"/>
      <c r="J30" s="40"/>
      <c r="K30" s="40"/>
      <c r="L30" s="40"/>
      <c r="M30" s="40"/>
      <c r="N30" s="40"/>
      <c r="O30" s="335"/>
      <c r="P30" s="114"/>
      <c r="Q30" s="110"/>
      <c r="R30" s="110"/>
      <c r="S30" s="110"/>
      <c r="T30" s="110"/>
      <c r="U30" s="115"/>
    </row>
    <row r="31" spans="1:21">
      <c r="A31" s="589"/>
      <c r="B31" s="41">
        <v>700</v>
      </c>
      <c r="C31" s="145">
        <v>1200</v>
      </c>
      <c r="D31" s="416">
        <v>12100</v>
      </c>
      <c r="E31" s="417">
        <v>8290</v>
      </c>
      <c r="F31" s="417">
        <v>6600</v>
      </c>
      <c r="G31" s="417">
        <v>4145</v>
      </c>
      <c r="H31" s="40"/>
      <c r="I31" s="417"/>
      <c r="J31" s="40"/>
      <c r="K31" s="40"/>
      <c r="L31" s="40"/>
      <c r="M31" s="40"/>
      <c r="N31" s="40"/>
      <c r="O31" s="335"/>
      <c r="P31" s="114"/>
      <c r="Q31" s="110"/>
      <c r="R31" s="110"/>
      <c r="S31" s="110"/>
      <c r="T31" s="110"/>
      <c r="U31" s="115"/>
    </row>
    <row r="32" spans="1:21">
      <c r="A32" s="589"/>
      <c r="B32" s="41">
        <v>1200</v>
      </c>
      <c r="C32" s="145">
        <v>2500</v>
      </c>
      <c r="D32" s="416">
        <v>18500</v>
      </c>
      <c r="E32" s="417">
        <v>14500</v>
      </c>
      <c r="F32" s="417">
        <v>11500</v>
      </c>
      <c r="G32" s="417">
        <v>7000</v>
      </c>
      <c r="H32" s="40"/>
      <c r="I32" s="417"/>
      <c r="J32" s="40"/>
      <c r="K32" s="40"/>
      <c r="L32" s="40"/>
      <c r="M32" s="40"/>
      <c r="N32" s="40"/>
      <c r="O32" s="335"/>
      <c r="P32" s="114"/>
      <c r="Q32" s="110"/>
      <c r="R32" s="110"/>
      <c r="S32" s="110"/>
      <c r="T32" s="110"/>
      <c r="U32" s="115"/>
    </row>
    <row r="33" spans="1:21" ht="15" thickBot="1">
      <c r="A33" s="590"/>
      <c r="B33" s="42">
        <v>2500</v>
      </c>
      <c r="C33" s="20">
        <v>100000</v>
      </c>
      <c r="D33" s="420">
        <v>35000</v>
      </c>
      <c r="E33" s="418">
        <v>20000</v>
      </c>
      <c r="F33" s="418">
        <v>15000</v>
      </c>
      <c r="G33" s="418">
        <v>10000</v>
      </c>
      <c r="H33" s="43"/>
      <c r="I33" s="418"/>
      <c r="J33" s="43"/>
      <c r="K33" s="43"/>
      <c r="L33" s="43"/>
      <c r="M33" s="43"/>
      <c r="N33" s="43"/>
      <c r="O33" s="77"/>
      <c r="P33" s="116"/>
      <c r="Q33" s="117"/>
      <c r="R33" s="117"/>
      <c r="S33" s="117"/>
      <c r="T33" s="117"/>
      <c r="U33" s="118"/>
    </row>
    <row r="34" spans="1:21">
      <c r="F34" s="323"/>
      <c r="I34" s="323"/>
    </row>
    <row r="35" spans="1:21">
      <c r="F35" s="323"/>
      <c r="H35" s="323"/>
    </row>
    <row r="36" spans="1:21">
      <c r="F36" s="323"/>
      <c r="H36" s="323"/>
      <c r="I36" s="323"/>
    </row>
    <row r="37" spans="1:21">
      <c r="F37" s="323"/>
      <c r="H37" s="323"/>
      <c r="I37" s="323"/>
    </row>
    <row r="38" spans="1:21">
      <c r="H38" s="323"/>
      <c r="I38" s="323"/>
    </row>
    <row r="39" spans="1:21">
      <c r="F39" s="323"/>
      <c r="H39" s="123"/>
      <c r="I39" s="323"/>
    </row>
    <row r="40" spans="1:21">
      <c r="F40" s="323"/>
      <c r="H40" s="323"/>
    </row>
    <row r="41" spans="1:21">
      <c r="F41" s="323"/>
      <c r="H41" s="323"/>
      <c r="I41" s="323"/>
    </row>
    <row r="42" spans="1:21">
      <c r="F42" s="323"/>
      <c r="H42" s="323"/>
      <c r="I42" s="323"/>
    </row>
    <row r="43" spans="1:21">
      <c r="H43" s="323"/>
      <c r="I43" s="323"/>
    </row>
    <row r="44" spans="1:21">
      <c r="F44" s="323"/>
      <c r="I44" s="323"/>
    </row>
    <row r="45" spans="1:21">
      <c r="F45" s="323"/>
      <c r="H45" s="323"/>
    </row>
    <row r="46" spans="1:21">
      <c r="F46" s="323"/>
      <c r="H46" s="323"/>
      <c r="I46" s="323"/>
    </row>
    <row r="47" spans="1:21">
      <c r="F47" s="323"/>
      <c r="H47" s="323"/>
      <c r="I47" s="323"/>
    </row>
    <row r="48" spans="1:21">
      <c r="H48" s="323"/>
      <c r="I48" s="323"/>
    </row>
    <row r="49" spans="6:9">
      <c r="F49" s="323"/>
      <c r="H49" s="124"/>
      <c r="I49" s="323"/>
    </row>
    <row r="50" spans="6:9">
      <c r="F50" s="323"/>
      <c r="H50" s="323"/>
    </row>
    <row r="51" spans="6:9">
      <c r="F51" s="323"/>
      <c r="H51" s="323"/>
      <c r="I51" s="323"/>
    </row>
    <row r="52" spans="6:9">
      <c r="F52" s="323"/>
      <c r="H52" s="323"/>
      <c r="I52" s="323"/>
    </row>
    <row r="53" spans="6:9">
      <c r="H53" s="323"/>
      <c r="I53" s="323"/>
    </row>
    <row r="54" spans="6:9">
      <c r="F54" s="323"/>
      <c r="I54" s="323"/>
    </row>
    <row r="55" spans="6:9">
      <c r="F55" s="323"/>
      <c r="H55" s="323"/>
    </row>
    <row r="56" spans="6:9">
      <c r="F56" s="323"/>
      <c r="H56" s="323"/>
    </row>
    <row r="57" spans="6:9">
      <c r="F57" s="323"/>
      <c r="H57" s="323"/>
    </row>
    <row r="58" spans="6:9">
      <c r="H58" s="323"/>
    </row>
    <row r="59" spans="6:9">
      <c r="F59" s="323"/>
    </row>
    <row r="60" spans="6:9">
      <c r="F60" s="323"/>
    </row>
    <row r="61" spans="6:9">
      <c r="F61" s="323"/>
    </row>
    <row r="62" spans="6:9">
      <c r="F62" s="323"/>
    </row>
    <row r="64" spans="6:9">
      <c r="F64" s="323"/>
    </row>
    <row r="65" spans="6:6">
      <c r="F65" s="323"/>
    </row>
    <row r="66" spans="6:6">
      <c r="F66" s="323"/>
    </row>
    <row r="67" spans="6:6">
      <c r="F67" s="323"/>
    </row>
  </sheetData>
  <sheetProtection algorithmName="SHA-512" hashValue="jXMAJSRNKJHb7AeKFKEDgC+ShbYAqb+q4s2X7XbotVxGqosnS6Fnkkr5wDbes5dR9z8DuhtjU/Tf0F7nEQNmKQ==" saltValue="9V23Q5MGIFrJXGvhZJhT7Q==" spinCount="100000" sheet="1" objects="1" scenarios="1"/>
  <mergeCells count="24">
    <mergeCell ref="T2:T3"/>
    <mergeCell ref="U2:U3"/>
    <mergeCell ref="P1:U1"/>
    <mergeCell ref="H2:H3"/>
    <mergeCell ref="I2:I3"/>
    <mergeCell ref="J2:J3"/>
    <mergeCell ref="K2:K3"/>
    <mergeCell ref="R2:R3"/>
    <mergeCell ref="M2:M3"/>
    <mergeCell ref="A4:A14"/>
    <mergeCell ref="A15:A33"/>
    <mergeCell ref="S2:S3"/>
    <mergeCell ref="A1:A3"/>
    <mergeCell ref="D2:D3"/>
    <mergeCell ref="E2:E3"/>
    <mergeCell ref="F2:F3"/>
    <mergeCell ref="G2:G3"/>
    <mergeCell ref="P2:P3"/>
    <mergeCell ref="Q2:Q3"/>
    <mergeCell ref="B1:C3"/>
    <mergeCell ref="O2:O3"/>
    <mergeCell ref="D1:O1"/>
    <mergeCell ref="L2:L3"/>
    <mergeCell ref="N2:N3"/>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L23"/>
  <sheetViews>
    <sheetView showZeros="0" zoomScale="85" zoomScaleNormal="85" workbookViewId="0">
      <selection activeCell="I10" sqref="I10"/>
    </sheetView>
  </sheetViews>
  <sheetFormatPr defaultColWidth="11.42578125" defaultRowHeight="14.45"/>
  <cols>
    <col min="1" max="1" width="32.140625" style="19" customWidth="1"/>
    <col min="2" max="2" width="13.7109375" style="19" customWidth="1"/>
    <col min="3" max="3" width="12.140625" style="19" bestFit="1" customWidth="1"/>
    <col min="4" max="4" width="12.5703125" style="19" customWidth="1"/>
    <col min="5" max="10" width="12.140625" style="19" bestFit="1" customWidth="1"/>
    <col min="11" max="12" width="12.140625" style="19" customWidth="1"/>
    <col min="13" max="13" width="17.28515625" style="19" bestFit="1" customWidth="1"/>
    <col min="14" max="14" width="15.7109375" style="19" bestFit="1" customWidth="1"/>
    <col min="15" max="15" width="16.5703125" style="19" bestFit="1" customWidth="1"/>
    <col min="16" max="16" width="15" style="19" bestFit="1" customWidth="1"/>
    <col min="17" max="16384" width="11.42578125" style="19"/>
  </cols>
  <sheetData>
    <row r="1" spans="1:12" ht="15" thickBot="1">
      <c r="C1" s="126"/>
      <c r="D1" s="126"/>
      <c r="E1" s="126"/>
      <c r="F1" s="126"/>
      <c r="G1" s="126"/>
      <c r="H1" s="126"/>
      <c r="I1" s="126"/>
      <c r="J1" s="126"/>
      <c r="K1" s="126"/>
      <c r="L1" s="126"/>
    </row>
    <row r="2" spans="1:12" ht="15" thickBot="1">
      <c r="A2" s="350" t="s">
        <v>53</v>
      </c>
      <c r="B2" s="351" t="s">
        <v>34</v>
      </c>
      <c r="C2" s="352">
        <v>55</v>
      </c>
      <c r="D2" s="126"/>
      <c r="E2" s="126"/>
      <c r="F2" s="126"/>
      <c r="G2" s="126"/>
      <c r="H2" s="126"/>
      <c r="I2" s="126"/>
      <c r="J2" s="126"/>
      <c r="K2" s="126"/>
      <c r="L2" s="126"/>
    </row>
    <row r="3" spans="1:12" ht="15" thickBot="1">
      <c r="A3" s="350" t="s">
        <v>189</v>
      </c>
      <c r="B3" s="351" t="s">
        <v>34</v>
      </c>
      <c r="C3" s="352">
        <v>55</v>
      </c>
      <c r="D3" s="126"/>
      <c r="E3" s="126"/>
      <c r="F3" s="126"/>
      <c r="G3" s="126"/>
      <c r="H3" s="126"/>
      <c r="I3" s="126"/>
      <c r="J3" s="126"/>
      <c r="K3" s="126"/>
      <c r="L3" s="126"/>
    </row>
    <row r="4" spans="1:12" ht="15" thickBot="1">
      <c r="A4" s="350" t="s">
        <v>93</v>
      </c>
      <c r="B4" s="351" t="s">
        <v>34</v>
      </c>
      <c r="C4" s="352">
        <v>55</v>
      </c>
      <c r="D4" s="126"/>
      <c r="E4" s="126"/>
      <c r="F4" s="126"/>
      <c r="G4" s="126"/>
      <c r="H4" s="126"/>
      <c r="I4" s="126"/>
      <c r="J4" s="126"/>
      <c r="K4" s="126"/>
      <c r="L4" s="126"/>
    </row>
    <row r="5" spans="1:12" ht="15" thickBot="1">
      <c r="A5" s="350" t="s">
        <v>190</v>
      </c>
      <c r="B5" s="351" t="s">
        <v>34</v>
      </c>
      <c r="C5" s="352">
        <v>55</v>
      </c>
      <c r="D5" s="126"/>
      <c r="E5" s="126"/>
      <c r="F5" s="126"/>
      <c r="G5" s="126"/>
      <c r="H5" s="126"/>
      <c r="I5" s="126"/>
      <c r="J5" s="126"/>
      <c r="K5" s="126"/>
      <c r="L5" s="126"/>
    </row>
    <row r="6" spans="1:12">
      <c r="A6" s="350" t="s">
        <v>162</v>
      </c>
      <c r="B6" s="351" t="s">
        <v>34</v>
      </c>
      <c r="C6" s="352">
        <v>55</v>
      </c>
      <c r="D6" s="126"/>
      <c r="E6" s="126"/>
      <c r="F6" s="126"/>
      <c r="G6" s="126"/>
      <c r="H6" s="126"/>
      <c r="I6" s="126"/>
      <c r="J6" s="126"/>
      <c r="K6" s="126"/>
      <c r="L6" s="126"/>
    </row>
    <row r="7" spans="1:12">
      <c r="C7" s="126"/>
      <c r="D7" s="126"/>
      <c r="E7" s="126"/>
      <c r="F7" s="126"/>
      <c r="G7" s="126"/>
      <c r="H7" s="126"/>
      <c r="I7" s="126"/>
      <c r="J7" s="126"/>
      <c r="K7" s="126"/>
      <c r="L7" s="126"/>
    </row>
    <row r="8" spans="1:12">
      <c r="C8" s="126"/>
      <c r="D8" s="126"/>
      <c r="E8" s="126"/>
      <c r="F8" s="126"/>
      <c r="G8" s="126"/>
      <c r="H8" s="126"/>
      <c r="I8" s="126"/>
      <c r="J8" s="126"/>
      <c r="K8" s="126"/>
      <c r="L8" s="126"/>
    </row>
    <row r="9" spans="1:12">
      <c r="C9" s="126"/>
      <c r="D9" s="126"/>
      <c r="E9" s="126"/>
      <c r="F9" s="126"/>
      <c r="G9" s="126"/>
      <c r="H9" s="126"/>
      <c r="I9" s="126"/>
      <c r="J9" s="126"/>
      <c r="K9" s="126"/>
      <c r="L9" s="126"/>
    </row>
    <row r="10" spans="1:12">
      <c r="C10" s="126"/>
      <c r="D10" s="126"/>
      <c r="E10" s="126"/>
      <c r="F10" s="126"/>
      <c r="G10" s="126"/>
      <c r="H10" s="126"/>
      <c r="I10" s="126"/>
      <c r="J10" s="126"/>
      <c r="K10" s="126"/>
      <c r="L10" s="126"/>
    </row>
    <row r="11" spans="1:12">
      <c r="C11" s="126"/>
      <c r="D11" s="126"/>
      <c r="E11" s="126"/>
      <c r="F11" s="126"/>
      <c r="G11" s="126"/>
      <c r="H11" s="126"/>
      <c r="I11" s="126"/>
      <c r="J11" s="126"/>
      <c r="K11" s="126"/>
      <c r="L11" s="126"/>
    </row>
    <row r="12" spans="1:12">
      <c r="C12" s="126"/>
      <c r="D12" s="126"/>
      <c r="E12" s="126"/>
      <c r="F12" s="126"/>
      <c r="G12" s="126"/>
      <c r="H12" s="126"/>
      <c r="I12" s="126"/>
      <c r="J12" s="126"/>
      <c r="K12" s="126"/>
      <c r="L12" s="126"/>
    </row>
    <row r="13" spans="1:12">
      <c r="C13" s="126"/>
      <c r="D13" s="126"/>
      <c r="E13" s="126"/>
      <c r="F13" s="126"/>
      <c r="G13" s="126"/>
      <c r="H13" s="126"/>
      <c r="I13" s="126"/>
      <c r="J13" s="126"/>
      <c r="K13" s="126"/>
      <c r="L13" s="126"/>
    </row>
    <row r="14" spans="1:12">
      <c r="C14" s="126"/>
      <c r="D14" s="126"/>
      <c r="E14" s="126"/>
      <c r="F14" s="126"/>
      <c r="G14" s="126"/>
      <c r="H14" s="126"/>
      <c r="I14" s="126"/>
      <c r="J14" s="126"/>
      <c r="K14" s="126"/>
      <c r="L14" s="126"/>
    </row>
    <row r="15" spans="1:12">
      <c r="C15" s="126"/>
      <c r="D15" s="126"/>
      <c r="E15" s="126"/>
      <c r="F15" s="126"/>
      <c r="G15" s="126"/>
      <c r="H15" s="126"/>
      <c r="I15" s="126"/>
      <c r="J15" s="126"/>
      <c r="K15" s="126"/>
      <c r="L15" s="126"/>
    </row>
    <row r="16" spans="1:12">
      <c r="C16" s="126"/>
      <c r="D16" s="126"/>
      <c r="E16" s="126"/>
      <c r="F16" s="126"/>
      <c r="G16" s="126"/>
      <c r="H16" s="126"/>
      <c r="I16" s="126"/>
      <c r="J16" s="126"/>
      <c r="K16" s="126"/>
      <c r="L16" s="126"/>
    </row>
    <row r="17" spans="3:12">
      <c r="C17" s="126"/>
      <c r="D17" s="126"/>
      <c r="E17" s="126"/>
      <c r="F17" s="126"/>
      <c r="G17" s="126"/>
      <c r="H17" s="126"/>
      <c r="I17" s="126"/>
      <c r="J17" s="126"/>
      <c r="K17" s="126"/>
      <c r="L17" s="126"/>
    </row>
    <row r="18" spans="3:12">
      <c r="C18" s="126"/>
      <c r="D18" s="126"/>
      <c r="E18" s="126"/>
      <c r="F18" s="126"/>
      <c r="G18" s="126"/>
      <c r="H18" s="126"/>
      <c r="I18" s="126"/>
      <c r="J18" s="126"/>
      <c r="K18" s="126"/>
      <c r="L18" s="126"/>
    </row>
    <row r="19" spans="3:12">
      <c r="C19" s="126"/>
      <c r="D19" s="126"/>
      <c r="E19" s="126"/>
      <c r="F19" s="126"/>
      <c r="G19" s="126"/>
      <c r="H19" s="126"/>
      <c r="I19" s="126"/>
      <c r="J19" s="126"/>
      <c r="K19" s="126"/>
      <c r="L19" s="126"/>
    </row>
    <row r="20" spans="3:12">
      <c r="C20" s="126"/>
      <c r="D20" s="126"/>
      <c r="E20" s="126"/>
      <c r="F20" s="126"/>
      <c r="G20" s="126"/>
      <c r="H20" s="126"/>
      <c r="I20" s="126"/>
      <c r="J20" s="126"/>
      <c r="K20" s="126"/>
      <c r="L20" s="126"/>
    </row>
    <row r="21" spans="3:12">
      <c r="C21" s="126"/>
      <c r="D21" s="126"/>
      <c r="E21" s="126"/>
      <c r="F21" s="126"/>
      <c r="G21" s="126"/>
      <c r="H21" s="126"/>
      <c r="I21" s="126"/>
      <c r="J21" s="126"/>
      <c r="K21" s="126"/>
      <c r="L21" s="126"/>
    </row>
    <row r="22" spans="3:12">
      <c r="C22" s="126"/>
      <c r="D22" s="126"/>
      <c r="E22" s="126"/>
      <c r="F22" s="126"/>
      <c r="G22" s="126"/>
      <c r="H22" s="126"/>
      <c r="I22" s="126"/>
      <c r="J22" s="126"/>
      <c r="K22" s="126"/>
      <c r="L22" s="126"/>
    </row>
    <row r="23" spans="3:12">
      <c r="C23" s="126"/>
      <c r="D23" s="126"/>
      <c r="E23" s="126"/>
      <c r="F23" s="126"/>
      <c r="G23" s="126"/>
      <c r="H23" s="126"/>
      <c r="I23" s="126"/>
      <c r="J23" s="126"/>
      <c r="K23" s="126"/>
      <c r="L23" s="126"/>
    </row>
  </sheetData>
  <sheetProtection algorithmName="SHA-512" hashValue="/PabMXEV97xzJg4XE8WuD8Plbi+YNBWPq05+H5EOBWy/+sPajps7lJyc6pSzZmPXNf/qafvNFnynlgzBDalNPw==" saltValue="ugJ3X/bbk0Q4GnoRri23/g==" spinCount="100000" sheet="1" objects="1" scenarios="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A1:K3"/>
  <sheetViews>
    <sheetView workbookViewId="0">
      <selection activeCell="H25" sqref="H25"/>
    </sheetView>
  </sheetViews>
  <sheetFormatPr defaultColWidth="11.42578125" defaultRowHeight="14.45"/>
  <cols>
    <col min="1" max="1" width="9.42578125" style="19" bestFit="1" customWidth="1"/>
    <col min="2" max="2" width="8.7109375" style="19" bestFit="1" customWidth="1"/>
    <col min="3" max="3" width="10.28515625" style="19" bestFit="1" customWidth="1"/>
    <col min="4" max="4" width="6.7109375" style="19" bestFit="1" customWidth="1"/>
    <col min="5" max="5" width="22" style="19" bestFit="1" customWidth="1"/>
    <col min="6" max="6" width="22" style="19" customWidth="1"/>
    <col min="7" max="7" width="11.28515625" style="19" bestFit="1" customWidth="1"/>
    <col min="8" max="8" width="14.7109375" style="19" bestFit="1" customWidth="1"/>
    <col min="9" max="11" width="7" style="19" bestFit="1" customWidth="1"/>
    <col min="12" max="16384" width="11.42578125" style="19"/>
  </cols>
  <sheetData>
    <row r="1" spans="1:11">
      <c r="A1" s="322" t="s">
        <v>132</v>
      </c>
      <c r="B1" s="322" t="s">
        <v>10</v>
      </c>
      <c r="C1" s="322"/>
      <c r="D1" s="19" t="s">
        <v>191</v>
      </c>
      <c r="E1" s="19" t="s">
        <v>192</v>
      </c>
      <c r="F1" s="19" t="s">
        <v>193</v>
      </c>
      <c r="G1" s="19" t="s">
        <v>194</v>
      </c>
      <c r="H1" s="19" t="s">
        <v>195</v>
      </c>
      <c r="I1" s="19" t="s">
        <v>115</v>
      </c>
      <c r="J1" s="19" t="s">
        <v>116</v>
      </c>
      <c r="K1" s="19" t="s">
        <v>60</v>
      </c>
    </row>
    <row r="2" spans="1:11">
      <c r="A2" s="40" t="s">
        <v>142</v>
      </c>
      <c r="B2" s="40" t="s">
        <v>22</v>
      </c>
      <c r="C2" s="40" t="s">
        <v>196</v>
      </c>
      <c r="D2" s="19">
        <v>4</v>
      </c>
      <c r="E2" s="19" t="s">
        <v>197</v>
      </c>
      <c r="F2" s="324">
        <v>0.25</v>
      </c>
      <c r="G2" s="323">
        <f>F2*(I2*'INTRODUCIR DATOS'!$E$32+J2*'INTRODUCIR DATOS'!$E$33+K2*'INTRODUCIR DATOS'!$E$34)</f>
        <v>9.131475</v>
      </c>
      <c r="I2" s="19">
        <v>0.11169999999999999</v>
      </c>
      <c r="J2" s="19">
        <v>0.1075</v>
      </c>
      <c r="K2" s="19">
        <v>0.1011</v>
      </c>
    </row>
    <row r="3" spans="1:11">
      <c r="A3" s="40" t="s">
        <v>142</v>
      </c>
      <c r="B3" s="40" t="s">
        <v>84</v>
      </c>
      <c r="C3" s="40" t="s">
        <v>196</v>
      </c>
      <c r="D3" s="19">
        <v>4</v>
      </c>
      <c r="E3" s="19" t="s">
        <v>197</v>
      </c>
      <c r="F3" s="324">
        <v>0.25</v>
      </c>
      <c r="G3" s="323">
        <f>F3*(I3*'INTRODUCIR DATOS'!$E$32+J3*'INTRODUCIR DATOS'!$E$33+K3*'INTRODUCIR DATOS'!$E$34)</f>
        <v>8.7227250000000005</v>
      </c>
      <c r="I3" s="19">
        <v>0.1067</v>
      </c>
      <c r="J3" s="19">
        <v>0.10249999999999999</v>
      </c>
      <c r="K3" s="19">
        <v>9.6100000000000005E-2</v>
      </c>
    </row>
  </sheetData>
  <sheetProtection algorithmName="SHA-512" hashValue="ItTftnTuz5Uwlc7lOkgQezxhTdhot5G51VRxedxaHegepesFE871yJsql2grgPIUhSmPsfm040ez+J7m4ZNeGA==" saltValue="VHluqH7dob2WpD04jKEctg==" spinCount="100000" sheet="1" objects="1" scenarios="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dimension ref="A1:O147"/>
  <sheetViews>
    <sheetView zoomScale="85" zoomScaleNormal="85" workbookViewId="0">
      <selection activeCell="T18" sqref="T18"/>
    </sheetView>
  </sheetViews>
  <sheetFormatPr defaultColWidth="11.42578125" defaultRowHeight="14.45"/>
  <cols>
    <col min="1" max="1" width="15.42578125" style="19" customWidth="1"/>
    <col min="2" max="16384" width="11.42578125" style="19"/>
  </cols>
  <sheetData>
    <row r="1" spans="1:15" ht="15" customHeight="1" thickBot="1">
      <c r="A1" s="591" t="s">
        <v>10</v>
      </c>
      <c r="B1" s="623" t="s">
        <v>175</v>
      </c>
      <c r="C1" s="343"/>
      <c r="D1" s="618" t="s">
        <v>176</v>
      </c>
      <c r="E1" s="619"/>
      <c r="F1" s="619"/>
      <c r="G1" s="619"/>
      <c r="H1" s="619"/>
      <c r="I1" s="619"/>
      <c r="J1" s="619"/>
      <c r="K1" s="619"/>
      <c r="L1" s="619"/>
      <c r="M1" s="619"/>
      <c r="N1" s="619"/>
      <c r="O1" s="619"/>
    </row>
    <row r="2" spans="1:15">
      <c r="A2" s="592"/>
      <c r="B2" s="624"/>
      <c r="C2" s="131"/>
      <c r="D2" s="577" t="s">
        <v>64</v>
      </c>
      <c r="E2" s="578" t="s">
        <v>66</v>
      </c>
      <c r="F2" s="578" t="s">
        <v>68</v>
      </c>
      <c r="G2" s="578" t="s">
        <v>69</v>
      </c>
      <c r="H2" s="578" t="s">
        <v>70</v>
      </c>
      <c r="I2" s="578" t="s">
        <v>72</v>
      </c>
      <c r="J2" s="578" t="s">
        <v>33</v>
      </c>
      <c r="K2" s="578" t="s">
        <v>77</v>
      </c>
      <c r="L2" s="578" t="s">
        <v>80</v>
      </c>
      <c r="M2" s="578" t="s">
        <v>82</v>
      </c>
      <c r="N2" s="578" t="s">
        <v>83</v>
      </c>
      <c r="O2" s="614" t="s">
        <v>85</v>
      </c>
    </row>
    <row r="3" spans="1:15" ht="15" thickBot="1">
      <c r="A3" s="593"/>
      <c r="B3" s="625"/>
      <c r="C3" s="132"/>
      <c r="D3" s="576"/>
      <c r="E3" s="575"/>
      <c r="F3" s="575"/>
      <c r="G3" s="575"/>
      <c r="H3" s="575"/>
      <c r="I3" s="575"/>
      <c r="J3" s="575"/>
      <c r="K3" s="575"/>
      <c r="L3" s="575"/>
      <c r="M3" s="575"/>
      <c r="N3" s="575"/>
      <c r="O3" s="587"/>
    </row>
    <row r="4" spans="1:15">
      <c r="A4" s="603" t="s">
        <v>188</v>
      </c>
      <c r="B4" s="24">
        <v>0</v>
      </c>
      <c r="C4" s="24">
        <v>1.5</v>
      </c>
      <c r="D4" s="111">
        <v>24.6</v>
      </c>
      <c r="E4" s="112">
        <v>36.08</v>
      </c>
      <c r="F4" s="112">
        <v>41.82</v>
      </c>
      <c r="G4" s="112">
        <v>4.92</v>
      </c>
      <c r="H4" s="112">
        <v>5.74</v>
      </c>
      <c r="I4" s="112">
        <v>6.56</v>
      </c>
      <c r="J4" s="112">
        <v>24.6</v>
      </c>
      <c r="K4" s="112">
        <v>36.08</v>
      </c>
      <c r="L4" s="112">
        <v>41.82</v>
      </c>
      <c r="M4" s="112">
        <v>4.92</v>
      </c>
      <c r="N4" s="112">
        <v>5.74</v>
      </c>
      <c r="O4" s="113">
        <v>6.56</v>
      </c>
    </row>
    <row r="5" spans="1:15">
      <c r="A5" s="595"/>
      <c r="B5" s="25">
        <v>1.5009999999999999</v>
      </c>
      <c r="C5" s="25">
        <v>3</v>
      </c>
      <c r="D5" s="114">
        <v>42.64</v>
      </c>
      <c r="E5" s="110">
        <v>61.5</v>
      </c>
      <c r="F5" s="110">
        <v>70.52</v>
      </c>
      <c r="G5" s="110">
        <v>11.48</v>
      </c>
      <c r="H5" s="110">
        <v>14.76</v>
      </c>
      <c r="I5" s="110">
        <v>15.58</v>
      </c>
      <c r="J5" s="110">
        <v>42.64</v>
      </c>
      <c r="K5" s="110">
        <v>61.5</v>
      </c>
      <c r="L5" s="110">
        <v>70.52</v>
      </c>
      <c r="M5" s="110">
        <v>11.48</v>
      </c>
      <c r="N5" s="110">
        <v>14.76</v>
      </c>
      <c r="O5" s="115">
        <v>15.58</v>
      </c>
    </row>
    <row r="6" spans="1:15">
      <c r="A6" s="595"/>
      <c r="B6" s="25">
        <v>3.0009999999999999</v>
      </c>
      <c r="C6" s="25">
        <v>5</v>
      </c>
      <c r="D6" s="114">
        <v>61.5</v>
      </c>
      <c r="E6" s="110">
        <v>87.74</v>
      </c>
      <c r="F6" s="110">
        <v>99.22</v>
      </c>
      <c r="G6" s="110">
        <v>20.5</v>
      </c>
      <c r="H6" s="110">
        <v>26.24</v>
      </c>
      <c r="I6" s="110">
        <v>28.7</v>
      </c>
      <c r="J6" s="110">
        <v>61.5</v>
      </c>
      <c r="K6" s="110">
        <v>87.74</v>
      </c>
      <c r="L6" s="110">
        <v>99.22</v>
      </c>
      <c r="M6" s="110">
        <v>20.5</v>
      </c>
      <c r="N6" s="110">
        <v>26.24</v>
      </c>
      <c r="O6" s="115">
        <v>28.7</v>
      </c>
    </row>
    <row r="7" spans="1:15">
      <c r="A7" s="595"/>
      <c r="B7" s="25">
        <v>5.0010000000000003</v>
      </c>
      <c r="C7" s="25">
        <v>10</v>
      </c>
      <c r="D7" s="114">
        <v>86.1</v>
      </c>
      <c r="E7" s="110">
        <v>119.72</v>
      </c>
      <c r="F7" s="110">
        <v>135.30000000000001</v>
      </c>
      <c r="G7" s="110">
        <v>37.72</v>
      </c>
      <c r="H7" s="110">
        <v>48.38</v>
      </c>
      <c r="I7" s="110">
        <v>52.48</v>
      </c>
      <c r="J7" s="110">
        <v>86.1</v>
      </c>
      <c r="K7" s="110">
        <v>119.72</v>
      </c>
      <c r="L7" s="110">
        <v>135.30000000000001</v>
      </c>
      <c r="M7" s="110">
        <v>37.72</v>
      </c>
      <c r="N7" s="110">
        <v>48.38</v>
      </c>
      <c r="O7" s="115">
        <v>52.48</v>
      </c>
    </row>
    <row r="8" spans="1:15">
      <c r="A8" s="595"/>
      <c r="B8" s="26">
        <v>10.000999999999999</v>
      </c>
      <c r="C8" s="26">
        <v>20</v>
      </c>
      <c r="D8" s="114">
        <v>151.69999999999999</v>
      </c>
      <c r="E8" s="110">
        <v>209.1</v>
      </c>
      <c r="F8" s="110">
        <v>323.88</v>
      </c>
      <c r="G8" s="110">
        <v>82</v>
      </c>
      <c r="H8" s="110">
        <v>106.6</v>
      </c>
      <c r="I8" s="110">
        <v>114.8</v>
      </c>
      <c r="J8" s="110">
        <v>151.69999999999999</v>
      </c>
      <c r="K8" s="110">
        <v>209.1</v>
      </c>
      <c r="L8" s="110">
        <v>323.88</v>
      </c>
      <c r="M8" s="110">
        <v>82</v>
      </c>
      <c r="N8" s="110">
        <v>106.6</v>
      </c>
      <c r="O8" s="115">
        <v>114.8</v>
      </c>
    </row>
    <row r="9" spans="1:15">
      <c r="A9" s="595"/>
      <c r="B9" s="26">
        <v>20.001000000000001</v>
      </c>
      <c r="C9" s="26">
        <v>35</v>
      </c>
      <c r="D9" s="114">
        <v>184.5</v>
      </c>
      <c r="E9" s="110">
        <v>249.28</v>
      </c>
      <c r="F9" s="110">
        <v>275.52</v>
      </c>
      <c r="G9" s="110">
        <v>136.12</v>
      </c>
      <c r="H9" s="110">
        <v>176.3</v>
      </c>
      <c r="I9" s="110">
        <v>191.06</v>
      </c>
      <c r="J9" s="110">
        <v>184.5</v>
      </c>
      <c r="K9" s="110">
        <v>249.28</v>
      </c>
      <c r="L9" s="110">
        <v>275.52</v>
      </c>
      <c r="M9" s="110">
        <v>136.12</v>
      </c>
      <c r="N9" s="110">
        <v>176.3</v>
      </c>
      <c r="O9" s="115">
        <v>191.06</v>
      </c>
    </row>
    <row r="10" spans="1:15">
      <c r="A10" s="595"/>
      <c r="B10" s="26">
        <v>35.000999999999998</v>
      </c>
      <c r="C10" s="26">
        <v>50</v>
      </c>
      <c r="D10" s="114">
        <v>246</v>
      </c>
      <c r="E10" s="110">
        <v>328.82</v>
      </c>
      <c r="F10" s="110">
        <v>360.8</v>
      </c>
      <c r="G10" s="110">
        <v>209.92</v>
      </c>
      <c r="H10" s="110">
        <v>273.06</v>
      </c>
      <c r="I10" s="110">
        <v>212.38</v>
      </c>
      <c r="J10" s="110">
        <v>246</v>
      </c>
      <c r="K10" s="110">
        <v>328.82</v>
      </c>
      <c r="L10" s="110">
        <v>360.8</v>
      </c>
      <c r="M10" s="110">
        <v>209.92</v>
      </c>
      <c r="N10" s="110">
        <v>273.06</v>
      </c>
      <c r="O10" s="115">
        <v>212.38</v>
      </c>
    </row>
    <row r="11" spans="1:15">
      <c r="A11" s="595"/>
      <c r="B11" s="26">
        <v>50.000999999999998</v>
      </c>
      <c r="C11" s="26">
        <v>65</v>
      </c>
      <c r="D11" s="114">
        <v>340.3</v>
      </c>
      <c r="E11" s="110">
        <v>452.64</v>
      </c>
      <c r="F11" s="110">
        <v>493.64</v>
      </c>
      <c r="G11" s="110">
        <v>283.72000000000003</v>
      </c>
      <c r="H11" s="110">
        <v>369.82</v>
      </c>
      <c r="I11" s="110">
        <v>396.88</v>
      </c>
      <c r="J11" s="110">
        <v>340.3</v>
      </c>
      <c r="K11" s="110">
        <v>452.64</v>
      </c>
      <c r="L11" s="110">
        <v>493.64</v>
      </c>
      <c r="M11" s="110">
        <v>283.72000000000003</v>
      </c>
      <c r="N11" s="110">
        <v>369.82</v>
      </c>
      <c r="O11" s="115">
        <v>396.88</v>
      </c>
    </row>
    <row r="12" spans="1:15">
      <c r="A12" s="595"/>
      <c r="B12" s="26">
        <v>65.001000000000005</v>
      </c>
      <c r="C12" s="26">
        <v>85</v>
      </c>
      <c r="D12" s="114">
        <v>397.7</v>
      </c>
      <c r="E12" s="110">
        <v>528.08000000000004</v>
      </c>
      <c r="F12" s="110">
        <v>575.64</v>
      </c>
      <c r="G12" s="110">
        <v>369.82</v>
      </c>
      <c r="H12" s="110">
        <v>480.52</v>
      </c>
      <c r="I12" s="110">
        <v>517.41999999999996</v>
      </c>
      <c r="J12" s="110">
        <v>397.7</v>
      </c>
      <c r="K12" s="110">
        <v>528.08000000000004</v>
      </c>
      <c r="L12" s="110">
        <v>575.64</v>
      </c>
      <c r="M12" s="110">
        <v>369.82</v>
      </c>
      <c r="N12" s="110">
        <v>480.52</v>
      </c>
      <c r="O12" s="115">
        <v>517.41999999999996</v>
      </c>
    </row>
    <row r="13" spans="1:15" ht="15" thickBot="1">
      <c r="A13" s="595"/>
      <c r="B13" s="26">
        <v>85.001000000000005</v>
      </c>
      <c r="C13" s="26">
        <v>100</v>
      </c>
      <c r="D13" s="116">
        <v>471.5</v>
      </c>
      <c r="E13" s="117">
        <v>623.20000000000005</v>
      </c>
      <c r="F13" s="117">
        <v>678.96</v>
      </c>
      <c r="G13" s="117">
        <v>451</v>
      </c>
      <c r="H13" s="117">
        <v>586.29999999999995</v>
      </c>
      <c r="I13" s="117">
        <v>631.4</v>
      </c>
      <c r="J13" s="117">
        <v>471.5</v>
      </c>
      <c r="K13" s="117">
        <v>623.20000000000005</v>
      </c>
      <c r="L13" s="117">
        <v>678.96</v>
      </c>
      <c r="M13" s="117">
        <v>451</v>
      </c>
      <c r="N13" s="117">
        <v>586.29999999999995</v>
      </c>
      <c r="O13" s="118">
        <v>631.4</v>
      </c>
    </row>
    <row r="14" spans="1:15">
      <c r="A14" s="620" t="s">
        <v>180</v>
      </c>
      <c r="B14" s="24">
        <v>0</v>
      </c>
      <c r="C14" s="344">
        <v>1.5</v>
      </c>
      <c r="D14" s="317">
        <v>65.599999999999994</v>
      </c>
      <c r="E14" s="353">
        <v>96.76</v>
      </c>
      <c r="F14" s="353">
        <v>105.78</v>
      </c>
      <c r="G14" s="353">
        <v>4.0999999999999996</v>
      </c>
      <c r="H14" s="353">
        <v>4.92</v>
      </c>
      <c r="I14" s="353">
        <v>8.1999999999999993</v>
      </c>
      <c r="J14" s="353">
        <v>65.599999999999994</v>
      </c>
      <c r="K14" s="353">
        <v>96.76</v>
      </c>
      <c r="L14" s="353">
        <v>105.78</v>
      </c>
      <c r="M14" s="353">
        <v>4.0999999999999996</v>
      </c>
      <c r="N14" s="353">
        <v>4.92</v>
      </c>
      <c r="O14" s="318">
        <v>8.1999999999999993</v>
      </c>
    </row>
    <row r="15" spans="1:15">
      <c r="A15" s="621"/>
      <c r="B15" s="25">
        <v>1.5009999999999999</v>
      </c>
      <c r="C15" s="345">
        <v>3</v>
      </c>
      <c r="D15" s="114">
        <v>82</v>
      </c>
      <c r="E15" s="110">
        <v>118.08</v>
      </c>
      <c r="F15" s="110">
        <v>129.56</v>
      </c>
      <c r="G15" s="110">
        <v>13.3</v>
      </c>
      <c r="H15" s="110">
        <v>13.12</v>
      </c>
      <c r="I15" s="110">
        <v>16.399999999999999</v>
      </c>
      <c r="J15" s="110">
        <v>82</v>
      </c>
      <c r="K15" s="110">
        <v>118.08</v>
      </c>
      <c r="L15" s="110">
        <v>129.56</v>
      </c>
      <c r="M15" s="110">
        <v>13.3</v>
      </c>
      <c r="N15" s="110">
        <v>13.12</v>
      </c>
      <c r="O15" s="115">
        <v>16.399999999999999</v>
      </c>
    </row>
    <row r="16" spans="1:15">
      <c r="A16" s="621"/>
      <c r="B16" s="25">
        <v>3.0009999999999999</v>
      </c>
      <c r="C16" s="345">
        <v>5</v>
      </c>
      <c r="D16" s="114">
        <v>94.3</v>
      </c>
      <c r="E16" s="110">
        <v>123</v>
      </c>
      <c r="F16" s="110">
        <v>131.19999999999999</v>
      </c>
      <c r="G16" s="110">
        <v>18.04</v>
      </c>
      <c r="H16" s="110">
        <v>19.68</v>
      </c>
      <c r="I16" s="110">
        <v>23.78</v>
      </c>
      <c r="J16" s="110">
        <v>94.3</v>
      </c>
      <c r="K16" s="110">
        <v>123</v>
      </c>
      <c r="L16" s="110">
        <v>131.19999999999999</v>
      </c>
      <c r="M16" s="110">
        <v>18.04</v>
      </c>
      <c r="N16" s="110">
        <v>19.68</v>
      </c>
      <c r="O16" s="115">
        <v>23.78</v>
      </c>
    </row>
    <row r="17" spans="1:15">
      <c r="A17" s="621"/>
      <c r="B17" s="25">
        <v>5.0010000000000003</v>
      </c>
      <c r="C17" s="345">
        <v>10</v>
      </c>
      <c r="D17" s="114">
        <v>123.82</v>
      </c>
      <c r="E17" s="110">
        <v>139.4</v>
      </c>
      <c r="F17" s="110">
        <v>154.97999999999999</v>
      </c>
      <c r="G17" s="110">
        <v>33.619999999999997</v>
      </c>
      <c r="H17" s="110">
        <v>37.72</v>
      </c>
      <c r="I17" s="110">
        <v>45.1</v>
      </c>
      <c r="J17" s="110">
        <v>123.82</v>
      </c>
      <c r="K17" s="110">
        <v>139.4</v>
      </c>
      <c r="L17" s="110">
        <v>154.97999999999999</v>
      </c>
      <c r="M17" s="110">
        <v>33.619999999999997</v>
      </c>
      <c r="N17" s="110">
        <v>37.72</v>
      </c>
      <c r="O17" s="115">
        <v>45.1</v>
      </c>
    </row>
    <row r="18" spans="1:15">
      <c r="A18" s="621"/>
      <c r="B18" s="26">
        <v>10.000999999999999</v>
      </c>
      <c r="C18" s="346">
        <v>20</v>
      </c>
      <c r="D18" s="114">
        <v>155.80000000000001</v>
      </c>
      <c r="E18" s="110">
        <v>205.82</v>
      </c>
      <c r="F18" s="110">
        <v>323.06</v>
      </c>
      <c r="G18" s="110">
        <v>67.239999999999995</v>
      </c>
      <c r="H18" s="110">
        <v>74.62</v>
      </c>
      <c r="I18" s="110">
        <v>89.38</v>
      </c>
      <c r="J18" s="110">
        <v>155.80000000000001</v>
      </c>
      <c r="K18" s="110">
        <v>205.82</v>
      </c>
      <c r="L18" s="110">
        <v>323.06</v>
      </c>
      <c r="M18" s="110">
        <v>67.239999999999995</v>
      </c>
      <c r="N18" s="110">
        <v>74.62</v>
      </c>
      <c r="O18" s="115">
        <v>89.38</v>
      </c>
    </row>
    <row r="19" spans="1:15">
      <c r="A19" s="621"/>
      <c r="B19" s="26">
        <v>20.001000000000001</v>
      </c>
      <c r="C19" s="346">
        <v>30</v>
      </c>
      <c r="D19" s="114">
        <v>225.5</v>
      </c>
      <c r="E19" s="110">
        <v>296.02</v>
      </c>
      <c r="F19" s="110">
        <v>334.56</v>
      </c>
      <c r="G19" s="110">
        <v>114.8</v>
      </c>
      <c r="H19" s="110">
        <v>127.1</v>
      </c>
      <c r="I19" s="110">
        <v>152.52000000000001</v>
      </c>
      <c r="J19" s="110">
        <v>225.5</v>
      </c>
      <c r="K19" s="110">
        <v>296.02</v>
      </c>
      <c r="L19" s="110">
        <v>334.56</v>
      </c>
      <c r="M19" s="110">
        <v>114.8</v>
      </c>
      <c r="N19" s="110">
        <v>127.1</v>
      </c>
      <c r="O19" s="115">
        <v>152.52000000000001</v>
      </c>
    </row>
    <row r="20" spans="1:15">
      <c r="A20" s="621"/>
      <c r="B20" s="345">
        <v>30.001000000000001</v>
      </c>
      <c r="C20" s="345">
        <v>40</v>
      </c>
      <c r="D20" s="114">
        <v>273.88</v>
      </c>
      <c r="E20" s="110">
        <v>355.88</v>
      </c>
      <c r="F20" s="110">
        <v>406.72</v>
      </c>
      <c r="G20" s="110">
        <v>155.80000000000001</v>
      </c>
      <c r="H20" s="110">
        <v>173.84</v>
      </c>
      <c r="I20" s="110">
        <v>208.28</v>
      </c>
      <c r="J20" s="110">
        <v>273.88</v>
      </c>
      <c r="K20" s="110">
        <v>355.88</v>
      </c>
      <c r="L20" s="110">
        <v>406.72</v>
      </c>
      <c r="M20" s="110">
        <v>155.80000000000001</v>
      </c>
      <c r="N20" s="110">
        <v>173.84</v>
      </c>
      <c r="O20" s="115">
        <v>208.28</v>
      </c>
    </row>
    <row r="21" spans="1:15">
      <c r="A21" s="621"/>
      <c r="B21" s="345">
        <v>40.000999999999998</v>
      </c>
      <c r="C21" s="345">
        <v>50</v>
      </c>
      <c r="D21" s="114">
        <v>323.89999999999998</v>
      </c>
      <c r="E21" s="110">
        <v>406.72</v>
      </c>
      <c r="F21" s="110">
        <v>466.58</v>
      </c>
      <c r="G21" s="110">
        <v>205</v>
      </c>
      <c r="H21" s="110">
        <v>227.96</v>
      </c>
      <c r="I21" s="110">
        <v>273.06</v>
      </c>
      <c r="J21" s="110">
        <v>323.89999999999998</v>
      </c>
      <c r="K21" s="110">
        <v>406.72</v>
      </c>
      <c r="L21" s="110">
        <v>466.58</v>
      </c>
      <c r="M21" s="110">
        <v>205</v>
      </c>
      <c r="N21" s="110">
        <v>227.96</v>
      </c>
      <c r="O21" s="115">
        <v>273.06</v>
      </c>
    </row>
    <row r="22" spans="1:15">
      <c r="A22" s="621"/>
      <c r="B22" s="345">
        <v>50.000999999999998</v>
      </c>
      <c r="C22" s="345">
        <v>75</v>
      </c>
      <c r="D22" s="114">
        <v>459.2</v>
      </c>
      <c r="E22" s="110">
        <v>536.28</v>
      </c>
      <c r="F22" s="110">
        <v>620.74</v>
      </c>
      <c r="G22" s="110">
        <v>287</v>
      </c>
      <c r="H22" s="110">
        <v>318.98</v>
      </c>
      <c r="I22" s="110">
        <v>382.12</v>
      </c>
      <c r="J22" s="110">
        <v>459.2</v>
      </c>
      <c r="K22" s="110">
        <v>536.28</v>
      </c>
      <c r="L22" s="110">
        <v>620.74</v>
      </c>
      <c r="M22" s="110">
        <v>287</v>
      </c>
      <c r="N22" s="110">
        <v>318.98</v>
      </c>
      <c r="O22" s="115">
        <v>382.12</v>
      </c>
    </row>
    <row r="23" spans="1:15">
      <c r="A23" s="621"/>
      <c r="B23" s="345">
        <v>75.001000000000005</v>
      </c>
      <c r="C23" s="345">
        <v>100</v>
      </c>
      <c r="D23" s="114">
        <v>574</v>
      </c>
      <c r="E23" s="110">
        <v>696.18</v>
      </c>
      <c r="F23" s="110">
        <v>809.34</v>
      </c>
      <c r="G23" s="110">
        <v>393.6</v>
      </c>
      <c r="H23" s="110">
        <v>437.88</v>
      </c>
      <c r="I23" s="110">
        <v>524.79999999999995</v>
      </c>
      <c r="J23" s="110">
        <v>574</v>
      </c>
      <c r="K23" s="110">
        <v>696.18</v>
      </c>
      <c r="L23" s="110">
        <v>809.34</v>
      </c>
      <c r="M23" s="110">
        <v>393.6</v>
      </c>
      <c r="N23" s="110">
        <v>437.88</v>
      </c>
      <c r="O23" s="115">
        <v>524.79999999999995</v>
      </c>
    </row>
    <row r="24" spans="1:15">
      <c r="A24" s="621"/>
      <c r="B24" s="345">
        <v>100.001</v>
      </c>
      <c r="C24" s="345">
        <v>150</v>
      </c>
      <c r="D24" s="114">
        <v>738</v>
      </c>
      <c r="E24" s="110">
        <v>877.4</v>
      </c>
      <c r="F24" s="110">
        <v>1026.6400000000001</v>
      </c>
      <c r="G24" s="110">
        <v>554.32000000000005</v>
      </c>
      <c r="H24" s="110">
        <v>615.82000000000005</v>
      </c>
      <c r="I24" s="110">
        <v>738.82</v>
      </c>
      <c r="J24" s="110">
        <v>738</v>
      </c>
      <c r="K24" s="110">
        <v>877.4</v>
      </c>
      <c r="L24" s="110">
        <v>1026.6400000000001</v>
      </c>
      <c r="M24" s="110">
        <v>554.32000000000005</v>
      </c>
      <c r="N24" s="110">
        <v>615.82000000000005</v>
      </c>
      <c r="O24" s="115">
        <v>738.82</v>
      </c>
    </row>
    <row r="25" spans="1:15">
      <c r="A25" s="621"/>
      <c r="B25" s="345">
        <v>150.001</v>
      </c>
      <c r="C25" s="345">
        <v>200</v>
      </c>
      <c r="D25" s="114">
        <v>943</v>
      </c>
      <c r="E25" s="110">
        <v>1102.9000000000001</v>
      </c>
      <c r="F25" s="110">
        <v>1298.8800000000001</v>
      </c>
      <c r="G25" s="110">
        <v>775.72</v>
      </c>
      <c r="H25" s="110">
        <v>862.64</v>
      </c>
      <c r="I25" s="110">
        <v>1034.8399999999999</v>
      </c>
      <c r="J25" s="110">
        <v>943</v>
      </c>
      <c r="K25" s="110">
        <v>1102.9000000000001</v>
      </c>
      <c r="L25" s="110">
        <v>1298.8800000000001</v>
      </c>
      <c r="M25" s="110">
        <v>775.72</v>
      </c>
      <c r="N25" s="110">
        <v>862.64</v>
      </c>
      <c r="O25" s="115">
        <v>1034.8399999999999</v>
      </c>
    </row>
    <row r="26" spans="1:15">
      <c r="A26" s="621"/>
      <c r="B26" s="345">
        <v>200.001</v>
      </c>
      <c r="C26" s="345">
        <v>300</v>
      </c>
      <c r="D26" s="114">
        <v>1148</v>
      </c>
      <c r="E26" s="110">
        <v>1325.12</v>
      </c>
      <c r="F26" s="110">
        <v>1567.84</v>
      </c>
      <c r="G26" s="110">
        <v>1107.82</v>
      </c>
      <c r="H26" s="110">
        <v>1230.82</v>
      </c>
      <c r="I26" s="110">
        <v>1476.82</v>
      </c>
      <c r="J26" s="110">
        <v>1148</v>
      </c>
      <c r="K26" s="110">
        <v>1325.12</v>
      </c>
      <c r="L26" s="110">
        <v>1567.84</v>
      </c>
      <c r="M26" s="110">
        <v>1107.82</v>
      </c>
      <c r="N26" s="110">
        <v>1230.82</v>
      </c>
      <c r="O26" s="115">
        <v>1476.82</v>
      </c>
    </row>
    <row r="27" spans="1:15">
      <c r="A27" s="621"/>
      <c r="B27" s="346">
        <v>300.00099999999998</v>
      </c>
      <c r="C27" s="346">
        <v>500</v>
      </c>
      <c r="D27" s="114">
        <v>1558</v>
      </c>
      <c r="E27" s="110">
        <v>1774.48</v>
      </c>
      <c r="F27" s="110">
        <v>2109.86</v>
      </c>
      <c r="G27" s="110">
        <v>1476</v>
      </c>
      <c r="H27" s="110">
        <v>1640</v>
      </c>
      <c r="I27" s="110">
        <v>1968</v>
      </c>
      <c r="J27" s="110">
        <v>1558</v>
      </c>
      <c r="K27" s="110">
        <v>1774.48</v>
      </c>
      <c r="L27" s="110">
        <v>2109.86</v>
      </c>
      <c r="M27" s="110">
        <v>1476</v>
      </c>
      <c r="N27" s="110">
        <v>1640</v>
      </c>
      <c r="O27" s="115">
        <v>1968</v>
      </c>
    </row>
    <row r="28" spans="1:15">
      <c r="A28" s="621"/>
      <c r="B28" s="346">
        <v>500.00099999999998</v>
      </c>
      <c r="C28" s="346">
        <v>750</v>
      </c>
      <c r="D28" s="114">
        <v>2460</v>
      </c>
      <c r="E28" s="110">
        <v>2784.72</v>
      </c>
      <c r="F28" s="110">
        <v>3318.54</v>
      </c>
      <c r="G28" s="110">
        <v>2378</v>
      </c>
      <c r="H28" s="110">
        <v>2642.04</v>
      </c>
      <c r="I28" s="110">
        <v>3170.12</v>
      </c>
      <c r="J28" s="110">
        <v>2460</v>
      </c>
      <c r="K28" s="110">
        <v>2784.72</v>
      </c>
      <c r="L28" s="110">
        <v>3318.54</v>
      </c>
      <c r="M28" s="110">
        <v>2378</v>
      </c>
      <c r="N28" s="110">
        <v>2642.04</v>
      </c>
      <c r="O28" s="115">
        <v>3170.12</v>
      </c>
    </row>
    <row r="29" spans="1:15" ht="15" thickBot="1">
      <c r="A29" s="622"/>
      <c r="B29" s="130" t="s">
        <v>182</v>
      </c>
      <c r="C29" s="347">
        <v>750.00099999999998</v>
      </c>
      <c r="D29" s="116">
        <v>3690</v>
      </c>
      <c r="E29" s="117">
        <v>4162.32</v>
      </c>
      <c r="F29" s="117">
        <v>4966.74</v>
      </c>
      <c r="G29" s="117">
        <v>3526</v>
      </c>
      <c r="H29" s="117">
        <v>3917.96</v>
      </c>
      <c r="I29" s="117">
        <v>4701.0600000000004</v>
      </c>
      <c r="J29" s="117">
        <v>3690</v>
      </c>
      <c r="K29" s="117">
        <v>4162.32</v>
      </c>
      <c r="L29" s="117">
        <v>4966.74</v>
      </c>
      <c r="M29" s="117">
        <v>3526</v>
      </c>
      <c r="N29" s="117">
        <v>3917.96</v>
      </c>
      <c r="O29" s="118">
        <v>4701.0600000000004</v>
      </c>
    </row>
    <row r="30" spans="1:15">
      <c r="M30" s="122"/>
    </row>
    <row r="31" spans="1:15">
      <c r="M31" s="124"/>
    </row>
    <row r="32" spans="1:15">
      <c r="M32" s="122"/>
    </row>
    <row r="33" spans="13:13">
      <c r="M33" s="122"/>
    </row>
    <row r="34" spans="13:13">
      <c r="M34" s="122"/>
    </row>
    <row r="35" spans="13:13">
      <c r="M35" s="122"/>
    </row>
    <row r="36" spans="13:13">
      <c r="M36" s="122"/>
    </row>
    <row r="37" spans="13:13">
      <c r="M37" s="122"/>
    </row>
    <row r="38" spans="13:13">
      <c r="M38" s="122"/>
    </row>
    <row r="39" spans="13:13">
      <c r="M39" s="122"/>
    </row>
    <row r="41" spans="13:13">
      <c r="M41" s="122"/>
    </row>
    <row r="42" spans="13:13">
      <c r="M42" s="122"/>
    </row>
    <row r="43" spans="13:13">
      <c r="M43" s="122"/>
    </row>
    <row r="44" spans="13:13">
      <c r="M44" s="122"/>
    </row>
    <row r="45" spans="13:13">
      <c r="M45" s="122"/>
    </row>
    <row r="46" spans="13:13">
      <c r="M46" s="122"/>
    </row>
    <row r="47" spans="13:13">
      <c r="M47" s="122"/>
    </row>
    <row r="48" spans="13:13">
      <c r="M48" s="122"/>
    </row>
    <row r="50" spans="13:13">
      <c r="M50" s="122"/>
    </row>
    <row r="51" spans="13:13">
      <c r="M51" s="122"/>
    </row>
    <row r="52" spans="13:13">
      <c r="M52" s="122"/>
    </row>
    <row r="53" spans="13:13">
      <c r="M53" s="122"/>
    </row>
    <row r="54" spans="13:13">
      <c r="M54" s="122"/>
    </row>
    <row r="55" spans="13:13">
      <c r="M55" s="122"/>
    </row>
    <row r="56" spans="13:13">
      <c r="M56" s="122"/>
    </row>
    <row r="57" spans="13:13">
      <c r="M57" s="122"/>
    </row>
    <row r="59" spans="13:13">
      <c r="M59" s="122"/>
    </row>
    <row r="60" spans="13:13">
      <c r="M60" s="122"/>
    </row>
    <row r="61" spans="13:13">
      <c r="M61" s="122"/>
    </row>
    <row r="62" spans="13:13">
      <c r="M62" s="122"/>
    </row>
    <row r="63" spans="13:13">
      <c r="M63" s="122"/>
    </row>
    <row r="64" spans="13:13">
      <c r="M64" s="122"/>
    </row>
    <row r="65" spans="13:13">
      <c r="M65" s="122"/>
    </row>
    <row r="66" spans="13:13">
      <c r="M66" s="122"/>
    </row>
    <row r="68" spans="13:13">
      <c r="M68" s="122"/>
    </row>
    <row r="69" spans="13:13">
      <c r="M69" s="122"/>
    </row>
    <row r="70" spans="13:13">
      <c r="M70" s="122"/>
    </row>
    <row r="71" spans="13:13">
      <c r="M71" s="122"/>
    </row>
    <row r="72" spans="13:13">
      <c r="M72" s="122"/>
    </row>
    <row r="73" spans="13:13">
      <c r="M73" s="122"/>
    </row>
    <row r="74" spans="13:13">
      <c r="M74" s="122"/>
    </row>
    <row r="75" spans="13:13">
      <c r="M75" s="122"/>
    </row>
    <row r="77" spans="13:13">
      <c r="M77" s="122"/>
    </row>
    <row r="78" spans="13:13">
      <c r="M78" s="122"/>
    </row>
    <row r="79" spans="13:13">
      <c r="M79" s="122"/>
    </row>
    <row r="80" spans="13:13">
      <c r="M80" s="122"/>
    </row>
    <row r="81" spans="13:13">
      <c r="M81" s="122"/>
    </row>
    <row r="82" spans="13:13">
      <c r="M82" s="122"/>
    </row>
    <row r="83" spans="13:13">
      <c r="M83" s="122"/>
    </row>
    <row r="84" spans="13:13">
      <c r="M84" s="122"/>
    </row>
    <row r="86" spans="13:13">
      <c r="M86" s="122"/>
    </row>
    <row r="87" spans="13:13">
      <c r="M87" s="122"/>
    </row>
    <row r="88" spans="13:13">
      <c r="M88" s="122"/>
    </row>
    <row r="89" spans="13:13">
      <c r="M89" s="122"/>
    </row>
    <row r="90" spans="13:13">
      <c r="M90" s="122"/>
    </row>
    <row r="91" spans="13:13">
      <c r="M91" s="122"/>
    </row>
    <row r="92" spans="13:13">
      <c r="M92" s="122"/>
    </row>
    <row r="93" spans="13:13">
      <c r="M93" s="122"/>
    </row>
    <row r="95" spans="13:13">
      <c r="M95" s="122"/>
    </row>
    <row r="96" spans="13:13">
      <c r="M96" s="122"/>
    </row>
    <row r="97" spans="13:13">
      <c r="M97" s="122"/>
    </row>
    <row r="98" spans="13:13">
      <c r="M98" s="122"/>
    </row>
    <row r="99" spans="13:13">
      <c r="M99" s="122"/>
    </row>
    <row r="100" spans="13:13">
      <c r="M100" s="122"/>
    </row>
    <row r="101" spans="13:13">
      <c r="M101" s="122"/>
    </row>
    <row r="102" spans="13:13">
      <c r="M102" s="122"/>
    </row>
    <row r="104" spans="13:13">
      <c r="M104" s="122"/>
    </row>
    <row r="105" spans="13:13">
      <c r="M105" s="122"/>
    </row>
    <row r="106" spans="13:13">
      <c r="M106" s="122"/>
    </row>
    <row r="107" spans="13:13">
      <c r="M107" s="122"/>
    </row>
    <row r="108" spans="13:13">
      <c r="M108" s="122"/>
    </row>
    <row r="109" spans="13:13">
      <c r="M109" s="122"/>
    </row>
    <row r="110" spans="13:13">
      <c r="M110" s="122"/>
    </row>
    <row r="111" spans="13:13">
      <c r="M111" s="122"/>
    </row>
    <row r="113" spans="13:13">
      <c r="M113" s="122"/>
    </row>
    <row r="114" spans="13:13">
      <c r="M114" s="122"/>
    </row>
    <row r="115" spans="13:13">
      <c r="M115" s="122"/>
    </row>
    <row r="116" spans="13:13">
      <c r="M116" s="122"/>
    </row>
    <row r="117" spans="13:13">
      <c r="M117" s="122"/>
    </row>
    <row r="118" spans="13:13">
      <c r="M118" s="122"/>
    </row>
    <row r="119" spans="13:13">
      <c r="M119" s="122"/>
    </row>
    <row r="120" spans="13:13">
      <c r="M120" s="122"/>
    </row>
    <row r="122" spans="13:13">
      <c r="M122" s="122"/>
    </row>
    <row r="123" spans="13:13">
      <c r="M123" s="122"/>
    </row>
    <row r="124" spans="13:13">
      <c r="M124" s="122"/>
    </row>
    <row r="125" spans="13:13">
      <c r="M125" s="122"/>
    </row>
    <row r="126" spans="13:13">
      <c r="M126" s="122"/>
    </row>
    <row r="127" spans="13:13">
      <c r="M127" s="122"/>
    </row>
    <row r="128" spans="13:13">
      <c r="M128" s="122"/>
    </row>
    <row r="129" spans="13:13">
      <c r="M129" s="122"/>
    </row>
    <row r="131" spans="13:13">
      <c r="M131" s="122"/>
    </row>
    <row r="132" spans="13:13">
      <c r="M132" s="122"/>
    </row>
    <row r="133" spans="13:13">
      <c r="M133" s="122"/>
    </row>
    <row r="134" spans="13:13">
      <c r="M134" s="122"/>
    </row>
    <row r="135" spans="13:13">
      <c r="M135" s="122"/>
    </row>
    <row r="136" spans="13:13">
      <c r="M136" s="122"/>
    </row>
    <row r="137" spans="13:13">
      <c r="M137" s="122"/>
    </row>
    <row r="138" spans="13:13">
      <c r="M138" s="122"/>
    </row>
    <row r="140" spans="13:13">
      <c r="M140" s="122"/>
    </row>
    <row r="141" spans="13:13">
      <c r="M141" s="122"/>
    </row>
    <row r="142" spans="13:13">
      <c r="M142" s="122"/>
    </row>
    <row r="143" spans="13:13">
      <c r="M143" s="122"/>
    </row>
    <row r="144" spans="13:13">
      <c r="M144" s="122"/>
    </row>
    <row r="145" spans="13:13">
      <c r="M145" s="122"/>
    </row>
    <row r="146" spans="13:13">
      <c r="M146" s="122"/>
    </row>
    <row r="147" spans="13:13">
      <c r="M147" s="122"/>
    </row>
  </sheetData>
  <sheetProtection algorithmName="SHA-512" hashValue="1808xU2O8bj7JTksHutDQovzwlRa5zG2j5K8zQaAq1uZPq0eakiVRcDG7Suf6wXKXsP0lZrBKp5tiy19B03a/w==" saltValue="rsV69GAkQFBLzr2pqiOkJg==" spinCount="100000" sheet="1" objects="1" scenarios="1"/>
  <mergeCells count="17">
    <mergeCell ref="A14:A29"/>
    <mergeCell ref="I2:I3"/>
    <mergeCell ref="J2:J3"/>
    <mergeCell ref="K2:K3"/>
    <mergeCell ref="A4:A13"/>
    <mergeCell ref="A1:A3"/>
    <mergeCell ref="B1:B3"/>
    <mergeCell ref="D2:D3"/>
    <mergeCell ref="E2:E3"/>
    <mergeCell ref="F2:F3"/>
    <mergeCell ref="G2:G3"/>
    <mergeCell ref="H2:H3"/>
    <mergeCell ref="L2:L3"/>
    <mergeCell ref="M2:M3"/>
    <mergeCell ref="N2:N3"/>
    <mergeCell ref="O2:O3"/>
    <mergeCell ref="D1:O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rgb="FF92D050"/>
  </sheetPr>
  <dimension ref="B1:AO413"/>
  <sheetViews>
    <sheetView zoomScale="70" zoomScaleNormal="70" workbookViewId="0">
      <selection activeCell="V51" sqref="V51"/>
    </sheetView>
  </sheetViews>
  <sheetFormatPr defaultColWidth="11.42578125" defaultRowHeight="13.9"/>
  <cols>
    <col min="1" max="1" width="4.7109375" style="154" customWidth="1"/>
    <col min="2" max="2" width="22.7109375" style="154" customWidth="1"/>
    <col min="3" max="3" width="20.140625" style="154" customWidth="1"/>
    <col min="4" max="4" width="11.28515625" style="154" bestFit="1" customWidth="1"/>
    <col min="5" max="5" width="11.85546875" style="154" bestFit="1" customWidth="1"/>
    <col min="6" max="11" width="10.28515625" style="154" customWidth="1"/>
    <col min="12" max="12" width="10.28515625" style="162" customWidth="1"/>
    <col min="13" max="13" width="11.42578125" style="154"/>
    <col min="14" max="14" width="12" style="162" customWidth="1"/>
    <col min="15" max="17" width="13.5703125" style="161" customWidth="1"/>
    <col min="18" max="20" width="12.85546875" style="154" customWidth="1"/>
    <col min="21" max="35" width="12" style="154" customWidth="1"/>
    <col min="36" max="16384" width="11.42578125" style="154"/>
  </cols>
  <sheetData>
    <row r="1" spans="2:41" ht="13.5" customHeight="1" thickBot="1">
      <c r="O1" s="639" t="s">
        <v>11</v>
      </c>
      <c r="P1" s="640"/>
      <c r="Q1" s="640"/>
      <c r="R1" s="640"/>
      <c r="S1" s="640"/>
      <c r="T1" s="640"/>
      <c r="U1" s="641"/>
      <c r="W1" s="162"/>
      <c r="X1" s="161"/>
    </row>
    <row r="2" spans="2:41" ht="15.75" customHeight="1" thickBot="1">
      <c r="B2" s="155"/>
      <c r="C2" s="155"/>
      <c r="D2" s="155"/>
      <c r="E2" s="155"/>
      <c r="F2" s="560" t="s">
        <v>109</v>
      </c>
      <c r="G2" s="560"/>
      <c r="H2" s="560" t="str">
        <f>'INTRODUCIR DATOS'!$D$9</f>
        <v>GEMA GARCIA ESCUDERO</v>
      </c>
      <c r="I2" s="560"/>
      <c r="J2" s="560"/>
      <c r="K2" s="560"/>
      <c r="O2" s="183" t="s">
        <v>34</v>
      </c>
      <c r="P2" s="183"/>
      <c r="Q2" s="183"/>
      <c r="R2" s="184" t="s">
        <v>139</v>
      </c>
      <c r="S2" s="185"/>
      <c r="T2" s="185"/>
      <c r="U2" s="185" t="s">
        <v>140</v>
      </c>
      <c r="W2" s="179"/>
      <c r="X2" s="642" t="s">
        <v>34</v>
      </c>
      <c r="Y2" s="643"/>
      <c r="Z2" s="643"/>
      <c r="AA2" s="643"/>
      <c r="AB2" s="643"/>
      <c r="AC2" s="644"/>
      <c r="AD2" s="645" t="s">
        <v>139</v>
      </c>
      <c r="AE2" s="646"/>
      <c r="AF2" s="646"/>
      <c r="AG2" s="646"/>
      <c r="AH2" s="646"/>
      <c r="AI2" s="647"/>
      <c r="AJ2" s="633" t="s">
        <v>140</v>
      </c>
      <c r="AK2" s="633"/>
      <c r="AL2" s="633"/>
      <c r="AM2" s="633"/>
      <c r="AN2" s="633"/>
      <c r="AO2" s="634"/>
    </row>
    <row r="3" spans="2:41">
      <c r="C3" s="155"/>
      <c r="D3" s="155"/>
      <c r="E3" s="155"/>
      <c r="F3" s="560" t="s">
        <v>110</v>
      </c>
      <c r="G3" s="560"/>
      <c r="H3" s="560" t="str">
        <f>'INTRODUCIR DATOS'!$D$10</f>
        <v>C/LOS HUERTOS</v>
      </c>
      <c r="I3" s="560"/>
      <c r="J3" s="560"/>
      <c r="K3" s="560"/>
      <c r="M3" s="636" t="s">
        <v>198</v>
      </c>
      <c r="N3" s="180" t="s">
        <v>41</v>
      </c>
      <c r="O3" s="187"/>
      <c r="P3" s="199"/>
      <c r="Q3" s="199"/>
      <c r="R3" s="177">
        <f>AE5</f>
        <v>113.12150000000001</v>
      </c>
      <c r="S3" s="204"/>
      <c r="T3" s="204"/>
      <c r="U3" s="178">
        <f>AK5</f>
        <v>113.12150000000001</v>
      </c>
      <c r="W3" s="211" t="s">
        <v>198</v>
      </c>
      <c r="X3" s="216"/>
      <c r="Y3" s="177"/>
      <c r="Z3" s="177"/>
      <c r="AA3" s="177"/>
      <c r="AB3" s="177"/>
      <c r="AC3" s="204"/>
      <c r="AD3" s="216">
        <f>'PRECIOS CYE'!N18</f>
        <v>0</v>
      </c>
      <c r="AE3" s="177">
        <f>'PRECIOS CYE'!O18</f>
        <v>0</v>
      </c>
      <c r="AF3" s="177">
        <f>'PRECIOS CYE'!P18</f>
        <v>0</v>
      </c>
      <c r="AG3" s="177">
        <f>'PRECIOS CYE'!Q18</f>
        <v>0</v>
      </c>
      <c r="AH3" s="177">
        <f>'PRECIOS CYE'!R18</f>
        <v>0</v>
      </c>
      <c r="AI3" s="178">
        <f>'PRECIOS CYE'!S18</f>
        <v>0</v>
      </c>
      <c r="AJ3" s="176">
        <f>'PRECIOS CYE'!T18</f>
        <v>0</v>
      </c>
      <c r="AK3" s="177">
        <f>'PRECIOS CYE'!U18</f>
        <v>0</v>
      </c>
      <c r="AL3" s="177">
        <f>'PRECIOS CYE'!V18</f>
        <v>0</v>
      </c>
      <c r="AM3" s="177">
        <f>'PRECIOS CYE'!W18</f>
        <v>0</v>
      </c>
      <c r="AN3" s="177">
        <f>'PRECIOS CYE'!X18</f>
        <v>0</v>
      </c>
      <c r="AO3" s="178">
        <f>'PRECIOS CYE'!Y18</f>
        <v>0</v>
      </c>
    </row>
    <row r="4" spans="2:41">
      <c r="C4" s="155"/>
      <c r="D4" s="155"/>
      <c r="E4" s="155"/>
      <c r="F4" s="560" t="s">
        <v>111</v>
      </c>
      <c r="G4" s="560"/>
      <c r="H4" s="560" t="str">
        <f>'INTRODUCIR DATOS'!$D$11</f>
        <v>ENCINILLAS</v>
      </c>
      <c r="I4" s="560"/>
      <c r="J4" s="560"/>
      <c r="K4" s="560"/>
      <c r="M4" s="631"/>
      <c r="N4" s="181" t="s">
        <v>115</v>
      </c>
      <c r="O4" s="188"/>
      <c r="P4" s="200"/>
      <c r="Q4" s="200"/>
      <c r="R4" s="163">
        <f>AE8</f>
        <v>113.12150000000001</v>
      </c>
      <c r="S4" s="205"/>
      <c r="T4" s="205"/>
      <c r="U4" s="166">
        <f>AK8</f>
        <v>113.12150000000001</v>
      </c>
      <c r="W4" s="212" t="s">
        <v>41</v>
      </c>
      <c r="X4" s="217"/>
      <c r="Y4" s="163"/>
      <c r="Z4" s="163"/>
      <c r="AA4" s="163"/>
      <c r="AB4" s="163"/>
      <c r="AC4" s="205"/>
      <c r="AD4" s="217">
        <f>'PRECIOS CYE'!N3</f>
        <v>0</v>
      </c>
      <c r="AE4" s="163">
        <f>'PRECIOS CYE'!O3</f>
        <v>0</v>
      </c>
      <c r="AF4" s="163">
        <f>'PRECIOS CYE'!P3</f>
        <v>0</v>
      </c>
      <c r="AG4" s="163">
        <f>'PRECIOS CYE'!Q3</f>
        <v>0</v>
      </c>
      <c r="AH4" s="163">
        <f>'PRECIOS CYE'!R3</f>
        <v>0</v>
      </c>
      <c r="AI4" s="166">
        <f>'PRECIOS CYE'!S3</f>
        <v>0</v>
      </c>
      <c r="AJ4" s="172">
        <f>'PRECIOS CYE'!T3</f>
        <v>0</v>
      </c>
      <c r="AK4" s="163">
        <f>'PRECIOS CYE'!U3</f>
        <v>0</v>
      </c>
      <c r="AL4" s="163">
        <f>'PRECIOS CYE'!V3</f>
        <v>0</v>
      </c>
      <c r="AM4" s="163">
        <f>'PRECIOS CYE'!W3</f>
        <v>0</v>
      </c>
      <c r="AN4" s="163">
        <f>'PRECIOS CYE'!X3</f>
        <v>0</v>
      </c>
      <c r="AO4" s="166">
        <f>'PRECIOS CYE'!Y3</f>
        <v>0</v>
      </c>
    </row>
    <row r="5" spans="2:41" ht="14.45" thickBot="1">
      <c r="B5" s="155"/>
      <c r="C5" s="155"/>
      <c r="D5" s="155"/>
      <c r="E5" s="155"/>
      <c r="F5" s="560" t="s">
        <v>112</v>
      </c>
      <c r="G5" s="560"/>
      <c r="H5" s="562" t="str">
        <f>'INTRODUCIR DATOS'!$D$18</f>
        <v>2.0TD</v>
      </c>
      <c r="I5" s="562"/>
      <c r="J5" s="562"/>
      <c r="K5" s="562"/>
      <c r="M5" s="631"/>
      <c r="N5" s="181" t="s">
        <v>116</v>
      </c>
      <c r="O5" s="188"/>
      <c r="P5" s="200"/>
      <c r="Q5" s="200"/>
      <c r="R5" s="163">
        <f>AE11</f>
        <v>113.12150000000001</v>
      </c>
      <c r="S5" s="205"/>
      <c r="T5" s="205"/>
      <c r="U5" s="166">
        <f>AK11</f>
        <v>113.12150000000001</v>
      </c>
      <c r="W5" s="213"/>
      <c r="X5" s="218"/>
      <c r="Y5" s="165"/>
      <c r="Z5" s="165"/>
      <c r="AA5" s="163"/>
      <c r="AB5" s="163"/>
      <c r="AC5" s="205"/>
      <c r="AD5" s="218">
        <f>('INTRODUCIR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DATOS'!$D$17)+'INTRODUCIR DATOS'!$D$15+'INTRODUCIR DATOS'!$D$16+(('INTRODUCIR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DATOS'!$D$17)+'INTRODUCIR DATOS'!$D$16)*21/100</f>
        <v>1.0285</v>
      </c>
      <c r="AE5" s="165">
        <f>IF(AD5=0,"",'INTRODUCIR DATOS'!$D$14-AD5)</f>
        <v>113.12150000000001</v>
      </c>
      <c r="AF5" s="165">
        <f>IF(AD5=0,"",('INTRODUCIR DATOS'!$D$14-AD5)/'INTRODUCIR DATOS'!$D$14)</f>
        <v>0.99098992553657472</v>
      </c>
      <c r="AG5" s="163"/>
      <c r="AH5" s="163"/>
      <c r="AI5" s="166"/>
      <c r="AJ5" s="218">
        <f>('INTRODUCIR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DATOS'!$D$17)+'INTRODUCIR DATOS'!$D$15+'INTRODUCIR DATOS'!$D$16+(('INTRODUCIR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DATOS'!$D$17)+'INTRODUCIR DATOS'!$D$16)*21/100</f>
        <v>1.0285</v>
      </c>
      <c r="AK5" s="165">
        <f>IF(AJ5=0,"",'INTRODUCIR DATOS'!$D$14-AJ5)</f>
        <v>113.12150000000001</v>
      </c>
      <c r="AL5" s="165">
        <f>IF(AJ5=0,"",('INTRODUCIR DATOS'!$D$14-AJ5)/'INTRODUCIR DATOS'!$D$14)</f>
        <v>0.99098992553657472</v>
      </c>
      <c r="AM5" s="163"/>
      <c r="AN5" s="163"/>
      <c r="AO5" s="166"/>
    </row>
    <row r="6" spans="2:41">
      <c r="B6" s="155"/>
      <c r="C6" s="155"/>
      <c r="D6" s="155"/>
      <c r="E6" s="155"/>
      <c r="F6" s="560" t="s">
        <v>113</v>
      </c>
      <c r="G6" s="560"/>
      <c r="H6" s="561">
        <f>'INTRODUCIR DATOS'!$D$13</f>
        <v>32</v>
      </c>
      <c r="I6" s="561"/>
      <c r="J6" s="561"/>
      <c r="K6" s="561"/>
      <c r="M6" s="631"/>
      <c r="N6" s="181" t="s">
        <v>60</v>
      </c>
      <c r="O6" s="188"/>
      <c r="P6" s="200"/>
      <c r="Q6" s="200"/>
      <c r="R6" s="163">
        <f>AE14</f>
        <v>113.12150000000001</v>
      </c>
      <c r="S6" s="205"/>
      <c r="T6" s="205"/>
      <c r="U6" s="166">
        <f>AK14</f>
        <v>113.12150000000001</v>
      </c>
      <c r="W6" s="214" t="s">
        <v>198</v>
      </c>
      <c r="X6" s="217"/>
      <c r="Y6" s="163"/>
      <c r="Z6" s="163"/>
      <c r="AA6" s="163"/>
      <c r="AB6" s="163"/>
      <c r="AC6" s="205"/>
      <c r="AD6" s="217">
        <f>'PRECIOS CYE'!N19</f>
        <v>0</v>
      </c>
      <c r="AE6" s="163">
        <f>'PRECIOS CYE'!O19</f>
        <v>0</v>
      </c>
      <c r="AF6" s="163">
        <f>'PRECIOS CYE'!P19</f>
        <v>0</v>
      </c>
      <c r="AG6" s="163">
        <f>'PRECIOS CYE'!Q19</f>
        <v>0</v>
      </c>
      <c r="AH6" s="163">
        <f>'PRECIOS CYE'!R19</f>
        <v>0</v>
      </c>
      <c r="AI6" s="166">
        <f>'PRECIOS CYE'!S19</f>
        <v>0</v>
      </c>
      <c r="AJ6" s="172">
        <f>'PRECIOS CYE'!T19</f>
        <v>0</v>
      </c>
      <c r="AK6" s="163">
        <f>'PRECIOS CYE'!U19</f>
        <v>0</v>
      </c>
      <c r="AL6" s="163">
        <f>'PRECIOS CYE'!V19</f>
        <v>0</v>
      </c>
      <c r="AM6" s="163">
        <f>'PRECIOS CYE'!W19</f>
        <v>0</v>
      </c>
      <c r="AN6" s="163">
        <f>'PRECIOS CYE'!X19</f>
        <v>0</v>
      </c>
      <c r="AO6" s="166">
        <f>'PRECIOS CYE'!Y19</f>
        <v>0</v>
      </c>
    </row>
    <row r="7" spans="2:41">
      <c r="B7" s="155"/>
      <c r="C7" s="155"/>
      <c r="D7" s="155"/>
      <c r="E7" s="155"/>
      <c r="F7" s="155"/>
      <c r="G7" s="155"/>
      <c r="H7" s="155"/>
      <c r="I7" s="155"/>
      <c r="J7" s="155"/>
      <c r="K7" s="155"/>
      <c r="M7" s="631"/>
      <c r="N7" s="181" t="s">
        <v>62</v>
      </c>
      <c r="O7" s="188"/>
      <c r="P7" s="200"/>
      <c r="Q7" s="200"/>
      <c r="R7" s="163">
        <f>AE17</f>
        <v>113.12150000000001</v>
      </c>
      <c r="S7" s="205"/>
      <c r="T7" s="205"/>
      <c r="U7" s="166">
        <f>AK17</f>
        <v>113.12150000000001</v>
      </c>
      <c r="W7" s="212" t="s">
        <v>115</v>
      </c>
      <c r="X7" s="217"/>
      <c r="Y7" s="163"/>
      <c r="Z7" s="163"/>
      <c r="AA7" s="163"/>
      <c r="AB7" s="163"/>
      <c r="AC7" s="205"/>
      <c r="AD7" s="217">
        <f>'PRECIOS CYE'!N3</f>
        <v>0</v>
      </c>
      <c r="AE7" s="163">
        <f>'PRECIOS CYE'!O3</f>
        <v>0</v>
      </c>
      <c r="AF7" s="163">
        <f>'PRECIOS CYE'!P3</f>
        <v>0</v>
      </c>
      <c r="AG7" s="163">
        <f>'PRECIOS CYE'!Q3</f>
        <v>0</v>
      </c>
      <c r="AH7" s="163">
        <f>'PRECIOS CYE'!R3</f>
        <v>0</v>
      </c>
      <c r="AI7" s="166">
        <f>'PRECIOS CYE'!S3</f>
        <v>0</v>
      </c>
      <c r="AJ7" s="172">
        <f>'PRECIOS CYE'!T3</f>
        <v>0</v>
      </c>
      <c r="AK7" s="163">
        <f>'PRECIOS CYE'!U3</f>
        <v>0</v>
      </c>
      <c r="AL7" s="163">
        <f>'PRECIOS CYE'!V3</f>
        <v>0</v>
      </c>
      <c r="AM7" s="163">
        <f>'PRECIOS CYE'!W3</f>
        <v>0</v>
      </c>
      <c r="AN7" s="163">
        <f>'PRECIOS CYE'!X3</f>
        <v>0</v>
      </c>
      <c r="AO7" s="166">
        <f>'PRECIOS CYE'!Y3</f>
        <v>0</v>
      </c>
    </row>
    <row r="8" spans="2:41" ht="14.45" thickBot="1">
      <c r="B8" s="1" t="s">
        <v>114</v>
      </c>
      <c r="C8" s="2" t="str">
        <f>'INTRODUCIR DATOS'!O18</f>
        <v>E7</v>
      </c>
      <c r="D8" s="155"/>
      <c r="E8" s="155"/>
      <c r="F8" s="155"/>
      <c r="G8" s="155"/>
      <c r="H8" s="155"/>
      <c r="I8" s="155"/>
      <c r="J8" s="155"/>
      <c r="K8" s="155"/>
      <c r="M8" s="631"/>
      <c r="N8" s="181" t="s">
        <v>63</v>
      </c>
      <c r="O8" s="188"/>
      <c r="P8" s="200"/>
      <c r="Q8" s="200"/>
      <c r="R8" s="186"/>
      <c r="S8" s="206"/>
      <c r="T8" s="206"/>
      <c r="U8" s="189"/>
      <c r="W8" s="215"/>
      <c r="X8" s="218"/>
      <c r="Y8" s="165"/>
      <c r="Z8" s="165"/>
      <c r="AA8" s="163"/>
      <c r="AB8" s="163"/>
      <c r="AC8" s="205"/>
      <c r="AD8" s="218">
        <f>('INTRODUCIR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DATOS'!$D$17)+'INTRODUCIR DATOS'!$D$15+'INTRODUCIR DATOS'!$D$16+(('INTRODUCIR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DATOS'!$D$17)+'INTRODUCIR DATOS'!$D$16)*21/100</f>
        <v>1.0285</v>
      </c>
      <c r="AE8" s="165">
        <f>IF(AD8=0,"",'INTRODUCIR DATOS'!$D$14-AD8)</f>
        <v>113.12150000000001</v>
      </c>
      <c r="AF8" s="165">
        <f>IF(AD8=0,"",('INTRODUCIR DATOS'!$D$14-AD8)/'INTRODUCIR DATOS'!$D$14)</f>
        <v>0.99098992553657472</v>
      </c>
      <c r="AG8" s="163"/>
      <c r="AH8" s="163"/>
      <c r="AI8" s="166"/>
      <c r="AJ8" s="218">
        <f>('INTRODUCIR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DATOS'!$D$17)+'INTRODUCIR DATOS'!$D$15+'INTRODUCIR DATOS'!$D$16+(('INTRODUCIR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DATOS'!$D$17)+'INTRODUCIR DATOS'!$D$16)*21/100</f>
        <v>1.0285</v>
      </c>
      <c r="AK8" s="165">
        <f>IF(AJ8=0,"",'INTRODUCIR DATOS'!$D$14-AJ8)</f>
        <v>113.12150000000001</v>
      </c>
      <c r="AL8" s="165">
        <f>IF(AJ8=0,"",('INTRODUCIR DATOS'!$D$14-AJ8)/'INTRODUCIR DATOS'!$D$14)</f>
        <v>0.99098992553657472</v>
      </c>
      <c r="AM8" s="163"/>
      <c r="AN8" s="163"/>
      <c r="AO8" s="166"/>
    </row>
    <row r="9" spans="2:41">
      <c r="C9" s="2" t="str">
        <f>'INTRODUCIR DATOS'!O19</f>
        <v>P0</v>
      </c>
      <c r="D9" s="2"/>
      <c r="E9" s="2"/>
      <c r="F9" s="2"/>
      <c r="G9" s="2"/>
      <c r="H9" s="2"/>
      <c r="I9" s="2"/>
      <c r="J9" s="2"/>
      <c r="K9" s="16"/>
      <c r="M9" s="631"/>
      <c r="N9" s="181" t="s">
        <v>65</v>
      </c>
      <c r="O9" s="188"/>
      <c r="P9" s="200"/>
      <c r="Q9" s="200"/>
      <c r="R9" s="186"/>
      <c r="S9" s="206"/>
      <c r="T9" s="206"/>
      <c r="U9" s="189"/>
      <c r="W9" s="211" t="s">
        <v>198</v>
      </c>
      <c r="X9" s="217"/>
      <c r="Y9" s="163"/>
      <c r="Z9" s="163"/>
      <c r="AA9" s="163"/>
      <c r="AB9" s="163"/>
      <c r="AC9" s="205"/>
      <c r="AD9" s="217">
        <f>'PRECIOS CYE'!N20</f>
        <v>0</v>
      </c>
      <c r="AE9" s="163">
        <f>'PRECIOS CYE'!O20</f>
        <v>0</v>
      </c>
      <c r="AF9" s="163">
        <f>'PRECIOS CYE'!P20</f>
        <v>0</v>
      </c>
      <c r="AG9" s="163">
        <f>'PRECIOS CYE'!Q20</f>
        <v>0</v>
      </c>
      <c r="AH9" s="163">
        <f>'PRECIOS CYE'!R20</f>
        <v>0</v>
      </c>
      <c r="AI9" s="166">
        <f>'PRECIOS CYE'!S20</f>
        <v>0</v>
      </c>
      <c r="AJ9" s="172">
        <f>'PRECIOS CYE'!T20</f>
        <v>0</v>
      </c>
      <c r="AK9" s="163">
        <f>'PRECIOS CYE'!U20</f>
        <v>0</v>
      </c>
      <c r="AL9" s="163">
        <f>'PRECIOS CYE'!V20</f>
        <v>0</v>
      </c>
      <c r="AM9" s="163">
        <f>'PRECIOS CYE'!W20</f>
        <v>0</v>
      </c>
      <c r="AN9" s="163">
        <f>'PRECIOS CYE'!X20</f>
        <v>0</v>
      </c>
      <c r="AO9" s="166">
        <f>'PRECIOS CYE'!Y20</f>
        <v>0</v>
      </c>
    </row>
    <row r="10" spans="2:41">
      <c r="B10" s="157"/>
      <c r="C10" s="157"/>
      <c r="D10" s="158" t="s">
        <v>115</v>
      </c>
      <c r="E10" s="158" t="s">
        <v>116</v>
      </c>
      <c r="F10" s="158" t="s">
        <v>60</v>
      </c>
      <c r="G10" s="158" t="s">
        <v>62</v>
      </c>
      <c r="H10" s="158" t="s">
        <v>63</v>
      </c>
      <c r="I10" s="158" t="s">
        <v>65</v>
      </c>
      <c r="M10" s="631"/>
      <c r="N10" s="181" t="s">
        <v>199</v>
      </c>
      <c r="O10" s="188"/>
      <c r="P10" s="200"/>
      <c r="Q10" s="200"/>
      <c r="R10" s="186"/>
      <c r="S10" s="206"/>
      <c r="T10" s="206"/>
      <c r="U10" s="189"/>
      <c r="W10" s="212" t="s">
        <v>116</v>
      </c>
      <c r="X10" s="217"/>
      <c r="Y10" s="163"/>
      <c r="Z10" s="163"/>
      <c r="AA10" s="163"/>
      <c r="AB10" s="163"/>
      <c r="AC10" s="205"/>
      <c r="AD10" s="217">
        <f>'PRECIOS CYE'!N3</f>
        <v>0</v>
      </c>
      <c r="AE10" s="163">
        <f>'PRECIOS CYE'!O3</f>
        <v>0</v>
      </c>
      <c r="AF10" s="163">
        <f>'PRECIOS CYE'!P3</f>
        <v>0</v>
      </c>
      <c r="AG10" s="163">
        <f>'PRECIOS CYE'!Q3</f>
        <v>0</v>
      </c>
      <c r="AH10" s="163">
        <f>'PRECIOS CYE'!R3</f>
        <v>0</v>
      </c>
      <c r="AI10" s="166">
        <f>'PRECIOS CYE'!S3</f>
        <v>0</v>
      </c>
      <c r="AJ10" s="172">
        <f>'PRECIOS CYE'!T3</f>
        <v>0</v>
      </c>
      <c r="AK10" s="163">
        <f>'PRECIOS CYE'!U3</f>
        <v>0</v>
      </c>
      <c r="AL10" s="163">
        <f>'PRECIOS CYE'!V3</f>
        <v>0</v>
      </c>
      <c r="AM10" s="163">
        <f>'PRECIOS CYE'!W3</f>
        <v>0</v>
      </c>
      <c r="AN10" s="163">
        <f>'PRECIOS CYE'!X3</f>
        <v>0</v>
      </c>
      <c r="AO10" s="166">
        <f>'PRECIOS CYE'!Y3</f>
        <v>0</v>
      </c>
    </row>
    <row r="11" spans="2:41" ht="14.45" thickBot="1">
      <c r="B11" s="157"/>
      <c r="C11" s="4" t="s">
        <v>117</v>
      </c>
      <c r="D11" s="5">
        <f>IF('INTRODUCIR DATOS'!$O$19='PRECIOS CYE'!$A$19,'PRECIOS CYE'!B19,IF('INTRODUCIR DATOS'!$O$19='PRECIOS CYE'!$A$20,'PRECIOS CYE'!B20,IF('INTRODUCIR DATOS'!$O$19='PRECIOS CYE'!$A$21,'PRECIOS CYE'!B21,IF('INTRODUCIR DATOS'!$O$19='PRECIOS CYE'!$A$22,'PRECIOS CYE'!B22,IF('INTRODUCIR DATOS'!$O$19='PRECIOS CYE'!$A$23,'PRECIOS CYE'!B23,IF('INTRODUCIR DATOS'!$O$19='PRECIOS CYE'!$A$24,'PRECIOS CYE'!B24,IF('INTRODUCIR DATOS'!$O$19='PRECIOS CYE'!$A$25,'PRECIOS CYE'!B25,IF('INTRODUCIR DATOS'!$O$19='PRECIOS CYE'!$A$26,'PRECIOS CYE'!B26,IF('INTRODUCIR DATOS'!$O$19='PRECIOS CYE'!$A$27,'PRECIOS CYE'!B27,)))))))))</f>
        <v>0</v>
      </c>
      <c r="E11" s="5">
        <f>IF('INTRODUCIR DATOS'!$O$19='PRECIOS CYE'!$A$19,'PRECIOS CYE'!C19,IF('INTRODUCIR DATOS'!$O$19='PRECIOS CYE'!$A$20,'PRECIOS CYE'!C20,IF('INTRODUCIR DATOS'!$O$19='PRECIOS CYE'!$A$21,'PRECIOS CYE'!C21,IF('INTRODUCIR DATOS'!$O$19='PRECIOS CYE'!$A$22,'PRECIOS CYE'!C22,IF('INTRODUCIR DATOS'!$O$19='PRECIOS CYE'!$A$23,'PRECIOS CYE'!C23,IF('INTRODUCIR DATOS'!$O$19='PRECIOS CYE'!$A$24,'PRECIOS CYE'!C24,IF('INTRODUCIR DATOS'!$O$19='PRECIOS CYE'!$A$25,'PRECIOS CYE'!C25,IF('INTRODUCIR DATOS'!$O$19='PRECIOS CYE'!$A$26,'PRECIOS CYE'!C26,IF('INTRODUCIR DATOS'!$O$19='PRECIOS CYE'!$A$27,'PRECIOS CYE'!C27,)))))))))</f>
        <v>0</v>
      </c>
      <c r="F11" s="5">
        <f>IF('INTRODUCIR DATOS'!$O$19='PRECIOS CYE'!$A$19,'PRECIOS CYE'!D19,IF('INTRODUCIR DATOS'!$O$19='PRECIOS CYE'!$A$20,'PRECIOS CYE'!D20,IF('INTRODUCIR DATOS'!$O$19='PRECIOS CYE'!$A$21,'PRECIOS CYE'!D21,IF('INTRODUCIR DATOS'!$O$19='PRECIOS CYE'!$A$22,'PRECIOS CYE'!D22,IF('INTRODUCIR DATOS'!$O$19='PRECIOS CYE'!$A$23,'PRECIOS CYE'!D23,IF('INTRODUCIR DATOS'!$O$19='PRECIOS CYE'!$A$24,'PRECIOS CYE'!D24,IF('INTRODUCIR DATOS'!$O$19='PRECIOS CYE'!$A$25,'PRECIOS CYE'!D25,IF('INTRODUCIR DATOS'!$O$19='PRECIOS CYE'!$A$26,'PRECIOS CYE'!D26,IF('INTRODUCIR DATOS'!$O$19='PRECIOS CYE'!$A$27,'PRECIOS CYE'!D27,)))))))))</f>
        <v>0</v>
      </c>
      <c r="G11" s="5">
        <f>IF('INTRODUCIR DATOS'!$O$19='PRECIOS CYE'!$A$19,'PRECIOS CYE'!E19,IF('INTRODUCIR DATOS'!$O$19='PRECIOS CYE'!$A$20,'PRECIOS CYE'!E20,IF('INTRODUCIR DATOS'!$O$19='PRECIOS CYE'!$A$21,'PRECIOS CYE'!E21,IF('INTRODUCIR DATOS'!$O$19='PRECIOS CYE'!$A$22,'PRECIOS CYE'!E22,IF('INTRODUCIR DATOS'!$O$19='PRECIOS CYE'!$A$23,'PRECIOS CYE'!E23,IF('INTRODUCIR DATOS'!$O$19='PRECIOS CYE'!$A$24,'PRECIOS CYE'!E24,IF('INTRODUCIR DATOS'!$O$19='PRECIOS CYE'!$A$25,'PRECIOS CYE'!E25,IF('INTRODUCIR DATOS'!$O$19='PRECIOS CYE'!$A$26,'PRECIOS CYE'!E26,IF('INTRODUCIR DATOS'!$O$19='PRECIOS CYE'!$A$27,'PRECIOS CYE'!E27,)))))))))</f>
        <v>0</v>
      </c>
      <c r="H11" s="5">
        <f>IF('INTRODUCIR DATOS'!$O$19='PRECIOS CYE'!$A$19,'PRECIOS CYE'!F19,IF('INTRODUCIR DATOS'!$O$19='PRECIOS CYE'!$A$20,'PRECIOS CYE'!F20,IF('INTRODUCIR DATOS'!$O$19='PRECIOS CYE'!$A$21,'PRECIOS CYE'!F21,IF('INTRODUCIR DATOS'!$O$19='PRECIOS CYE'!$A$22,'PRECIOS CYE'!F22,IF('INTRODUCIR DATOS'!$O$19='PRECIOS CYE'!$A$23,'PRECIOS CYE'!F23,IF('INTRODUCIR DATOS'!$O$19='PRECIOS CYE'!$A$24,'PRECIOS CYE'!F24,IF('INTRODUCIR DATOS'!$O$19='PRECIOS CYE'!$A$25,'PRECIOS CYE'!F25,IF('INTRODUCIR DATOS'!$O$19='PRECIOS CYE'!$A$26,'PRECIOS CYE'!F26,IF('INTRODUCIR DATOS'!$O$19='PRECIOS CYE'!$A$27,'PRECIOS CYE'!F27,)))))))))</f>
        <v>0</v>
      </c>
      <c r="I11" s="5">
        <f>IF('INTRODUCIR DATOS'!$O$19='PRECIOS CYE'!$A$19,'PRECIOS CYE'!G19,IF('INTRODUCIR DATOS'!$O$19='PRECIOS CYE'!$A$20,'PRECIOS CYE'!G20,IF('INTRODUCIR DATOS'!$O$19='PRECIOS CYE'!$A$21,'PRECIOS CYE'!G21,IF('INTRODUCIR DATOS'!$O$19='PRECIOS CYE'!$A$22,'PRECIOS CYE'!G22,IF('INTRODUCIR DATOS'!$O$19='PRECIOS CYE'!$A$23,'PRECIOS CYE'!G23,IF('INTRODUCIR DATOS'!$O$19='PRECIOS CYE'!$A$24,'PRECIOS CYE'!G24,IF('INTRODUCIR DATOS'!$O$19='PRECIOS CYE'!$A$25,'PRECIOS CYE'!G25,IF('INTRODUCIR DATOS'!$O$19='PRECIOS CYE'!$A$26,'PRECIOS CYE'!G26,IF('INTRODUCIR DATOS'!$O$19='PRECIOS CYE'!$A$27,'PRECIOS CYE'!G27,)))))))))</f>
        <v>0</v>
      </c>
      <c r="M11" s="635"/>
      <c r="N11" s="193" t="s">
        <v>200</v>
      </c>
      <c r="O11" s="194"/>
      <c r="P11" s="201"/>
      <c r="Q11" s="201"/>
      <c r="R11" s="195"/>
      <c r="S11" s="207"/>
      <c r="T11" s="207"/>
      <c r="U11" s="196"/>
      <c r="W11" s="213"/>
      <c r="X11" s="218"/>
      <c r="Y11" s="165"/>
      <c r="Z11" s="165"/>
      <c r="AA11" s="163"/>
      <c r="AB11" s="163"/>
      <c r="AC11" s="205"/>
      <c r="AD11" s="218">
        <f>('INTRODUCIR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DATOS'!$D$17)+'INTRODUCIR DATOS'!$D$15+'INTRODUCIR DATOS'!$D$16+(('INTRODUCIR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DATOS'!$D$17)+'INTRODUCIR DATOS'!$D$16)*21/100</f>
        <v>1.0285</v>
      </c>
      <c r="AE11" s="165">
        <f>IF(AD11=0,"",'INTRODUCIR DATOS'!$D$14-AD11)</f>
        <v>113.12150000000001</v>
      </c>
      <c r="AF11" s="165">
        <f>IF(AD11=0,"",('INTRODUCIR DATOS'!$D$14-AD11)/'INTRODUCIR DATOS'!$D$14)</f>
        <v>0.99098992553657472</v>
      </c>
      <c r="AG11" s="163"/>
      <c r="AH11" s="163"/>
      <c r="AI11" s="166"/>
      <c r="AJ11" s="218">
        <f>('INTRODUCIR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DATOS'!$D$17)+'INTRODUCIR DATOS'!$D$15+'INTRODUCIR DATOS'!$D$16+(('INTRODUCIR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DATOS'!$D$17)+'INTRODUCIR DATOS'!$D$16)*21/100</f>
        <v>1.0285</v>
      </c>
      <c r="AK11" s="165">
        <f>IF(AJ11=0,"",'INTRODUCIR DATOS'!$D$14-AJ11)</f>
        <v>113.12150000000001</v>
      </c>
      <c r="AL11" s="165">
        <f>IF(AJ11=0,"",('INTRODUCIR DATOS'!$D$14-AJ11)/'INTRODUCIR DATOS'!$D$14)</f>
        <v>0.99098992553657472</v>
      </c>
      <c r="AM11" s="163"/>
      <c r="AN11" s="163"/>
      <c r="AO11" s="166"/>
    </row>
    <row r="12" spans="2:41">
      <c r="B12" s="157"/>
      <c r="C12" s="4" t="s">
        <v>118</v>
      </c>
      <c r="D12" s="5">
        <f>IF('INTRODUCIR DATOS'!$O$18='PRECIOS CYE'!$A$3,'PRECIOS CYE'!B3,IF('INTRODUCIR DATOS'!$O$18='PRECIOS CYE'!$A$4,'PRECIOS CYE'!B4,IF('INTRODUCIR DATOS'!$O$18='PRECIOS CYE'!$A$5,'PRECIOS CYE'!B5,IF('INTRODUCIR DATOS'!$O$18='PRECIOS CYE'!$A$6,'PRECIOS CYE'!B6,IF('INTRODUCIR DATOS'!$O$18='PRECIOS CYE'!$A$7,'PRECIOS CYE'!B7,IF('INTRODUCIR DATOS'!$O$18='PRECIOS CYE'!$A$8,'PRECIOS CYE'!B8,IF('INTRODUCIR DATOS'!$O$18='PRECIOS CYE'!$A$9,'PRECIOS CYE'!B9,IF('INTRODUCIR DATOS'!$O$18='PRECIOS CYE'!$A$10,'PRECIOS CYE'!B10,IF('INTRODUCIR DATOS'!$O$18='PRECIOS CYE'!$A$11,'PRECIOS CYE'!B11,IF('INTRODUCIR DATOS'!$O$18='PRECIOS CYE'!$A$12,'PRECIOS CYE'!B12,IF('INTRODUCIR DATOS'!$O$18='PRECIOS CYE'!$A$13,'PRECIOS CYE'!B13,IF('INTRODUCIR DATOS'!$O$18='PRECIOS CYE'!$A$14,'PRECIOS CYE'!B14,IF('INTRODUCIR DATOS'!$O$18='PRECIOS CYE'!$A$15,'PRECIOS CYE'!B15,IF('INTRODUCIR DATOS'!$O$18='PRECIOS CYE'!$A$16,'PRECIOS CYE'!B16,IF('INTRODUCIR DATOS'!$O$18='PRECIOS CYE'!$A$17,'PRECIOS CYE'!B17,IF('INTRODUCIR DATOS'!$O$18='PRECIOS CYE'!$A$18,'PRECIOS CYE'!B18,))))))))))))))))</f>
        <v>0</v>
      </c>
      <c r="E12" s="5">
        <f>IF('INTRODUCIR DATOS'!$O$18='PRECIOS CYE'!$A$3,'PRECIOS CYE'!C3,IF('INTRODUCIR DATOS'!$O$18='PRECIOS CYE'!$A$4,'PRECIOS CYE'!C4,IF('INTRODUCIR DATOS'!$O$18='PRECIOS CYE'!$A$5,'PRECIOS CYE'!C5,IF('INTRODUCIR DATOS'!$O$18='PRECIOS CYE'!$A$6,'PRECIOS CYE'!C6,IF('INTRODUCIR DATOS'!$O$18='PRECIOS CYE'!$A$7,'PRECIOS CYE'!C7,IF('INTRODUCIR DATOS'!$O$18='PRECIOS CYE'!$A$8,'PRECIOS CYE'!C8,IF('INTRODUCIR DATOS'!$O$18='PRECIOS CYE'!$A$9,'PRECIOS CYE'!C9,IF('INTRODUCIR DATOS'!$O$18='PRECIOS CYE'!$A$10,'PRECIOS CYE'!C10,IF('INTRODUCIR DATOS'!$O$18='PRECIOS CYE'!$A$11,'PRECIOS CYE'!C11,IF('INTRODUCIR DATOS'!$O$18='PRECIOS CYE'!$A$12,'PRECIOS CYE'!C12,IF('INTRODUCIR DATOS'!$O$18='PRECIOS CYE'!$A$13,'PRECIOS CYE'!C13,IF('INTRODUCIR DATOS'!$O$18='PRECIOS CYE'!$A$14,'PRECIOS CYE'!C14,IF('INTRODUCIR DATOS'!$O$18='PRECIOS CYE'!$A$15,'PRECIOS CYE'!C15,IF('INTRODUCIR DATOS'!$O$18='PRECIOS CYE'!$A$16,'PRECIOS CYE'!C16,IF('INTRODUCIR DATOS'!$O$18='PRECIOS CYE'!$A$17,'PRECIOS CYE'!C17,IF('INTRODUCIR DATOS'!$O$18='PRECIOS CYE'!$A$18,'PRECIOS CYE'!C18,))))))))))))))))</f>
        <v>0</v>
      </c>
      <c r="F12" s="5">
        <f>IF('INTRODUCIR DATOS'!$O$18='PRECIOS CYE'!$A$3,'PRECIOS CYE'!D3,IF('INTRODUCIR DATOS'!$O$18='PRECIOS CYE'!$A$4,'PRECIOS CYE'!D4,IF('INTRODUCIR DATOS'!$O$18='PRECIOS CYE'!$A$5,'PRECIOS CYE'!D5,IF('INTRODUCIR DATOS'!$O$18='PRECIOS CYE'!$A$6,'PRECIOS CYE'!D6,IF('INTRODUCIR DATOS'!$O$18='PRECIOS CYE'!$A$7,'PRECIOS CYE'!D7,IF('INTRODUCIR DATOS'!$O$18='PRECIOS CYE'!$A$8,'PRECIOS CYE'!D8,IF('INTRODUCIR DATOS'!$O$18='PRECIOS CYE'!$A$9,'PRECIOS CYE'!D9,IF('INTRODUCIR DATOS'!$O$18='PRECIOS CYE'!$A$10,'PRECIOS CYE'!D10,IF('INTRODUCIR DATOS'!$O$18='PRECIOS CYE'!$A$11,'PRECIOS CYE'!D11,IF('INTRODUCIR DATOS'!$O$18='PRECIOS CYE'!$A$12,'PRECIOS CYE'!D12,IF('INTRODUCIR DATOS'!$O$18='PRECIOS CYE'!$A$13,'PRECIOS CYE'!D13,IF('INTRODUCIR DATOS'!$O$18='PRECIOS CYE'!$A$14,'PRECIOS CYE'!D14,IF('INTRODUCIR DATOS'!$O$18='PRECIOS CYE'!$A$15,'PRECIOS CYE'!D15,IF('INTRODUCIR DATOS'!$O$18='PRECIOS CYE'!$A$16,'PRECIOS CYE'!D16,IF('INTRODUCIR DATOS'!$O$18='PRECIOS CYE'!$A$17,'PRECIOS CYE'!D17,IF('INTRODUCIR DATOS'!$O$18='PRECIOS CYE'!$A$18,'PRECIOS CYE'!D18,))))))))))))))))</f>
        <v>0</v>
      </c>
      <c r="G12" s="5">
        <f>IF('INTRODUCIR DATOS'!$O$18='PRECIOS CYE'!$A$3,'PRECIOS CYE'!E3,IF('INTRODUCIR DATOS'!$O$18='PRECIOS CYE'!$A$4,'PRECIOS CYE'!E4,IF('INTRODUCIR DATOS'!$O$18='PRECIOS CYE'!$A$5,'PRECIOS CYE'!E5,IF('INTRODUCIR DATOS'!$O$18='PRECIOS CYE'!$A$6,'PRECIOS CYE'!E6,IF('INTRODUCIR DATOS'!$O$18='PRECIOS CYE'!$A$7,'PRECIOS CYE'!E7,IF('INTRODUCIR DATOS'!$O$18='PRECIOS CYE'!$A$8,'PRECIOS CYE'!E8,IF('INTRODUCIR DATOS'!$O$18='PRECIOS CYE'!$A$9,'PRECIOS CYE'!E9,IF('INTRODUCIR DATOS'!$O$18='PRECIOS CYE'!$A$10,'PRECIOS CYE'!E10,IF('INTRODUCIR DATOS'!$O$18='PRECIOS CYE'!$A$11,'PRECIOS CYE'!E11,IF('INTRODUCIR DATOS'!$O$18='PRECIOS CYE'!$A$12,'PRECIOS CYE'!E12,IF('INTRODUCIR DATOS'!$O$18='PRECIOS CYE'!$A$13,'PRECIOS CYE'!E13,IF('INTRODUCIR DATOS'!$O$18='PRECIOS CYE'!$A$14,'PRECIOS CYE'!E14,IF('INTRODUCIR DATOS'!$O$18='PRECIOS CYE'!$A$15,'PRECIOS CYE'!E15,IF('INTRODUCIR DATOS'!$O$18='PRECIOS CYE'!$A$16,'PRECIOS CYE'!E16,IF('INTRODUCIR DATOS'!$O$18='PRECIOS CYE'!$A$17,'PRECIOS CYE'!E17,IF('INTRODUCIR DATOS'!$O$18='PRECIOS CYE'!$A$18,'PRECIOS CYE'!E18,))))))))))))))))</f>
        <v>0</v>
      </c>
      <c r="H12" s="5">
        <f>IF('INTRODUCIR DATOS'!$O$18='PRECIOS CYE'!$A$3,'PRECIOS CYE'!F3,IF('INTRODUCIR DATOS'!$O$18='PRECIOS CYE'!$A$4,'PRECIOS CYE'!F4,IF('INTRODUCIR DATOS'!$O$18='PRECIOS CYE'!$A$5,'PRECIOS CYE'!F5,IF('INTRODUCIR DATOS'!$O$18='PRECIOS CYE'!$A$6,'PRECIOS CYE'!F6,IF('INTRODUCIR DATOS'!$O$18='PRECIOS CYE'!$A$7,'PRECIOS CYE'!F7,IF('INTRODUCIR DATOS'!$O$18='PRECIOS CYE'!$A$8,'PRECIOS CYE'!F8,IF('INTRODUCIR DATOS'!$O$18='PRECIOS CYE'!$A$9,'PRECIOS CYE'!F9,IF('INTRODUCIR DATOS'!$O$18='PRECIOS CYE'!$A$10,'PRECIOS CYE'!F10,IF('INTRODUCIR DATOS'!$O$18='PRECIOS CYE'!$A$11,'PRECIOS CYE'!F11,IF('INTRODUCIR DATOS'!$O$18='PRECIOS CYE'!$A$12,'PRECIOS CYE'!F12,IF('INTRODUCIR DATOS'!$O$18='PRECIOS CYE'!$A$13,'PRECIOS CYE'!F13,IF('INTRODUCIR DATOS'!$O$18='PRECIOS CYE'!$A$14,'PRECIOS CYE'!F14,IF('INTRODUCIR DATOS'!$O$18='PRECIOS CYE'!$A$15,'PRECIOS CYE'!F15,IF('INTRODUCIR DATOS'!$O$18='PRECIOS CYE'!$A$16,'PRECIOS CYE'!F16,IF('INTRODUCIR DATOS'!$O$18='PRECIOS CYE'!$A$17,'PRECIOS CYE'!F17,IF('INTRODUCIR DATOS'!$O$18='PRECIOS CYE'!$A$18,'PRECIOS CYE'!F18,))))))))))))))))</f>
        <v>0</v>
      </c>
      <c r="I12" s="5">
        <f>IF('INTRODUCIR DATOS'!$O$18='PRECIOS CYE'!$A$3,'PRECIOS CYE'!G3,IF('INTRODUCIR DATOS'!$O$18='PRECIOS CYE'!$A$4,'PRECIOS CYE'!G4,IF('INTRODUCIR DATOS'!$O$18='PRECIOS CYE'!$A$5,'PRECIOS CYE'!G5,IF('INTRODUCIR DATOS'!$O$18='PRECIOS CYE'!$A$6,'PRECIOS CYE'!G6,IF('INTRODUCIR DATOS'!$O$18='PRECIOS CYE'!$A$7,'PRECIOS CYE'!G7,IF('INTRODUCIR DATOS'!$O$18='PRECIOS CYE'!$A$8,'PRECIOS CYE'!G8,IF('INTRODUCIR DATOS'!$O$18='PRECIOS CYE'!$A$9,'PRECIOS CYE'!G9,IF('INTRODUCIR DATOS'!$O$18='PRECIOS CYE'!$A$10,'PRECIOS CYE'!G10,IF('INTRODUCIR DATOS'!$O$18='PRECIOS CYE'!$A$11,'PRECIOS CYE'!G11,IF('INTRODUCIR DATOS'!$O$18='PRECIOS CYE'!$A$12,'PRECIOS CYE'!G12,IF('INTRODUCIR DATOS'!$O$18='PRECIOS CYE'!$A$13,'PRECIOS CYE'!G13,IF('INTRODUCIR DATOS'!$O$18='PRECIOS CYE'!$A$14,'PRECIOS CYE'!G14,IF('INTRODUCIR DATOS'!$O$18='PRECIOS CYE'!$A$15,'PRECIOS CYE'!G15,IF('INTRODUCIR DATOS'!$O$18='PRECIOS CYE'!$A$16,'PRECIOS CYE'!G16,IF('INTRODUCIR DATOS'!$O$18='PRECIOS CYE'!$A$17,'PRECIOS CYE'!G17,IF('INTRODUCIR DATOS'!$O$18='PRECIOS CYE'!$A$18,'PRECIOS CYE'!G18,))))))))))))))))</f>
        <v>0</v>
      </c>
      <c r="M12" s="636" t="s">
        <v>201</v>
      </c>
      <c r="N12" s="180" t="s">
        <v>41</v>
      </c>
      <c r="O12" s="187"/>
      <c r="P12" s="199"/>
      <c r="Q12" s="199"/>
      <c r="R12" s="177">
        <f>AE32</f>
        <v>113.12150000000001</v>
      </c>
      <c r="S12" s="204"/>
      <c r="T12" s="204"/>
      <c r="U12" s="178">
        <f>AK32</f>
        <v>113.12150000000001</v>
      </c>
      <c r="W12" s="214" t="s">
        <v>198</v>
      </c>
      <c r="X12" s="217"/>
      <c r="Y12" s="163"/>
      <c r="Z12" s="163"/>
      <c r="AA12" s="163"/>
      <c r="AB12" s="163"/>
      <c r="AC12" s="205"/>
      <c r="AD12" s="217">
        <f>'PRECIOS CYE'!N21</f>
        <v>0</v>
      </c>
      <c r="AE12" s="163">
        <f>'PRECIOS CYE'!O21</f>
        <v>0</v>
      </c>
      <c r="AF12" s="163">
        <f>'PRECIOS CYE'!P21</f>
        <v>0</v>
      </c>
      <c r="AG12" s="163">
        <f>'PRECIOS CYE'!Q21</f>
        <v>0</v>
      </c>
      <c r="AH12" s="163">
        <f>'PRECIOS CYE'!R21</f>
        <v>0</v>
      </c>
      <c r="AI12" s="166">
        <f>'PRECIOS CYE'!S21</f>
        <v>0</v>
      </c>
      <c r="AJ12" s="172">
        <f>'PRECIOS CYE'!T21</f>
        <v>0</v>
      </c>
      <c r="AK12" s="163">
        <f>'PRECIOS CYE'!U21</f>
        <v>0</v>
      </c>
      <c r="AL12" s="163">
        <f>'PRECIOS CYE'!V21</f>
        <v>0</v>
      </c>
      <c r="AM12" s="163">
        <f>'PRECIOS CYE'!W21</f>
        <v>0</v>
      </c>
      <c r="AN12" s="163">
        <f>'PRECIOS CYE'!X21</f>
        <v>0</v>
      </c>
      <c r="AO12" s="166">
        <f>'PRECIOS CYE'!Y21</f>
        <v>0</v>
      </c>
    </row>
    <row r="13" spans="2:41">
      <c r="B13" s="157"/>
      <c r="C13" s="155"/>
      <c r="D13" s="152">
        <f>('INTRODUCIR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DATOS'!$D$17)+'INTRODUCIR DATOS'!$D$15+'INTRODUCIR DATOS'!$D$16+(('INTRODUCIR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DATOS'!$D$17)+'INTRODUCIR DATOS'!$D$16)*21/100</f>
        <v>1.0285</v>
      </c>
      <c r="E13" s="153">
        <f>D13-'INTRODUCIR DATOS'!$D$14</f>
        <v>-113.12150000000001</v>
      </c>
      <c r="F13" s="156">
        <f>('INTRODUCIR DATOS'!$D$14-D13)/'INTRODUCIR DATOS'!$D$14</f>
        <v>0.99098992553657472</v>
      </c>
      <c r="G13" s="6"/>
      <c r="H13" s="6"/>
      <c r="I13" s="6"/>
      <c r="J13" s="6"/>
      <c r="K13" s="6"/>
      <c r="M13" s="631"/>
      <c r="N13" s="181" t="s">
        <v>115</v>
      </c>
      <c r="O13" s="188"/>
      <c r="P13" s="200"/>
      <c r="Q13" s="200"/>
      <c r="R13" s="163">
        <f>AE35</f>
        <v>113.12150000000001</v>
      </c>
      <c r="S13" s="205"/>
      <c r="T13" s="205"/>
      <c r="U13" s="166">
        <f>AK35</f>
        <v>113.12150000000001</v>
      </c>
      <c r="W13" s="212" t="s">
        <v>60</v>
      </c>
      <c r="X13" s="217"/>
      <c r="Y13" s="163"/>
      <c r="Z13" s="163"/>
      <c r="AA13" s="163"/>
      <c r="AB13" s="163"/>
      <c r="AC13" s="205"/>
      <c r="AD13" s="217">
        <f>'PRECIOS CYE'!N3</f>
        <v>0</v>
      </c>
      <c r="AE13" s="163">
        <f>'PRECIOS CYE'!O3</f>
        <v>0</v>
      </c>
      <c r="AF13" s="163">
        <f>'PRECIOS CYE'!P3</f>
        <v>0</v>
      </c>
      <c r="AG13" s="163">
        <f>'PRECIOS CYE'!Q3</f>
        <v>0</v>
      </c>
      <c r="AH13" s="163">
        <f>'PRECIOS CYE'!R3</f>
        <v>0</v>
      </c>
      <c r="AI13" s="166">
        <f>'PRECIOS CYE'!S3</f>
        <v>0</v>
      </c>
      <c r="AJ13" s="172">
        <f>'PRECIOS CYE'!T3</f>
        <v>0</v>
      </c>
      <c r="AK13" s="163">
        <f>'PRECIOS CYE'!U3</f>
        <v>0</v>
      </c>
      <c r="AL13" s="163">
        <f>'PRECIOS CYE'!V3</f>
        <v>0</v>
      </c>
      <c r="AM13" s="163">
        <f>'PRECIOS CYE'!W3</f>
        <v>0</v>
      </c>
      <c r="AN13" s="163">
        <f>'PRECIOS CYE'!X3</f>
        <v>0</v>
      </c>
      <c r="AO13" s="166">
        <f>'PRECIOS CYE'!Y3</f>
        <v>0</v>
      </c>
    </row>
    <row r="14" spans="2:41" ht="14.45" thickBot="1">
      <c r="B14" s="157"/>
      <c r="C14" s="157"/>
      <c r="D14" s="157"/>
      <c r="E14" s="157"/>
      <c r="F14" s="157"/>
      <c r="G14" s="157"/>
      <c r="H14" s="157"/>
      <c r="I14" s="157"/>
      <c r="J14" s="157"/>
      <c r="K14" s="157"/>
      <c r="M14" s="631"/>
      <c r="N14" s="181" t="s">
        <v>116</v>
      </c>
      <c r="O14" s="188"/>
      <c r="P14" s="200"/>
      <c r="Q14" s="200"/>
      <c r="R14" s="163">
        <f>AE38</f>
        <v>113.12150000000001</v>
      </c>
      <c r="S14" s="205"/>
      <c r="T14" s="205"/>
      <c r="U14" s="166">
        <f>AK38</f>
        <v>113.12150000000001</v>
      </c>
      <c r="W14" s="215"/>
      <c r="X14" s="218"/>
      <c r="Y14" s="165"/>
      <c r="Z14" s="165"/>
      <c r="AA14" s="163"/>
      <c r="AB14" s="163"/>
      <c r="AC14" s="205"/>
      <c r="AD14" s="218">
        <f>('INTRODUCIR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DATOS'!$D$17)+'INTRODUCIR DATOS'!$D$15+'INTRODUCIR DATOS'!$D$16+(('INTRODUCIR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DATOS'!$D$17)+'INTRODUCIR DATOS'!$D$16)*21/100</f>
        <v>1.0285</v>
      </c>
      <c r="AE14" s="165">
        <f>IF(AD14=0,"",'INTRODUCIR DATOS'!$D$14-AD14)</f>
        <v>113.12150000000001</v>
      </c>
      <c r="AF14" s="165">
        <f>IF(AD14=0,"",('INTRODUCIR DATOS'!$D$14-AD14)/'INTRODUCIR DATOS'!$D$14)</f>
        <v>0.99098992553657472</v>
      </c>
      <c r="AG14" s="163"/>
      <c r="AH14" s="163"/>
      <c r="AI14" s="166"/>
      <c r="AJ14" s="218">
        <f>('INTRODUCIR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DATOS'!$D$17)+'INTRODUCIR DATOS'!$D$15+'INTRODUCIR DATOS'!$D$16+(('INTRODUCIR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DATOS'!$D$17)+'INTRODUCIR DATOS'!$D$16)*21/100</f>
        <v>1.0285</v>
      </c>
      <c r="AK14" s="165">
        <f>IF(AJ14=0,"",'INTRODUCIR DATOS'!$D$14-AJ14)</f>
        <v>113.12150000000001</v>
      </c>
      <c r="AL14" s="165">
        <f>IF(AJ14=0,"",('INTRODUCIR DATOS'!$D$14-AJ14)/'INTRODUCIR DATOS'!$D$14)</f>
        <v>0.99098992553657472</v>
      </c>
      <c r="AM14" s="163"/>
      <c r="AN14" s="163"/>
      <c r="AO14" s="166"/>
    </row>
    <row r="15" spans="2:41">
      <c r="B15" s="629" t="s">
        <v>119</v>
      </c>
      <c r="C15" s="629"/>
      <c r="D15" s="629"/>
      <c r="E15" s="629"/>
      <c r="F15" s="629"/>
      <c r="G15" s="629"/>
      <c r="H15" s="629"/>
      <c r="I15" s="629"/>
      <c r="J15" s="629"/>
      <c r="K15" s="629"/>
      <c r="M15" s="631"/>
      <c r="N15" s="181" t="s">
        <v>60</v>
      </c>
      <c r="O15" s="188"/>
      <c r="P15" s="200"/>
      <c r="Q15" s="200"/>
      <c r="R15" s="163">
        <f>AE41</f>
        <v>113.12150000000001</v>
      </c>
      <c r="S15" s="205"/>
      <c r="T15" s="205"/>
      <c r="U15" s="166">
        <f>AK41</f>
        <v>113.12150000000001</v>
      </c>
      <c r="W15" s="211" t="s">
        <v>198</v>
      </c>
      <c r="X15" s="217"/>
      <c r="Y15" s="163"/>
      <c r="Z15" s="163"/>
      <c r="AA15" s="163"/>
      <c r="AB15" s="163"/>
      <c r="AC15" s="205"/>
      <c r="AD15" s="217">
        <f>'PRECIOS CYE'!N22</f>
        <v>0</v>
      </c>
      <c r="AE15" s="163">
        <f>'PRECIOS CYE'!O22</f>
        <v>0</v>
      </c>
      <c r="AF15" s="163">
        <f>'PRECIOS CYE'!P22</f>
        <v>0</v>
      </c>
      <c r="AG15" s="163">
        <f>'PRECIOS CYE'!Q22</f>
        <v>0</v>
      </c>
      <c r="AH15" s="163">
        <f>'PRECIOS CYE'!R22</f>
        <v>0</v>
      </c>
      <c r="AI15" s="166">
        <f>'PRECIOS CYE'!S22</f>
        <v>0</v>
      </c>
      <c r="AJ15" s="172">
        <f>'PRECIOS CYE'!T22</f>
        <v>0</v>
      </c>
      <c r="AK15" s="163">
        <f>'PRECIOS CYE'!U22</f>
        <v>0</v>
      </c>
      <c r="AL15" s="163">
        <f>'PRECIOS CYE'!V22</f>
        <v>0</v>
      </c>
      <c r="AM15" s="163">
        <f>'PRECIOS CYE'!W22</f>
        <v>0</v>
      </c>
      <c r="AN15" s="163">
        <f>'PRECIOS CYE'!X22</f>
        <v>0</v>
      </c>
      <c r="AO15" s="166">
        <f>'PRECIOS CYE'!Y22</f>
        <v>0</v>
      </c>
    </row>
    <row r="16" spans="2:41">
      <c r="B16" s="39" t="s">
        <v>120</v>
      </c>
      <c r="C16" s="39"/>
      <c r="D16" s="37"/>
      <c r="E16" s="37"/>
      <c r="F16" s="37"/>
      <c r="G16" s="38"/>
      <c r="H16" s="38"/>
      <c r="I16" s="37"/>
      <c r="J16" s="36"/>
      <c r="K16" s="35">
        <f>F17+F18+F19+I17+I18+I19</f>
        <v>0</v>
      </c>
      <c r="M16" s="631"/>
      <c r="N16" s="181" t="s">
        <v>62</v>
      </c>
      <c r="O16" s="188"/>
      <c r="P16" s="200"/>
      <c r="Q16" s="200"/>
      <c r="R16" s="163">
        <f>AE44</f>
        <v>113.12150000000001</v>
      </c>
      <c r="S16" s="205"/>
      <c r="T16" s="205"/>
      <c r="U16" s="166">
        <f>AK44</f>
        <v>113.12150000000001</v>
      </c>
      <c r="W16" s="212" t="s">
        <v>62</v>
      </c>
      <c r="X16" s="217"/>
      <c r="Y16" s="163"/>
      <c r="Z16" s="163"/>
      <c r="AA16" s="163"/>
      <c r="AB16" s="163"/>
      <c r="AC16" s="205"/>
      <c r="AD16" s="217">
        <f>'PRECIOS CYE'!N3</f>
        <v>0</v>
      </c>
      <c r="AE16" s="163">
        <f>'PRECIOS CYE'!O3</f>
        <v>0</v>
      </c>
      <c r="AF16" s="163">
        <f>'PRECIOS CYE'!P3</f>
        <v>0</v>
      </c>
      <c r="AG16" s="163">
        <f>'PRECIOS CYE'!Q3</f>
        <v>0</v>
      </c>
      <c r="AH16" s="163">
        <f>'PRECIOS CYE'!R3</f>
        <v>0</v>
      </c>
      <c r="AI16" s="166">
        <f>'PRECIOS CYE'!S3</f>
        <v>0</v>
      </c>
      <c r="AJ16" s="172">
        <f>'PRECIOS CYE'!T3</f>
        <v>0</v>
      </c>
      <c r="AK16" s="163">
        <f>'PRECIOS CYE'!U3</f>
        <v>0</v>
      </c>
      <c r="AL16" s="163">
        <f>'PRECIOS CYE'!V3</f>
        <v>0</v>
      </c>
      <c r="AM16" s="163">
        <f>'PRECIOS CYE'!W3</f>
        <v>0</v>
      </c>
      <c r="AN16" s="163">
        <f>'PRECIOS CYE'!X3</f>
        <v>0</v>
      </c>
      <c r="AO16" s="166">
        <f>'PRECIOS CYE'!Y3</f>
        <v>0</v>
      </c>
    </row>
    <row r="17" spans="2:41" ht="14.45" thickBot="1">
      <c r="C17" s="89"/>
      <c r="D17" s="17" t="s">
        <v>115</v>
      </c>
      <c r="E17" s="7">
        <f>'INTRODUCIR DATOS'!$E$25</f>
        <v>6</v>
      </c>
      <c r="F17" s="8">
        <f>E17*D11*'INTRODUCIR DATOS'!$D$13</f>
        <v>0</v>
      </c>
      <c r="G17" s="17" t="s">
        <v>62</v>
      </c>
      <c r="H17" s="7">
        <f>'INTRODUCIR DATOS'!$E$28</f>
        <v>0</v>
      </c>
      <c r="I17" s="8">
        <f>H17*G11*'INTRODUCIR DATOS'!$D$13</f>
        <v>0</v>
      </c>
      <c r="J17" s="159"/>
      <c r="K17" s="159"/>
      <c r="M17" s="631"/>
      <c r="N17" s="181" t="s">
        <v>63</v>
      </c>
      <c r="O17" s="188"/>
      <c r="P17" s="200"/>
      <c r="Q17" s="200"/>
      <c r="R17" s="186"/>
      <c r="S17" s="206"/>
      <c r="T17" s="206"/>
      <c r="U17" s="189"/>
      <c r="W17" s="213"/>
      <c r="X17" s="218"/>
      <c r="Y17" s="165"/>
      <c r="Z17" s="165"/>
      <c r="AA17" s="163"/>
      <c r="AB17" s="163"/>
      <c r="AC17" s="205"/>
      <c r="AD17" s="218">
        <f>('INTRODUCIR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DATOS'!$D$17)+'INTRODUCIR DATOS'!$D$15+'INTRODUCIR DATOS'!$D$16+(('INTRODUCIR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DATOS'!$D$17)+'INTRODUCIR DATOS'!$D$16)*21/100</f>
        <v>1.0285</v>
      </c>
      <c r="AE17" s="165">
        <f>IF(AD17=0,"",'INTRODUCIR DATOS'!$D$14-AD17)</f>
        <v>113.12150000000001</v>
      </c>
      <c r="AF17" s="165">
        <f>IF(AD17=0,"",('INTRODUCIR DATOS'!$D$14-AD17)/'INTRODUCIR DATOS'!$D$14)</f>
        <v>0.99098992553657472</v>
      </c>
      <c r="AG17" s="163"/>
      <c r="AH17" s="163"/>
      <c r="AI17" s="166"/>
      <c r="AJ17" s="218">
        <f>('INTRODUCIR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DATOS'!$D$17)+'INTRODUCIR DATOS'!$D$15+'INTRODUCIR DATOS'!$D$16+(('INTRODUCIR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DATOS'!$D$17)+'INTRODUCIR DATOS'!$D$16)*21/100</f>
        <v>1.0285</v>
      </c>
      <c r="AK17" s="165">
        <f>IF(AJ17=0,"",'INTRODUCIR DATOS'!$D$14-AJ17)</f>
        <v>113.12150000000001</v>
      </c>
      <c r="AL17" s="165">
        <f>IF(AJ17=0,"",('INTRODUCIR DATOS'!$D$14-AJ17)/'INTRODUCIR DATOS'!$D$14)</f>
        <v>0.99098992553657472</v>
      </c>
      <c r="AM17" s="163"/>
      <c r="AN17" s="163"/>
      <c r="AO17" s="166"/>
    </row>
    <row r="18" spans="2:41">
      <c r="C18" s="89"/>
      <c r="D18" s="17" t="s">
        <v>116</v>
      </c>
      <c r="E18" s="7">
        <f>'INTRODUCIR DATOS'!$E$26</f>
        <v>6</v>
      </c>
      <c r="F18" s="8">
        <f>E18*E11*'INTRODUCIR DATOS'!$D$13</f>
        <v>0</v>
      </c>
      <c r="G18" s="17" t="s">
        <v>63</v>
      </c>
      <c r="H18" s="7">
        <f>'INTRODUCIR DATOS'!$E$29</f>
        <v>0</v>
      </c>
      <c r="I18" s="8">
        <f>H18*H11*'INTRODUCIR DATOS'!$D$13</f>
        <v>0</v>
      </c>
      <c r="J18" s="159"/>
      <c r="K18" s="159"/>
      <c r="M18" s="631"/>
      <c r="N18" s="181" t="s">
        <v>65</v>
      </c>
      <c r="O18" s="188"/>
      <c r="P18" s="200"/>
      <c r="Q18" s="200"/>
      <c r="R18" s="186"/>
      <c r="S18" s="206"/>
      <c r="T18" s="206"/>
      <c r="U18" s="189"/>
      <c r="W18" s="214" t="s">
        <v>198</v>
      </c>
      <c r="X18" s="217"/>
      <c r="Y18" s="163"/>
      <c r="Z18" s="163"/>
      <c r="AA18" s="163"/>
      <c r="AB18" s="163"/>
      <c r="AC18" s="205"/>
      <c r="AD18" s="217"/>
      <c r="AE18" s="163"/>
      <c r="AF18" s="163"/>
      <c r="AG18" s="163"/>
      <c r="AH18" s="163"/>
      <c r="AI18" s="166"/>
      <c r="AJ18" s="172"/>
      <c r="AK18" s="163"/>
      <c r="AL18" s="163"/>
      <c r="AM18" s="163"/>
      <c r="AN18" s="163"/>
      <c r="AO18" s="166"/>
    </row>
    <row r="19" spans="2:41">
      <c r="C19" s="9"/>
      <c r="D19" s="17" t="s">
        <v>60</v>
      </c>
      <c r="E19" s="7">
        <f>'INTRODUCIR DATOS'!$E$27</f>
        <v>0</v>
      </c>
      <c r="F19" s="8">
        <f>E19*F11*'INTRODUCIR DATOS'!$D$13</f>
        <v>0</v>
      </c>
      <c r="G19" s="18" t="s">
        <v>65</v>
      </c>
      <c r="H19" s="7">
        <f>'INTRODUCIR DATOS'!$E$30</f>
        <v>0</v>
      </c>
      <c r="I19" s="8">
        <f>H19*I11*'INTRODUCIR DATOS'!$D$13</f>
        <v>0</v>
      </c>
      <c r="J19" s="9"/>
      <c r="K19" s="9"/>
      <c r="M19" s="631"/>
      <c r="N19" s="181" t="s">
        <v>199</v>
      </c>
      <c r="O19" s="188"/>
      <c r="P19" s="200"/>
      <c r="Q19" s="200"/>
      <c r="R19" s="186"/>
      <c r="S19" s="206"/>
      <c r="T19" s="206"/>
      <c r="U19" s="189"/>
      <c r="W19" s="212" t="s">
        <v>63</v>
      </c>
      <c r="X19" s="217"/>
      <c r="Y19" s="163"/>
      <c r="Z19" s="163"/>
      <c r="AA19" s="163"/>
      <c r="AB19" s="163"/>
      <c r="AC19" s="205"/>
      <c r="AD19" s="217"/>
      <c r="AE19" s="163"/>
      <c r="AF19" s="163"/>
      <c r="AG19" s="163"/>
      <c r="AH19" s="163"/>
      <c r="AI19" s="166"/>
      <c r="AJ19" s="172"/>
      <c r="AK19" s="163"/>
      <c r="AL19" s="163"/>
      <c r="AM19" s="163"/>
      <c r="AN19" s="163"/>
      <c r="AO19" s="166"/>
    </row>
    <row r="20" spans="2:41" ht="14.45" thickBot="1">
      <c r="B20" s="9" t="s">
        <v>121</v>
      </c>
      <c r="C20" s="9"/>
      <c r="D20" s="9"/>
      <c r="E20" s="9"/>
      <c r="F20" s="9"/>
      <c r="G20" s="9"/>
      <c r="H20" s="9"/>
      <c r="I20" s="9"/>
      <c r="J20" s="9"/>
      <c r="K20" s="9"/>
      <c r="M20" s="632"/>
      <c r="N20" s="182" t="s">
        <v>200</v>
      </c>
      <c r="O20" s="190"/>
      <c r="P20" s="202"/>
      <c r="Q20" s="202"/>
      <c r="R20" s="191"/>
      <c r="S20" s="208"/>
      <c r="T20" s="208"/>
      <c r="U20" s="192"/>
      <c r="W20" s="215"/>
      <c r="X20" s="218"/>
      <c r="Y20" s="165"/>
      <c r="Z20" s="165"/>
      <c r="AA20" s="163"/>
      <c r="AB20" s="163"/>
      <c r="AC20" s="205"/>
      <c r="AD20" s="218"/>
      <c r="AE20" s="165"/>
      <c r="AF20" s="165"/>
      <c r="AG20" s="163"/>
      <c r="AH20" s="163"/>
      <c r="AI20" s="166"/>
      <c r="AJ20" s="173"/>
      <c r="AK20" s="165"/>
      <c r="AL20" s="165"/>
      <c r="AM20" s="163"/>
      <c r="AN20" s="163"/>
      <c r="AO20" s="166"/>
    </row>
    <row r="21" spans="2:41">
      <c r="B21" s="39" t="s">
        <v>122</v>
      </c>
      <c r="C21" s="39"/>
      <c r="D21" s="37"/>
      <c r="E21" s="37"/>
      <c r="F21" s="37"/>
      <c r="G21" s="38"/>
      <c r="H21" s="38"/>
      <c r="I21" s="37"/>
      <c r="J21" s="36"/>
      <c r="K21" s="35">
        <f>F22+F23+F24+I22+I23+I24</f>
        <v>0</v>
      </c>
      <c r="M21" s="630" t="s">
        <v>71</v>
      </c>
      <c r="N21" s="197" t="s">
        <v>41</v>
      </c>
      <c r="O21" s="198"/>
      <c r="P21" s="203"/>
      <c r="Q21" s="203"/>
      <c r="R21" s="174">
        <f>AE59</f>
        <v>113.12150000000001</v>
      </c>
      <c r="S21" s="209"/>
      <c r="T21" s="209"/>
      <c r="U21" s="175">
        <f>AK59</f>
        <v>113.12150000000001</v>
      </c>
      <c r="W21" s="211" t="s">
        <v>198</v>
      </c>
      <c r="X21" s="217"/>
      <c r="Y21" s="163"/>
      <c r="Z21" s="163"/>
      <c r="AA21" s="163"/>
      <c r="AB21" s="163"/>
      <c r="AC21" s="205"/>
      <c r="AD21" s="217"/>
      <c r="AE21" s="163"/>
      <c r="AF21" s="163"/>
      <c r="AG21" s="163"/>
      <c r="AH21" s="163"/>
      <c r="AI21" s="166"/>
      <c r="AJ21" s="172"/>
      <c r="AK21" s="163"/>
      <c r="AL21" s="163"/>
      <c r="AM21" s="163"/>
      <c r="AN21" s="163"/>
      <c r="AO21" s="166"/>
    </row>
    <row r="22" spans="2:41">
      <c r="B22" s="89"/>
      <c r="C22" s="89"/>
      <c r="D22" s="17" t="s">
        <v>115</v>
      </c>
      <c r="E22" s="10">
        <f>'INTRODUCIR DATOS'!$E$32</f>
        <v>327</v>
      </c>
      <c r="F22" s="338">
        <f>E22*D12</f>
        <v>0</v>
      </c>
      <c r="G22" s="18" t="s">
        <v>62</v>
      </c>
      <c r="H22" s="10">
        <f>'INTRODUCIR DATOS'!$E$35</f>
        <v>0</v>
      </c>
      <c r="I22" s="338">
        <f>H22*G12</f>
        <v>0</v>
      </c>
      <c r="J22" s="159"/>
      <c r="K22" s="159"/>
      <c r="M22" s="631"/>
      <c r="N22" s="181" t="s">
        <v>115</v>
      </c>
      <c r="O22" s="188"/>
      <c r="P22" s="200"/>
      <c r="Q22" s="200"/>
      <c r="R22" s="163">
        <f>AE62</f>
        <v>113.12150000000001</v>
      </c>
      <c r="S22" s="205"/>
      <c r="T22" s="205"/>
      <c r="U22" s="166">
        <f>AK62</f>
        <v>113.12150000000001</v>
      </c>
      <c r="W22" s="212" t="s">
        <v>65</v>
      </c>
      <c r="X22" s="217"/>
      <c r="Y22" s="163"/>
      <c r="Z22" s="163"/>
      <c r="AA22" s="163"/>
      <c r="AB22" s="163"/>
      <c r="AC22" s="205"/>
      <c r="AD22" s="217"/>
      <c r="AE22" s="163"/>
      <c r="AF22" s="163"/>
      <c r="AG22" s="163"/>
      <c r="AH22" s="163"/>
      <c r="AI22" s="166"/>
      <c r="AJ22" s="172"/>
      <c r="AK22" s="163"/>
      <c r="AL22" s="163"/>
      <c r="AM22" s="163"/>
      <c r="AN22" s="163"/>
      <c r="AO22" s="166"/>
    </row>
    <row r="23" spans="2:41" ht="14.45" thickBot="1">
      <c r="B23" s="89"/>
      <c r="C23" s="89"/>
      <c r="D23" s="17" t="s">
        <v>116</v>
      </c>
      <c r="E23" s="10">
        <f>'INTRODUCIR DATOS'!$E$33</f>
        <v>0</v>
      </c>
      <c r="F23" s="338">
        <f>E23*E12</f>
        <v>0</v>
      </c>
      <c r="G23" s="18" t="s">
        <v>63</v>
      </c>
      <c r="H23" s="10">
        <f>'INTRODUCIR DATOS'!$E$36</f>
        <v>0</v>
      </c>
      <c r="I23" s="338">
        <f>H23*H12</f>
        <v>0</v>
      </c>
      <c r="J23" s="159"/>
      <c r="K23" s="160"/>
      <c r="M23" s="631"/>
      <c r="N23" s="181" t="s">
        <v>116</v>
      </c>
      <c r="O23" s="188"/>
      <c r="P23" s="200"/>
      <c r="Q23" s="200"/>
      <c r="R23" s="163">
        <f>AE65</f>
        <v>113.12150000000001</v>
      </c>
      <c r="S23" s="205"/>
      <c r="T23" s="205"/>
      <c r="U23" s="166">
        <f>AK65</f>
        <v>113.12150000000001</v>
      </c>
      <c r="W23" s="213"/>
      <c r="X23" s="218"/>
      <c r="Y23" s="165"/>
      <c r="Z23" s="165"/>
      <c r="AA23" s="163"/>
      <c r="AB23" s="163"/>
      <c r="AC23" s="205"/>
      <c r="AD23" s="218"/>
      <c r="AE23" s="165"/>
      <c r="AF23" s="165"/>
      <c r="AG23" s="163"/>
      <c r="AH23" s="163"/>
      <c r="AI23" s="166"/>
      <c r="AJ23" s="173"/>
      <c r="AK23" s="165"/>
      <c r="AL23" s="165"/>
      <c r="AM23" s="163"/>
      <c r="AN23" s="163"/>
      <c r="AO23" s="166"/>
    </row>
    <row r="24" spans="2:41">
      <c r="B24" s="89"/>
      <c r="C24" s="89"/>
      <c r="D24" s="17" t="s">
        <v>60</v>
      </c>
      <c r="E24" s="10">
        <f>'INTRODUCIR DATOS'!$E$34</f>
        <v>0</v>
      </c>
      <c r="F24" s="338">
        <f>E24*F12</f>
        <v>0</v>
      </c>
      <c r="G24" s="18" t="s">
        <v>65</v>
      </c>
      <c r="H24" s="10">
        <f>'INTRODUCIR DATOS'!$E$37</f>
        <v>0</v>
      </c>
      <c r="I24" s="338">
        <f>H24*I12</f>
        <v>0</v>
      </c>
      <c r="J24" s="159"/>
      <c r="K24" s="159"/>
      <c r="M24" s="631"/>
      <c r="N24" s="181" t="s">
        <v>60</v>
      </c>
      <c r="O24" s="188"/>
      <c r="P24" s="200"/>
      <c r="Q24" s="200"/>
      <c r="R24" s="163">
        <f>AE68</f>
        <v>113.12150000000001</v>
      </c>
      <c r="S24" s="205"/>
      <c r="T24" s="205"/>
      <c r="U24" s="166">
        <f>AK68</f>
        <v>113.12150000000001</v>
      </c>
      <c r="W24" s="214" t="s">
        <v>198</v>
      </c>
      <c r="X24" s="217"/>
      <c r="Y24" s="163"/>
      <c r="Z24" s="163"/>
      <c r="AA24" s="163"/>
      <c r="AB24" s="163"/>
      <c r="AC24" s="205"/>
      <c r="AD24" s="217"/>
      <c r="AE24" s="163"/>
      <c r="AF24" s="163"/>
      <c r="AG24" s="163"/>
      <c r="AH24" s="163"/>
      <c r="AI24" s="166"/>
      <c r="AJ24" s="172"/>
      <c r="AK24" s="163"/>
      <c r="AL24" s="163"/>
      <c r="AM24" s="163"/>
      <c r="AN24" s="163"/>
      <c r="AO24" s="166"/>
    </row>
    <row r="25" spans="2:41">
      <c r="B25" s="89" t="s">
        <v>123</v>
      </c>
      <c r="C25" s="92"/>
      <c r="D25" s="337"/>
      <c r="E25" s="337"/>
      <c r="F25" s="337"/>
      <c r="G25" s="89"/>
      <c r="H25" s="92"/>
      <c r="I25" s="337"/>
      <c r="J25" s="337"/>
      <c r="K25" s="11"/>
      <c r="M25" s="631"/>
      <c r="N25" s="181" t="s">
        <v>62</v>
      </c>
      <c r="O25" s="188"/>
      <c r="P25" s="200"/>
      <c r="Q25" s="200"/>
      <c r="R25" s="163">
        <f>AE71</f>
        <v>113.12150000000001</v>
      </c>
      <c r="S25" s="205"/>
      <c r="T25" s="205"/>
      <c r="U25" s="166">
        <f>AK71</f>
        <v>113.12150000000001</v>
      </c>
      <c r="W25" s="212" t="s">
        <v>199</v>
      </c>
      <c r="X25" s="217"/>
      <c r="Y25" s="163"/>
      <c r="Z25" s="163"/>
      <c r="AA25" s="163"/>
      <c r="AB25" s="163"/>
      <c r="AC25" s="205"/>
      <c r="AD25" s="217"/>
      <c r="AE25" s="163"/>
      <c r="AF25" s="163"/>
      <c r="AG25" s="163"/>
      <c r="AH25" s="163"/>
      <c r="AI25" s="166"/>
      <c r="AJ25" s="172"/>
      <c r="AK25" s="163"/>
      <c r="AL25" s="163"/>
      <c r="AM25" s="163"/>
      <c r="AN25" s="163"/>
      <c r="AO25" s="166"/>
    </row>
    <row r="26" spans="2:41" ht="14.45" thickBot="1">
      <c r="B26" s="89" t="s">
        <v>124</v>
      </c>
      <c r="C26" s="92"/>
      <c r="D26" s="92"/>
      <c r="E26" s="92"/>
      <c r="F26" s="92"/>
      <c r="G26" s="92"/>
      <c r="H26" s="92"/>
      <c r="I26" s="92"/>
      <c r="J26" s="92"/>
      <c r="K26" s="12"/>
      <c r="M26" s="631"/>
      <c r="N26" s="181" t="s">
        <v>63</v>
      </c>
      <c r="O26" s="188"/>
      <c r="P26" s="200"/>
      <c r="Q26" s="200"/>
      <c r="R26" s="186"/>
      <c r="S26" s="206"/>
      <c r="T26" s="206"/>
      <c r="U26" s="189"/>
      <c r="W26" s="215"/>
      <c r="X26" s="218"/>
      <c r="Y26" s="165"/>
      <c r="Z26" s="165"/>
      <c r="AA26" s="163"/>
      <c r="AB26" s="163"/>
      <c r="AC26" s="205"/>
      <c r="AD26" s="218"/>
      <c r="AE26" s="165"/>
      <c r="AF26" s="165"/>
      <c r="AG26" s="163"/>
      <c r="AH26" s="163"/>
      <c r="AI26" s="166"/>
      <c r="AJ26" s="173"/>
      <c r="AK26" s="165"/>
      <c r="AL26" s="165"/>
      <c r="AM26" s="163"/>
      <c r="AN26" s="163"/>
      <c r="AO26" s="166"/>
    </row>
    <row r="27" spans="2:41" ht="15" customHeight="1">
      <c r="B27" s="89" t="s">
        <v>125</v>
      </c>
      <c r="C27" s="89"/>
      <c r="D27" s="89"/>
      <c r="E27" s="552" t="s">
        <v>202</v>
      </c>
      <c r="F27" s="552"/>
      <c r="G27" s="552"/>
      <c r="H27" s="9">
        <f>K21+K16+K25</f>
        <v>0</v>
      </c>
      <c r="I27" s="553" t="s">
        <v>121</v>
      </c>
      <c r="J27" s="553"/>
      <c r="K27" s="338">
        <f>H27*'INTRODUCIR DATOS'!$D$17</f>
        <v>0</v>
      </c>
      <c r="M27" s="631"/>
      <c r="N27" s="181" t="s">
        <v>65</v>
      </c>
      <c r="O27" s="188"/>
      <c r="P27" s="200"/>
      <c r="Q27" s="200"/>
      <c r="R27" s="186"/>
      <c r="S27" s="206"/>
      <c r="T27" s="206"/>
      <c r="U27" s="189"/>
      <c r="W27" s="211" t="s">
        <v>198</v>
      </c>
      <c r="X27" s="217"/>
      <c r="Y27" s="163"/>
      <c r="Z27" s="163"/>
      <c r="AA27" s="163"/>
      <c r="AB27" s="163"/>
      <c r="AC27" s="205"/>
      <c r="AD27" s="217"/>
      <c r="AE27" s="163"/>
      <c r="AF27" s="163"/>
      <c r="AG27" s="163"/>
      <c r="AH27" s="163"/>
      <c r="AI27" s="166"/>
      <c r="AJ27" s="172"/>
      <c r="AK27" s="163"/>
      <c r="AL27" s="163"/>
      <c r="AM27" s="163"/>
      <c r="AN27" s="163"/>
      <c r="AO27" s="166"/>
    </row>
    <row r="28" spans="2:41">
      <c r="B28" s="89" t="s">
        <v>130</v>
      </c>
      <c r="C28" s="89"/>
      <c r="D28" s="89"/>
      <c r="E28" s="159"/>
      <c r="F28" s="159"/>
      <c r="G28" s="89"/>
      <c r="H28" s="9"/>
      <c r="I28" s="338"/>
      <c r="J28" s="338"/>
      <c r="K28" s="338">
        <f>'INTRODUCIR DATOS'!$D$15</f>
        <v>0</v>
      </c>
      <c r="M28" s="631"/>
      <c r="N28" s="181" t="s">
        <v>199</v>
      </c>
      <c r="O28" s="188"/>
      <c r="P28" s="200"/>
      <c r="Q28" s="200"/>
      <c r="R28" s="186"/>
      <c r="S28" s="206"/>
      <c r="T28" s="206"/>
      <c r="U28" s="189"/>
      <c r="W28" s="212" t="s">
        <v>200</v>
      </c>
      <c r="X28" s="217"/>
      <c r="Y28" s="163"/>
      <c r="Z28" s="163"/>
      <c r="AA28" s="163"/>
      <c r="AB28" s="163"/>
      <c r="AC28" s="205"/>
      <c r="AD28" s="217"/>
      <c r="AE28" s="163"/>
      <c r="AF28" s="163"/>
      <c r="AG28" s="163"/>
      <c r="AH28" s="163"/>
      <c r="AI28" s="166"/>
      <c r="AJ28" s="172"/>
      <c r="AK28" s="163"/>
      <c r="AL28" s="163"/>
      <c r="AM28" s="163"/>
      <c r="AN28" s="163"/>
      <c r="AO28" s="166"/>
    </row>
    <row r="29" spans="2:41" ht="14.45" thickBot="1">
      <c r="B29" s="89" t="s">
        <v>28</v>
      </c>
      <c r="C29" s="89"/>
      <c r="D29" s="89"/>
      <c r="E29" s="89"/>
      <c r="F29" s="89"/>
      <c r="G29" s="338"/>
      <c r="H29" s="13"/>
      <c r="I29" s="13"/>
      <c r="J29" s="159"/>
      <c r="K29" s="338">
        <f>'INTRODUCIR DATOS'!$D$16</f>
        <v>0.85</v>
      </c>
      <c r="M29" s="635"/>
      <c r="N29" s="193" t="s">
        <v>200</v>
      </c>
      <c r="O29" s="194"/>
      <c r="P29" s="201"/>
      <c r="Q29" s="201"/>
      <c r="R29" s="195"/>
      <c r="S29" s="207"/>
      <c r="T29" s="207"/>
      <c r="U29" s="196"/>
      <c r="W29" s="213"/>
      <c r="X29" s="218"/>
      <c r="Y29" s="165"/>
      <c r="Z29" s="165"/>
      <c r="AA29" s="163"/>
      <c r="AB29" s="163"/>
      <c r="AC29" s="205"/>
      <c r="AD29" s="218"/>
      <c r="AE29" s="165"/>
      <c r="AF29" s="165"/>
      <c r="AG29" s="163"/>
      <c r="AH29" s="163"/>
      <c r="AI29" s="166"/>
      <c r="AJ29" s="173"/>
      <c r="AK29" s="165"/>
      <c r="AL29" s="165"/>
      <c r="AM29" s="163"/>
      <c r="AN29" s="163"/>
      <c r="AO29" s="166"/>
    </row>
    <row r="30" spans="2:41" ht="15" customHeight="1">
      <c r="B30" s="89" t="s">
        <v>203</v>
      </c>
      <c r="C30" s="89"/>
      <c r="D30" s="89"/>
      <c r="E30" s="552" t="s">
        <v>204</v>
      </c>
      <c r="F30" s="552"/>
      <c r="G30" s="552"/>
      <c r="H30" s="9">
        <f>K16+K21+K27+K29</f>
        <v>0.85</v>
      </c>
      <c r="I30" s="13"/>
      <c r="J30" s="159"/>
      <c r="K30" s="338">
        <f>H30*21/100</f>
        <v>0.17849999999999999</v>
      </c>
      <c r="M30" s="636" t="s">
        <v>205</v>
      </c>
      <c r="N30" s="180" t="s">
        <v>41</v>
      </c>
      <c r="O30" s="187"/>
      <c r="P30" s="199"/>
      <c r="Q30" s="199"/>
      <c r="R30" s="177">
        <f>AE86</f>
        <v>113.12150000000001</v>
      </c>
      <c r="S30" s="204"/>
      <c r="T30" s="204"/>
      <c r="U30" s="178">
        <f>AK86</f>
        <v>113.12150000000001</v>
      </c>
      <c r="W30" s="214" t="s">
        <v>201</v>
      </c>
      <c r="X30" s="217"/>
      <c r="Y30" s="163"/>
      <c r="Z30" s="163"/>
      <c r="AA30" s="163"/>
      <c r="AB30" s="163"/>
      <c r="AC30" s="205"/>
      <c r="AD30" s="217">
        <f>'PRECIOS CYE'!N18</f>
        <v>0</v>
      </c>
      <c r="AE30" s="163">
        <f>'PRECIOS CYE'!O18</f>
        <v>0</v>
      </c>
      <c r="AF30" s="163">
        <f>'PRECIOS CYE'!P18</f>
        <v>0</v>
      </c>
      <c r="AG30" s="163">
        <f>'PRECIOS CYE'!Q18</f>
        <v>0</v>
      </c>
      <c r="AH30" s="163">
        <f>'PRECIOS CYE'!R18</f>
        <v>0</v>
      </c>
      <c r="AI30" s="166">
        <f>'PRECIOS CYE'!S18</f>
        <v>0</v>
      </c>
      <c r="AJ30" s="172">
        <f>'PRECIOS CYE'!T18</f>
        <v>0</v>
      </c>
      <c r="AK30" s="163">
        <f>'PRECIOS CYE'!U18</f>
        <v>0</v>
      </c>
      <c r="AL30" s="163">
        <f>'PRECIOS CYE'!V18</f>
        <v>0</v>
      </c>
      <c r="AM30" s="163">
        <f>'PRECIOS CYE'!W18</f>
        <v>0</v>
      </c>
      <c r="AN30" s="163">
        <f>'PRECIOS CYE'!X18</f>
        <v>0</v>
      </c>
      <c r="AO30" s="166">
        <f>'PRECIOS CYE'!Y18</f>
        <v>0</v>
      </c>
    </row>
    <row r="31" spans="2:41">
      <c r="B31" s="39" t="s">
        <v>127</v>
      </c>
      <c r="C31" s="39"/>
      <c r="D31" s="37"/>
      <c r="E31" s="37"/>
      <c r="F31" s="37"/>
      <c r="G31" s="38"/>
      <c r="H31" s="38"/>
      <c r="I31" s="37"/>
      <c r="J31" s="36"/>
      <c r="K31" s="35">
        <f>SUM(K16:K30)</f>
        <v>1.0285</v>
      </c>
      <c r="M31" s="631"/>
      <c r="N31" s="181" t="s">
        <v>115</v>
      </c>
      <c r="O31" s="188"/>
      <c r="P31" s="200"/>
      <c r="Q31" s="200"/>
      <c r="R31" s="163">
        <f>AE89</f>
        <v>113.12150000000001</v>
      </c>
      <c r="S31" s="205"/>
      <c r="T31" s="205"/>
      <c r="U31" s="166">
        <f>AK89</f>
        <v>113.12150000000001</v>
      </c>
      <c r="W31" s="212" t="s">
        <v>41</v>
      </c>
      <c r="X31" s="217"/>
      <c r="Y31" s="163"/>
      <c r="Z31" s="163"/>
      <c r="AA31" s="163"/>
      <c r="AB31" s="163"/>
      <c r="AC31" s="205"/>
      <c r="AD31" s="217">
        <f>'PRECIOS CYE'!N4</f>
        <v>0</v>
      </c>
      <c r="AE31" s="163">
        <f>'PRECIOS CYE'!O4</f>
        <v>0</v>
      </c>
      <c r="AF31" s="163">
        <f>'PRECIOS CYE'!P4</f>
        <v>0</v>
      </c>
      <c r="AG31" s="163">
        <f>'PRECIOS CYE'!Q4</f>
        <v>0</v>
      </c>
      <c r="AH31" s="163">
        <f>'PRECIOS CYE'!R4</f>
        <v>0</v>
      </c>
      <c r="AI31" s="166">
        <f>'PRECIOS CYE'!S4</f>
        <v>0</v>
      </c>
      <c r="AJ31" s="172">
        <f>'PRECIOS CYE'!T4</f>
        <v>0</v>
      </c>
      <c r="AK31" s="163">
        <f>'PRECIOS CYE'!U4</f>
        <v>0</v>
      </c>
      <c r="AL31" s="163">
        <f>'PRECIOS CYE'!V4</f>
        <v>0</v>
      </c>
      <c r="AM31" s="163">
        <f>'PRECIOS CYE'!W4</f>
        <v>0</v>
      </c>
      <c r="AN31" s="163">
        <f>'PRECIOS CYE'!X4</f>
        <v>0</v>
      </c>
      <c r="AO31" s="166">
        <f>'PRECIOS CYE'!Y4</f>
        <v>0</v>
      </c>
    </row>
    <row r="32" spans="2:41" ht="14.45" thickBot="1">
      <c r="B32" s="89" t="s">
        <v>128</v>
      </c>
      <c r="C32" s="89"/>
      <c r="D32" s="89"/>
      <c r="E32" s="89"/>
      <c r="F32" s="89"/>
      <c r="G32" s="338"/>
      <c r="H32" s="338"/>
      <c r="I32" s="89"/>
      <c r="J32" s="159"/>
      <c r="K32" s="338">
        <f>'INTRODUCIR DATOS'!$D$14</f>
        <v>114.15</v>
      </c>
      <c r="M32" s="631"/>
      <c r="N32" s="181" t="s">
        <v>116</v>
      </c>
      <c r="O32" s="188"/>
      <c r="P32" s="200"/>
      <c r="Q32" s="200"/>
      <c r="R32" s="163">
        <f>AE92</f>
        <v>113.12150000000001</v>
      </c>
      <c r="S32" s="205"/>
      <c r="T32" s="205"/>
      <c r="U32" s="166">
        <f>AK92</f>
        <v>113.12150000000001</v>
      </c>
      <c r="W32" s="215"/>
      <c r="X32" s="218"/>
      <c r="Y32" s="165"/>
      <c r="Z32" s="165"/>
      <c r="AA32" s="163"/>
      <c r="AB32" s="163"/>
      <c r="AC32" s="205"/>
      <c r="AD32" s="218">
        <f>('INTRODUCIR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DATOS'!$D$17)+'INTRODUCIR DATOS'!$D$15+'INTRODUCIR DATOS'!$D$16+(('INTRODUCIR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DATOS'!$D$17)+'INTRODUCIR DATOS'!$D$16)*21/100</f>
        <v>1.0285</v>
      </c>
      <c r="AE32" s="165">
        <f>IF(AD32=0,"",'INTRODUCIR DATOS'!$D$14-AD32)</f>
        <v>113.12150000000001</v>
      </c>
      <c r="AF32" s="165">
        <f>IF(AD32=0,"",('INTRODUCIR DATOS'!$D$14-AD32)/'INTRODUCIR DATOS'!$D$14)</f>
        <v>0.99098992553657472</v>
      </c>
      <c r="AG32" s="163"/>
      <c r="AH32" s="163"/>
      <c r="AI32" s="166"/>
      <c r="AJ32" s="218">
        <f>('INTRODUCIR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DATOS'!$D$17)+'INTRODUCIR DATOS'!$D$15+'INTRODUCIR DATOS'!$D$16+(('INTRODUCIR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DATOS'!$D$17)+'INTRODUCIR DATOS'!$D$16)*21/100</f>
        <v>1.0285</v>
      </c>
      <c r="AK32" s="165">
        <f>IF(AJ32=0,"",'INTRODUCIR DATOS'!$D$14-AJ32)</f>
        <v>113.12150000000001</v>
      </c>
      <c r="AL32" s="165">
        <f>IF(AJ32=0,"",('INTRODUCIR DATOS'!$D$14-AJ32)/'INTRODUCIR DATOS'!$D$14)</f>
        <v>0.99098992553657472</v>
      </c>
      <c r="AM32" s="163"/>
      <c r="AN32" s="163"/>
      <c r="AO32" s="166"/>
    </row>
    <row r="33" spans="2:41">
      <c r="B33" s="34" t="s">
        <v>129</v>
      </c>
      <c r="C33" s="33"/>
      <c r="D33" s="32"/>
      <c r="E33" s="32"/>
      <c r="F33" s="32"/>
      <c r="G33" s="32"/>
      <c r="H33" s="32"/>
      <c r="I33" s="32"/>
      <c r="J33" s="31">
        <f>IF(K31=0,"--",(K32-K31)/K32)</f>
        <v>0.99098992553657472</v>
      </c>
      <c r="K33" s="30" t="str">
        <f>IF(K16=0,"--",IF((K21=0),"--",K32-K31))</f>
        <v>--</v>
      </c>
      <c r="M33" s="631"/>
      <c r="N33" s="181" t="s">
        <v>60</v>
      </c>
      <c r="O33" s="188"/>
      <c r="P33" s="200"/>
      <c r="Q33" s="200"/>
      <c r="R33" s="163">
        <f>AE95</f>
        <v>113.12150000000001</v>
      </c>
      <c r="S33" s="205"/>
      <c r="T33" s="205"/>
      <c r="U33" s="166">
        <f>AK95</f>
        <v>113.12150000000001</v>
      </c>
      <c r="W33" s="211" t="s">
        <v>201</v>
      </c>
      <c r="X33" s="217"/>
      <c r="Y33" s="163"/>
      <c r="Z33" s="163"/>
      <c r="AA33" s="163"/>
      <c r="AB33" s="163"/>
      <c r="AC33" s="205"/>
      <c r="AD33" s="217">
        <f>'PRECIOS CYE'!N19</f>
        <v>0</v>
      </c>
      <c r="AE33" s="163">
        <f>'PRECIOS CYE'!O19</f>
        <v>0</v>
      </c>
      <c r="AF33" s="163">
        <f>'PRECIOS CYE'!P19</f>
        <v>0</v>
      </c>
      <c r="AG33" s="163">
        <f>'PRECIOS CYE'!Q19</f>
        <v>0</v>
      </c>
      <c r="AH33" s="163">
        <f>'PRECIOS CYE'!R19</f>
        <v>0</v>
      </c>
      <c r="AI33" s="166">
        <f>'PRECIOS CYE'!S19</f>
        <v>0</v>
      </c>
      <c r="AJ33" s="172">
        <f>'PRECIOS CYE'!T19</f>
        <v>0</v>
      </c>
      <c r="AK33" s="163">
        <f>'PRECIOS CYE'!U19</f>
        <v>0</v>
      </c>
      <c r="AL33" s="163">
        <f>'PRECIOS CYE'!V19</f>
        <v>0</v>
      </c>
      <c r="AM33" s="163">
        <f>'PRECIOS CYE'!W19</f>
        <v>0</v>
      </c>
      <c r="AN33" s="163">
        <f>'PRECIOS CYE'!X19</f>
        <v>0</v>
      </c>
      <c r="AO33" s="166">
        <f>'PRECIOS CYE'!Y19</f>
        <v>0</v>
      </c>
    </row>
    <row r="34" spans="2:41">
      <c r="M34" s="631"/>
      <c r="N34" s="181" t="s">
        <v>62</v>
      </c>
      <c r="O34" s="188"/>
      <c r="P34" s="200"/>
      <c r="Q34" s="200"/>
      <c r="R34" s="163">
        <f>AE98</f>
        <v>113.12150000000001</v>
      </c>
      <c r="S34" s="205"/>
      <c r="T34" s="205"/>
      <c r="U34" s="166">
        <f>AK98</f>
        <v>113.12150000000001</v>
      </c>
      <c r="W34" s="212" t="s">
        <v>115</v>
      </c>
      <c r="X34" s="217"/>
      <c r="Y34" s="163"/>
      <c r="Z34" s="163"/>
      <c r="AA34" s="163"/>
      <c r="AB34" s="163"/>
      <c r="AC34" s="205"/>
      <c r="AD34" s="217">
        <f>'PRECIOS CYE'!N4</f>
        <v>0</v>
      </c>
      <c r="AE34" s="163">
        <f>'PRECIOS CYE'!O4</f>
        <v>0</v>
      </c>
      <c r="AF34" s="163">
        <f>'PRECIOS CYE'!P4</f>
        <v>0</v>
      </c>
      <c r="AG34" s="163">
        <f>'PRECIOS CYE'!Q4</f>
        <v>0</v>
      </c>
      <c r="AH34" s="163">
        <f>'PRECIOS CYE'!R4</f>
        <v>0</v>
      </c>
      <c r="AI34" s="166">
        <f>'PRECIOS CYE'!S4</f>
        <v>0</v>
      </c>
      <c r="AJ34" s="172">
        <f>'PRECIOS CYE'!T4</f>
        <v>0</v>
      </c>
      <c r="AK34" s="163">
        <f>'PRECIOS CYE'!U4</f>
        <v>0</v>
      </c>
      <c r="AL34" s="163">
        <f>'PRECIOS CYE'!V4</f>
        <v>0</v>
      </c>
      <c r="AM34" s="163">
        <f>'PRECIOS CYE'!W4</f>
        <v>0</v>
      </c>
      <c r="AN34" s="163">
        <f>'PRECIOS CYE'!X4</f>
        <v>0</v>
      </c>
      <c r="AO34" s="166">
        <f>'PRECIOS CYE'!Y4</f>
        <v>0</v>
      </c>
    </row>
    <row r="35" spans="2:41" ht="14.45" thickBot="1">
      <c r="M35" s="631"/>
      <c r="N35" s="181" t="s">
        <v>63</v>
      </c>
      <c r="O35" s="188"/>
      <c r="P35" s="200"/>
      <c r="Q35" s="200"/>
      <c r="R35" s="186"/>
      <c r="S35" s="206"/>
      <c r="T35" s="206"/>
      <c r="U35" s="189"/>
      <c r="W35" s="213"/>
      <c r="X35" s="218"/>
      <c r="Y35" s="165"/>
      <c r="Z35" s="165"/>
      <c r="AA35" s="163"/>
      <c r="AB35" s="163"/>
      <c r="AC35" s="205"/>
      <c r="AD35" s="218">
        <f>('INTRODUCIR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DATOS'!$D$17)+'INTRODUCIR DATOS'!$D$15+'INTRODUCIR DATOS'!$D$16+(('INTRODUCIR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DATOS'!$D$17)+'INTRODUCIR DATOS'!$D$16)*21/100</f>
        <v>1.0285</v>
      </c>
      <c r="AE35" s="165">
        <f>IF(AD35=0,"",'INTRODUCIR DATOS'!$D$14-AD35)</f>
        <v>113.12150000000001</v>
      </c>
      <c r="AF35" s="165">
        <f>IF(AD35=0,"",('INTRODUCIR DATOS'!$D$14-AD35)/'INTRODUCIR DATOS'!$D$14)</f>
        <v>0.99098992553657472</v>
      </c>
      <c r="AG35" s="163"/>
      <c r="AH35" s="163"/>
      <c r="AI35" s="166"/>
      <c r="AJ35" s="218">
        <f>('INTRODUCIR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DATOS'!$D$17)+'INTRODUCIR DATOS'!$D$15+'INTRODUCIR DATOS'!$D$16+(('INTRODUCIR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DATOS'!$D$17)+'INTRODUCIR DATOS'!$D$16)*21/100</f>
        <v>1.0285</v>
      </c>
      <c r="AK35" s="165">
        <f>IF(AJ35=0,"",'INTRODUCIR DATOS'!$D$14-AJ35)</f>
        <v>113.12150000000001</v>
      </c>
      <c r="AL35" s="165">
        <f>IF(AJ35=0,"",('INTRODUCIR DATOS'!$D$14-AJ35)/'INTRODUCIR DATOS'!$D$14)</f>
        <v>0.99098992553657472</v>
      </c>
      <c r="AM35" s="163"/>
      <c r="AN35" s="163"/>
      <c r="AO35" s="166"/>
    </row>
    <row r="36" spans="2:41">
      <c r="B36" s="626" t="s">
        <v>206</v>
      </c>
      <c r="C36" s="627"/>
      <c r="D36" s="627"/>
      <c r="E36" s="627"/>
      <c r="F36" s="627"/>
      <c r="G36" s="627"/>
      <c r="H36" s="627"/>
      <c r="I36" s="627"/>
      <c r="J36" s="627"/>
      <c r="K36" s="628"/>
      <c r="M36" s="631"/>
      <c r="N36" s="181" t="s">
        <v>65</v>
      </c>
      <c r="O36" s="188"/>
      <c r="P36" s="200"/>
      <c r="Q36" s="200"/>
      <c r="R36" s="186"/>
      <c r="S36" s="206"/>
      <c r="T36" s="206"/>
      <c r="U36" s="189"/>
      <c r="W36" s="214" t="s">
        <v>201</v>
      </c>
      <c r="X36" s="217"/>
      <c r="Y36" s="163"/>
      <c r="Z36" s="163"/>
      <c r="AA36" s="163"/>
      <c r="AB36" s="163"/>
      <c r="AC36" s="205"/>
      <c r="AD36" s="217">
        <f>'PRECIOS CYE'!N20</f>
        <v>0</v>
      </c>
      <c r="AE36" s="163">
        <f>'PRECIOS CYE'!O20</f>
        <v>0</v>
      </c>
      <c r="AF36" s="163">
        <f>'PRECIOS CYE'!P20</f>
        <v>0</v>
      </c>
      <c r="AG36" s="163">
        <f>'PRECIOS CYE'!Q20</f>
        <v>0</v>
      </c>
      <c r="AH36" s="163">
        <f>'PRECIOS CYE'!R20</f>
        <v>0</v>
      </c>
      <c r="AI36" s="166">
        <f>'PRECIOS CYE'!S20</f>
        <v>0</v>
      </c>
      <c r="AJ36" s="172">
        <f>'PRECIOS CYE'!T20</f>
        <v>0</v>
      </c>
      <c r="AK36" s="163">
        <f>'PRECIOS CYE'!U20</f>
        <v>0</v>
      </c>
      <c r="AL36" s="163">
        <f>'PRECIOS CYE'!V20</f>
        <v>0</v>
      </c>
      <c r="AM36" s="163">
        <f>'PRECIOS CYE'!W20</f>
        <v>0</v>
      </c>
      <c r="AN36" s="163">
        <f>'PRECIOS CYE'!X20</f>
        <v>0</v>
      </c>
      <c r="AO36" s="166">
        <f>'PRECIOS CYE'!Y20</f>
        <v>0</v>
      </c>
    </row>
    <row r="37" spans="2:41">
      <c r="B37" s="562" t="s">
        <v>207</v>
      </c>
      <c r="C37" s="562"/>
      <c r="D37" s="562"/>
      <c r="E37" s="562"/>
      <c r="F37" s="562"/>
      <c r="G37" s="562"/>
      <c r="H37" s="562"/>
      <c r="I37" s="562"/>
      <c r="J37" s="562"/>
      <c r="K37" s="562"/>
      <c r="M37" s="631"/>
      <c r="N37" s="181" t="s">
        <v>199</v>
      </c>
      <c r="O37" s="188"/>
      <c r="P37" s="200"/>
      <c r="Q37" s="200"/>
      <c r="R37" s="186"/>
      <c r="S37" s="206"/>
      <c r="T37" s="206"/>
      <c r="U37" s="189"/>
      <c r="W37" s="212" t="s">
        <v>116</v>
      </c>
      <c r="X37" s="217"/>
      <c r="Y37" s="163"/>
      <c r="Z37" s="163"/>
      <c r="AA37" s="163"/>
      <c r="AB37" s="163"/>
      <c r="AC37" s="205"/>
      <c r="AD37" s="217">
        <f>'PRECIOS CYE'!N4</f>
        <v>0</v>
      </c>
      <c r="AE37" s="163">
        <f>'PRECIOS CYE'!O4</f>
        <v>0</v>
      </c>
      <c r="AF37" s="163">
        <f>'PRECIOS CYE'!P4</f>
        <v>0</v>
      </c>
      <c r="AG37" s="163">
        <f>'PRECIOS CYE'!Q4</f>
        <v>0</v>
      </c>
      <c r="AH37" s="163">
        <f>'PRECIOS CYE'!R4</f>
        <v>0</v>
      </c>
      <c r="AI37" s="166">
        <f>'PRECIOS CYE'!S4</f>
        <v>0</v>
      </c>
      <c r="AJ37" s="172">
        <f>'PRECIOS CYE'!T4</f>
        <v>0</v>
      </c>
      <c r="AK37" s="163">
        <f>'PRECIOS CYE'!U4</f>
        <v>0</v>
      </c>
      <c r="AL37" s="163">
        <f>'PRECIOS CYE'!V4</f>
        <v>0</v>
      </c>
      <c r="AM37" s="163">
        <f>'PRECIOS CYE'!W4</f>
        <v>0</v>
      </c>
      <c r="AN37" s="163">
        <f>'PRECIOS CYE'!X4</f>
        <v>0</v>
      </c>
      <c r="AO37" s="166">
        <f>'PRECIOS CYE'!Y4</f>
        <v>0</v>
      </c>
    </row>
    <row r="38" spans="2:41" ht="14.45" thickBot="1">
      <c r="M38" s="632"/>
      <c r="N38" s="182" t="s">
        <v>200</v>
      </c>
      <c r="O38" s="190"/>
      <c r="P38" s="202"/>
      <c r="Q38" s="202"/>
      <c r="R38" s="191"/>
      <c r="S38" s="208"/>
      <c r="T38" s="208"/>
      <c r="U38" s="192"/>
      <c r="W38" s="215"/>
      <c r="X38" s="218"/>
      <c r="Y38" s="165"/>
      <c r="Z38" s="165"/>
      <c r="AA38" s="163"/>
      <c r="AB38" s="163"/>
      <c r="AC38" s="205"/>
      <c r="AD38" s="218">
        <f>('INTRODUCIR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DATOS'!$D$17)+'INTRODUCIR DATOS'!$D$15+'INTRODUCIR DATOS'!$D$16+(('INTRODUCIR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DATOS'!$D$17)+'INTRODUCIR DATOS'!$D$16)*21/100</f>
        <v>1.0285</v>
      </c>
      <c r="AE38" s="165">
        <f>IF(AD38=0,"",'INTRODUCIR DATOS'!$D$14-AD38)</f>
        <v>113.12150000000001</v>
      </c>
      <c r="AF38" s="165">
        <f>IF(AD38=0,"",('INTRODUCIR DATOS'!$D$14-AD38)/'INTRODUCIR DATOS'!$D$14)</f>
        <v>0.99098992553657472</v>
      </c>
      <c r="AG38" s="163"/>
      <c r="AH38" s="163"/>
      <c r="AI38" s="166"/>
      <c r="AJ38" s="218">
        <f>('INTRODUCIR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DATOS'!$D$17)+'INTRODUCIR DATOS'!$D$15+'INTRODUCIR DATOS'!$D$16+(('INTRODUCIR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DATOS'!$D$17)+'INTRODUCIR DATOS'!$D$16)*21/100</f>
        <v>1.0285</v>
      </c>
      <c r="AK38" s="165">
        <f>IF(AJ38=0,"",'INTRODUCIR DATOS'!$D$14-AJ38)</f>
        <v>113.12150000000001</v>
      </c>
      <c r="AL38" s="165">
        <f>IF(AJ38=0,"",('INTRODUCIR DATOS'!$D$14-AJ38)/'INTRODUCIR DATOS'!$D$14)</f>
        <v>0.99098992553657472</v>
      </c>
      <c r="AM38" s="163"/>
      <c r="AN38" s="163"/>
      <c r="AO38" s="166"/>
    </row>
    <row r="39" spans="2:41">
      <c r="M39" s="630" t="s">
        <v>76</v>
      </c>
      <c r="N39" s="197" t="s">
        <v>41</v>
      </c>
      <c r="O39" s="198"/>
      <c r="P39" s="203"/>
      <c r="Q39" s="203"/>
      <c r="R39" s="174">
        <f>AE113</f>
        <v>113.12150000000001</v>
      </c>
      <c r="S39" s="209"/>
      <c r="T39" s="209"/>
      <c r="U39" s="175">
        <f>AK113</f>
        <v>113.12150000000001</v>
      </c>
      <c r="W39" s="211" t="s">
        <v>201</v>
      </c>
      <c r="X39" s="217"/>
      <c r="Y39" s="163"/>
      <c r="Z39" s="163"/>
      <c r="AA39" s="163"/>
      <c r="AB39" s="163"/>
      <c r="AC39" s="205"/>
      <c r="AD39" s="217">
        <f>'PRECIOS CYE'!N21</f>
        <v>0</v>
      </c>
      <c r="AE39" s="163">
        <f>'PRECIOS CYE'!O21</f>
        <v>0</v>
      </c>
      <c r="AF39" s="163">
        <f>'PRECIOS CYE'!P21</f>
        <v>0</v>
      </c>
      <c r="AG39" s="163">
        <f>'PRECIOS CYE'!Q21</f>
        <v>0</v>
      </c>
      <c r="AH39" s="163">
        <f>'PRECIOS CYE'!R21</f>
        <v>0</v>
      </c>
      <c r="AI39" s="166">
        <f>'PRECIOS CYE'!S21</f>
        <v>0</v>
      </c>
      <c r="AJ39" s="172">
        <f>'PRECIOS CYE'!T21</f>
        <v>0</v>
      </c>
      <c r="AK39" s="163">
        <f>'PRECIOS CYE'!U21</f>
        <v>0</v>
      </c>
      <c r="AL39" s="163">
        <f>'PRECIOS CYE'!V21</f>
        <v>0</v>
      </c>
      <c r="AM39" s="163">
        <f>'PRECIOS CYE'!W21</f>
        <v>0</v>
      </c>
      <c r="AN39" s="163">
        <f>'PRECIOS CYE'!X21</f>
        <v>0</v>
      </c>
      <c r="AO39" s="166">
        <f>'PRECIOS CYE'!Y21</f>
        <v>0</v>
      </c>
    </row>
    <row r="40" spans="2:41">
      <c r="M40" s="631"/>
      <c r="N40" s="181" t="s">
        <v>115</v>
      </c>
      <c r="O40" s="188"/>
      <c r="P40" s="200"/>
      <c r="Q40" s="200"/>
      <c r="R40" s="163">
        <f>AE116</f>
        <v>113.12150000000001</v>
      </c>
      <c r="S40" s="205"/>
      <c r="T40" s="205"/>
      <c r="U40" s="166">
        <f>AK116</f>
        <v>113.12150000000001</v>
      </c>
      <c r="W40" s="212" t="s">
        <v>60</v>
      </c>
      <c r="X40" s="217"/>
      <c r="Y40" s="163"/>
      <c r="Z40" s="163"/>
      <c r="AA40" s="163"/>
      <c r="AB40" s="163"/>
      <c r="AC40" s="205"/>
      <c r="AD40" s="217">
        <f>'PRECIOS CYE'!N4</f>
        <v>0</v>
      </c>
      <c r="AE40" s="163">
        <f>'PRECIOS CYE'!O4</f>
        <v>0</v>
      </c>
      <c r="AF40" s="163">
        <f>'PRECIOS CYE'!P4</f>
        <v>0</v>
      </c>
      <c r="AG40" s="163">
        <f>'PRECIOS CYE'!Q4</f>
        <v>0</v>
      </c>
      <c r="AH40" s="163">
        <f>'PRECIOS CYE'!R4</f>
        <v>0</v>
      </c>
      <c r="AI40" s="166">
        <f>'PRECIOS CYE'!S4</f>
        <v>0</v>
      </c>
      <c r="AJ40" s="172">
        <f>'PRECIOS CYE'!T4</f>
        <v>0</v>
      </c>
      <c r="AK40" s="163">
        <f>'PRECIOS CYE'!U4</f>
        <v>0</v>
      </c>
      <c r="AL40" s="163">
        <f>'PRECIOS CYE'!V4</f>
        <v>0</v>
      </c>
      <c r="AM40" s="163">
        <f>'PRECIOS CYE'!W4</f>
        <v>0</v>
      </c>
      <c r="AN40" s="163">
        <f>'PRECIOS CYE'!X4</f>
        <v>0</v>
      </c>
      <c r="AO40" s="166">
        <f>'PRECIOS CYE'!Y4</f>
        <v>0</v>
      </c>
    </row>
    <row r="41" spans="2:41">
      <c r="M41" s="631"/>
      <c r="N41" s="181" t="s">
        <v>116</v>
      </c>
      <c r="O41" s="188"/>
      <c r="P41" s="200"/>
      <c r="Q41" s="200"/>
      <c r="R41" s="163">
        <f>AE119</f>
        <v>113.12150000000001</v>
      </c>
      <c r="S41" s="205"/>
      <c r="T41" s="205"/>
      <c r="U41" s="166">
        <f>AK119</f>
        <v>113.12150000000001</v>
      </c>
      <c r="W41" s="212"/>
      <c r="X41" s="218"/>
      <c r="Y41" s="165"/>
      <c r="Z41" s="165"/>
      <c r="AA41" s="163"/>
      <c r="AB41" s="163"/>
      <c r="AC41" s="205"/>
      <c r="AD41" s="218">
        <f>('INTRODUCIR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DATOS'!$D$17)+'INTRODUCIR DATOS'!$D$15+'INTRODUCIR DATOS'!$D$16+(('INTRODUCIR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DATOS'!$D$17)+'INTRODUCIR DATOS'!$D$16)*21/100</f>
        <v>1.0285</v>
      </c>
      <c r="AE41" s="165">
        <f>IF(AD41=0,"",'INTRODUCIR DATOS'!$D$14-AD41)</f>
        <v>113.12150000000001</v>
      </c>
      <c r="AF41" s="165">
        <f>IF(AD41=0,"",('INTRODUCIR DATOS'!$D$14-AD41)/'INTRODUCIR DATOS'!$D$14)</f>
        <v>0.99098992553657472</v>
      </c>
      <c r="AG41" s="163"/>
      <c r="AH41" s="163"/>
      <c r="AI41" s="166"/>
      <c r="AJ41" s="218">
        <f>('INTRODUCIR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DATOS'!$D$17)+'INTRODUCIR DATOS'!$D$15+'INTRODUCIR DATOS'!$D$16+(('INTRODUCIR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DATOS'!$D$17)+'INTRODUCIR DATOS'!$D$16)*21/100</f>
        <v>1.0285</v>
      </c>
      <c r="AK41" s="165">
        <f>IF(AJ41=0,"",'INTRODUCIR DATOS'!$D$14-AJ41)</f>
        <v>113.12150000000001</v>
      </c>
      <c r="AL41" s="165">
        <f>IF(AJ41=0,"",('INTRODUCIR DATOS'!$D$14-AJ41)/'INTRODUCIR DATOS'!$D$14)</f>
        <v>0.99098992553657472</v>
      </c>
      <c r="AM41" s="163"/>
      <c r="AN41" s="163"/>
      <c r="AO41" s="166"/>
    </row>
    <row r="42" spans="2:41">
      <c r="M42" s="631"/>
      <c r="N42" s="181" t="s">
        <v>60</v>
      </c>
      <c r="O42" s="188"/>
      <c r="P42" s="200"/>
      <c r="Q42" s="200"/>
      <c r="R42" s="163">
        <f>AE122</f>
        <v>113.12150000000001</v>
      </c>
      <c r="S42" s="205"/>
      <c r="T42" s="205"/>
      <c r="U42" s="166">
        <f>AK122</f>
        <v>113.12150000000001</v>
      </c>
      <c r="W42" s="212" t="s">
        <v>201</v>
      </c>
      <c r="X42" s="217"/>
      <c r="Y42" s="163"/>
      <c r="Z42" s="163"/>
      <c r="AA42" s="163"/>
      <c r="AB42" s="163"/>
      <c r="AC42" s="205"/>
      <c r="AD42" s="217">
        <f>'PRECIOS CYE'!N22</f>
        <v>0</v>
      </c>
      <c r="AE42" s="163">
        <f>'PRECIOS CYE'!O22</f>
        <v>0</v>
      </c>
      <c r="AF42" s="163">
        <f>'PRECIOS CYE'!P22</f>
        <v>0</v>
      </c>
      <c r="AG42" s="163">
        <f>'PRECIOS CYE'!Q22</f>
        <v>0</v>
      </c>
      <c r="AH42" s="163">
        <f>'PRECIOS CYE'!R22</f>
        <v>0</v>
      </c>
      <c r="AI42" s="166">
        <f>'PRECIOS CYE'!S22</f>
        <v>0</v>
      </c>
      <c r="AJ42" s="172">
        <f>'PRECIOS CYE'!T22</f>
        <v>0</v>
      </c>
      <c r="AK42" s="163">
        <f>'PRECIOS CYE'!U22</f>
        <v>0</v>
      </c>
      <c r="AL42" s="163">
        <f>'PRECIOS CYE'!V22</f>
        <v>0</v>
      </c>
      <c r="AM42" s="163">
        <f>'PRECIOS CYE'!W22</f>
        <v>0</v>
      </c>
      <c r="AN42" s="163">
        <f>'PRECIOS CYE'!X22</f>
        <v>0</v>
      </c>
      <c r="AO42" s="166">
        <f>'PRECIOS CYE'!Y22</f>
        <v>0</v>
      </c>
    </row>
    <row r="43" spans="2:41">
      <c r="M43" s="631"/>
      <c r="N43" s="181" t="s">
        <v>62</v>
      </c>
      <c r="O43" s="188"/>
      <c r="P43" s="200"/>
      <c r="Q43" s="200"/>
      <c r="R43" s="163">
        <f>AE125</f>
        <v>113.12150000000001</v>
      </c>
      <c r="S43" s="205"/>
      <c r="T43" s="205"/>
      <c r="U43" s="166">
        <f>AK125</f>
        <v>113.12150000000001</v>
      </c>
      <c r="W43" s="212" t="s">
        <v>62</v>
      </c>
      <c r="X43" s="217"/>
      <c r="Y43" s="163"/>
      <c r="Z43" s="163"/>
      <c r="AA43" s="163"/>
      <c r="AB43" s="163"/>
      <c r="AC43" s="205"/>
      <c r="AD43" s="217">
        <f>'PRECIOS CYE'!N4</f>
        <v>0</v>
      </c>
      <c r="AE43" s="163">
        <f>'PRECIOS CYE'!O4</f>
        <v>0</v>
      </c>
      <c r="AF43" s="163">
        <f>'PRECIOS CYE'!P4</f>
        <v>0</v>
      </c>
      <c r="AG43" s="163">
        <f>'PRECIOS CYE'!Q4</f>
        <v>0</v>
      </c>
      <c r="AH43" s="163">
        <f>'PRECIOS CYE'!R4</f>
        <v>0</v>
      </c>
      <c r="AI43" s="166">
        <f>'PRECIOS CYE'!S4</f>
        <v>0</v>
      </c>
      <c r="AJ43" s="172">
        <f>'PRECIOS CYE'!T4</f>
        <v>0</v>
      </c>
      <c r="AK43" s="163">
        <f>'PRECIOS CYE'!U4</f>
        <v>0</v>
      </c>
      <c r="AL43" s="163">
        <f>'PRECIOS CYE'!V4</f>
        <v>0</v>
      </c>
      <c r="AM43" s="163">
        <f>'PRECIOS CYE'!W4</f>
        <v>0</v>
      </c>
      <c r="AN43" s="163">
        <f>'PRECIOS CYE'!X4</f>
        <v>0</v>
      </c>
      <c r="AO43" s="166">
        <f>'PRECIOS CYE'!Y4</f>
        <v>0</v>
      </c>
    </row>
    <row r="44" spans="2:41">
      <c r="M44" s="631"/>
      <c r="N44" s="181" t="s">
        <v>63</v>
      </c>
      <c r="O44" s="188"/>
      <c r="P44" s="200"/>
      <c r="Q44" s="200"/>
      <c r="R44" s="186"/>
      <c r="S44" s="206"/>
      <c r="T44" s="206"/>
      <c r="U44" s="189"/>
      <c r="W44" s="212"/>
      <c r="X44" s="218"/>
      <c r="Y44" s="165"/>
      <c r="Z44" s="165"/>
      <c r="AA44" s="163"/>
      <c r="AB44" s="163"/>
      <c r="AC44" s="205"/>
      <c r="AD44" s="218">
        <f>('INTRODUCIR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DATOS'!$D$17)+'INTRODUCIR DATOS'!$D$15+'INTRODUCIR DATOS'!$D$16+(('INTRODUCIR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DATOS'!$D$17)+'INTRODUCIR DATOS'!$D$16)*21/100</f>
        <v>1.0285</v>
      </c>
      <c r="AE44" s="165">
        <f>IF(AD44=0,"",'INTRODUCIR DATOS'!$D$14-AD44)</f>
        <v>113.12150000000001</v>
      </c>
      <c r="AF44" s="165">
        <f>IF(AD44=0,"",('INTRODUCIR DATOS'!$D$14-AD44)/'INTRODUCIR DATOS'!$D$14)</f>
        <v>0.99098992553657472</v>
      </c>
      <c r="AG44" s="163"/>
      <c r="AH44" s="163"/>
      <c r="AI44" s="166"/>
      <c r="AJ44" s="218">
        <f>('INTRODUCIR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DATOS'!$D$17)+'INTRODUCIR DATOS'!$D$15+'INTRODUCIR DATOS'!$D$16+(('INTRODUCIR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DATOS'!$D$17)+'INTRODUCIR DATOS'!$D$16)*21/100</f>
        <v>1.0285</v>
      </c>
      <c r="AK44" s="165">
        <f>IF(AJ44=0,"",'INTRODUCIR DATOS'!$D$14-AJ44)</f>
        <v>113.12150000000001</v>
      </c>
      <c r="AL44" s="165">
        <f>IF(AJ44=0,"",('INTRODUCIR DATOS'!$D$14-AJ44)/'INTRODUCIR DATOS'!$D$14)</f>
        <v>0.99098992553657472</v>
      </c>
      <c r="AM44" s="163"/>
      <c r="AN44" s="163"/>
      <c r="AO44" s="166"/>
    </row>
    <row r="45" spans="2:41">
      <c r="M45" s="631"/>
      <c r="N45" s="181" t="s">
        <v>65</v>
      </c>
      <c r="O45" s="188"/>
      <c r="P45" s="200"/>
      <c r="Q45" s="200"/>
      <c r="R45" s="186"/>
      <c r="S45" s="206"/>
      <c r="T45" s="206"/>
      <c r="U45" s="189"/>
      <c r="W45" s="212" t="s">
        <v>201</v>
      </c>
      <c r="X45" s="217"/>
      <c r="Y45" s="163"/>
      <c r="Z45" s="163"/>
      <c r="AA45" s="163"/>
      <c r="AB45" s="163"/>
      <c r="AC45" s="205"/>
      <c r="AD45" s="217"/>
      <c r="AE45" s="163"/>
      <c r="AF45" s="163"/>
      <c r="AG45" s="163"/>
      <c r="AH45" s="163"/>
      <c r="AI45" s="166"/>
      <c r="AJ45" s="172"/>
      <c r="AK45" s="163"/>
      <c r="AL45" s="163"/>
      <c r="AM45" s="163"/>
      <c r="AN45" s="163"/>
      <c r="AO45" s="166"/>
    </row>
    <row r="46" spans="2:41">
      <c r="M46" s="631"/>
      <c r="N46" s="181" t="s">
        <v>199</v>
      </c>
      <c r="O46" s="188"/>
      <c r="P46" s="200"/>
      <c r="Q46" s="200"/>
      <c r="R46" s="186"/>
      <c r="S46" s="206"/>
      <c r="T46" s="206"/>
      <c r="U46" s="189"/>
      <c r="W46" s="212" t="s">
        <v>63</v>
      </c>
      <c r="X46" s="217"/>
      <c r="Y46" s="163"/>
      <c r="Z46" s="163"/>
      <c r="AA46" s="163"/>
      <c r="AB46" s="163"/>
      <c r="AC46" s="205"/>
      <c r="AD46" s="217"/>
      <c r="AE46" s="163"/>
      <c r="AF46" s="163"/>
      <c r="AG46" s="163"/>
      <c r="AH46" s="163"/>
      <c r="AI46" s="166"/>
      <c r="AJ46" s="172"/>
      <c r="AK46" s="163"/>
      <c r="AL46" s="163"/>
      <c r="AM46" s="163"/>
      <c r="AN46" s="163"/>
      <c r="AO46" s="166"/>
    </row>
    <row r="47" spans="2:41" ht="14.45" thickBot="1">
      <c r="M47" s="635"/>
      <c r="N47" s="193" t="s">
        <v>200</v>
      </c>
      <c r="O47" s="194"/>
      <c r="P47" s="201"/>
      <c r="Q47" s="201"/>
      <c r="R47" s="195"/>
      <c r="S47" s="207"/>
      <c r="T47" s="207"/>
      <c r="U47" s="196"/>
      <c r="W47" s="212"/>
      <c r="X47" s="218"/>
      <c r="Y47" s="165"/>
      <c r="Z47" s="165"/>
      <c r="AA47" s="163"/>
      <c r="AB47" s="163"/>
      <c r="AC47" s="205"/>
      <c r="AD47" s="218"/>
      <c r="AE47" s="165"/>
      <c r="AF47" s="165"/>
      <c r="AG47" s="163"/>
      <c r="AH47" s="163"/>
      <c r="AI47" s="166"/>
      <c r="AJ47" s="173"/>
      <c r="AK47" s="165"/>
      <c r="AL47" s="165"/>
      <c r="AM47" s="163"/>
      <c r="AN47" s="163"/>
      <c r="AO47" s="166"/>
    </row>
    <row r="48" spans="2:41">
      <c r="M48" s="636" t="s">
        <v>79</v>
      </c>
      <c r="N48" s="180" t="s">
        <v>41</v>
      </c>
      <c r="O48" s="187">
        <f>Y140</f>
        <v>113.12150000000001</v>
      </c>
      <c r="P48" s="199"/>
      <c r="Q48" s="199"/>
      <c r="R48" s="177">
        <f>AE140</f>
        <v>113.12150000000001</v>
      </c>
      <c r="S48" s="204"/>
      <c r="T48" s="204"/>
      <c r="U48" s="178">
        <f>AK140</f>
        <v>113.12150000000001</v>
      </c>
      <c r="W48" s="212" t="s">
        <v>201</v>
      </c>
      <c r="X48" s="217"/>
      <c r="Y48" s="163"/>
      <c r="Z48" s="163"/>
      <c r="AA48" s="163"/>
      <c r="AB48" s="163"/>
      <c r="AC48" s="205"/>
      <c r="AD48" s="217"/>
      <c r="AE48" s="163"/>
      <c r="AF48" s="163"/>
      <c r="AG48" s="163"/>
      <c r="AH48" s="163"/>
      <c r="AI48" s="166"/>
      <c r="AJ48" s="172"/>
      <c r="AK48" s="163"/>
      <c r="AL48" s="163"/>
      <c r="AM48" s="163"/>
      <c r="AN48" s="163"/>
      <c r="AO48" s="166"/>
    </row>
    <row r="49" spans="13:41">
      <c r="M49" s="631"/>
      <c r="N49" s="181" t="s">
        <v>115</v>
      </c>
      <c r="O49" s="188">
        <f>Y143</f>
        <v>113.12150000000001</v>
      </c>
      <c r="P49" s="200"/>
      <c r="Q49" s="200"/>
      <c r="R49" s="163">
        <f>AE143</f>
        <v>113.12150000000001</v>
      </c>
      <c r="S49" s="205"/>
      <c r="T49" s="205"/>
      <c r="U49" s="166">
        <f>AK143</f>
        <v>113.12150000000001</v>
      </c>
      <c r="W49" s="212" t="s">
        <v>65</v>
      </c>
      <c r="X49" s="217"/>
      <c r="Y49" s="163"/>
      <c r="Z49" s="163"/>
      <c r="AA49" s="163"/>
      <c r="AB49" s="163"/>
      <c r="AC49" s="205"/>
      <c r="AD49" s="217"/>
      <c r="AE49" s="163"/>
      <c r="AF49" s="163"/>
      <c r="AG49" s="163"/>
      <c r="AH49" s="163"/>
      <c r="AI49" s="166"/>
      <c r="AJ49" s="172"/>
      <c r="AK49" s="163"/>
      <c r="AL49" s="163"/>
      <c r="AM49" s="163"/>
      <c r="AN49" s="163"/>
      <c r="AO49" s="166"/>
    </row>
    <row r="50" spans="13:41">
      <c r="M50" s="631"/>
      <c r="N50" s="181" t="s">
        <v>116</v>
      </c>
      <c r="O50" s="188">
        <f>Y146</f>
        <v>113.12150000000001</v>
      </c>
      <c r="P50" s="200"/>
      <c r="Q50" s="200"/>
      <c r="R50" s="163">
        <f>AE146</f>
        <v>113.12150000000001</v>
      </c>
      <c r="S50" s="205"/>
      <c r="T50" s="205"/>
      <c r="U50" s="166">
        <f>AK146</f>
        <v>113.12150000000001</v>
      </c>
      <c r="W50" s="212"/>
      <c r="X50" s="218"/>
      <c r="Y50" s="165"/>
      <c r="Z50" s="165"/>
      <c r="AA50" s="163"/>
      <c r="AB50" s="163"/>
      <c r="AC50" s="205"/>
      <c r="AD50" s="218"/>
      <c r="AE50" s="165"/>
      <c r="AF50" s="165"/>
      <c r="AG50" s="163"/>
      <c r="AH50" s="163"/>
      <c r="AI50" s="166"/>
      <c r="AJ50" s="173"/>
      <c r="AK50" s="165"/>
      <c r="AL50" s="165"/>
      <c r="AM50" s="163"/>
      <c r="AN50" s="163"/>
      <c r="AO50" s="166"/>
    </row>
    <row r="51" spans="13:41">
      <c r="M51" s="631"/>
      <c r="N51" s="181" t="s">
        <v>60</v>
      </c>
      <c r="O51" s="188">
        <f>Y149</f>
        <v>113.12150000000001</v>
      </c>
      <c r="P51" s="200"/>
      <c r="Q51" s="200"/>
      <c r="R51" s="163">
        <f>AE149</f>
        <v>113.12150000000001</v>
      </c>
      <c r="S51" s="205"/>
      <c r="T51" s="205"/>
      <c r="U51" s="166">
        <f>AK149</f>
        <v>113.12150000000001</v>
      </c>
      <c r="W51" s="212" t="s">
        <v>201</v>
      </c>
      <c r="X51" s="217"/>
      <c r="Y51" s="163"/>
      <c r="Z51" s="163"/>
      <c r="AA51" s="163"/>
      <c r="AB51" s="163"/>
      <c r="AC51" s="205"/>
      <c r="AD51" s="217"/>
      <c r="AE51" s="163"/>
      <c r="AF51" s="163"/>
      <c r="AG51" s="163"/>
      <c r="AH51" s="163"/>
      <c r="AI51" s="166"/>
      <c r="AJ51" s="172"/>
      <c r="AK51" s="163"/>
      <c r="AL51" s="163"/>
      <c r="AM51" s="163"/>
      <c r="AN51" s="163"/>
      <c r="AO51" s="166"/>
    </row>
    <row r="52" spans="13:41">
      <c r="M52" s="631"/>
      <c r="N52" s="181" t="s">
        <v>62</v>
      </c>
      <c r="O52" s="188">
        <f>Y152</f>
        <v>113.12150000000001</v>
      </c>
      <c r="P52" s="200"/>
      <c r="Q52" s="200"/>
      <c r="R52" s="163">
        <f>AE152</f>
        <v>113.12150000000001</v>
      </c>
      <c r="S52" s="205"/>
      <c r="T52" s="205"/>
      <c r="U52" s="166">
        <f>AK152</f>
        <v>113.12150000000001</v>
      </c>
      <c r="W52" s="212" t="s">
        <v>199</v>
      </c>
      <c r="X52" s="217"/>
      <c r="Y52" s="163"/>
      <c r="Z52" s="163"/>
      <c r="AA52" s="163"/>
      <c r="AB52" s="163"/>
      <c r="AC52" s="205"/>
      <c r="AD52" s="217"/>
      <c r="AE52" s="163"/>
      <c r="AF52" s="163"/>
      <c r="AG52" s="163"/>
      <c r="AH52" s="163"/>
      <c r="AI52" s="166"/>
      <c r="AJ52" s="172"/>
      <c r="AK52" s="163"/>
      <c r="AL52" s="163"/>
      <c r="AM52" s="163"/>
      <c r="AN52" s="163"/>
      <c r="AO52" s="166"/>
    </row>
    <row r="53" spans="13:41">
      <c r="M53" s="631"/>
      <c r="N53" s="181" t="s">
        <v>63</v>
      </c>
      <c r="O53" s="188">
        <f>Y155</f>
        <v>113.12150000000001</v>
      </c>
      <c r="P53" s="200"/>
      <c r="Q53" s="200"/>
      <c r="R53" s="186"/>
      <c r="S53" s="206"/>
      <c r="T53" s="206"/>
      <c r="U53" s="189"/>
      <c r="W53" s="212"/>
      <c r="X53" s="218"/>
      <c r="Y53" s="165"/>
      <c r="Z53" s="165"/>
      <c r="AA53" s="163"/>
      <c r="AB53" s="163"/>
      <c r="AC53" s="205"/>
      <c r="AD53" s="218"/>
      <c r="AE53" s="165"/>
      <c r="AF53" s="165"/>
      <c r="AG53" s="163"/>
      <c r="AH53" s="163"/>
      <c r="AI53" s="166"/>
      <c r="AJ53" s="173"/>
      <c r="AK53" s="165"/>
      <c r="AL53" s="165"/>
      <c r="AM53" s="163"/>
      <c r="AN53" s="163"/>
      <c r="AO53" s="166"/>
    </row>
    <row r="54" spans="13:41">
      <c r="M54" s="631"/>
      <c r="N54" s="181" t="s">
        <v>65</v>
      </c>
      <c r="O54" s="188">
        <f>Y158</f>
        <v>113.12150000000001</v>
      </c>
      <c r="P54" s="200"/>
      <c r="Q54" s="200"/>
      <c r="R54" s="186"/>
      <c r="S54" s="206"/>
      <c r="T54" s="206"/>
      <c r="U54" s="189"/>
      <c r="W54" s="212" t="s">
        <v>201</v>
      </c>
      <c r="X54" s="217"/>
      <c r="Y54" s="163"/>
      <c r="Z54" s="163"/>
      <c r="AA54" s="163"/>
      <c r="AB54" s="163"/>
      <c r="AC54" s="205"/>
      <c r="AD54" s="217"/>
      <c r="AE54" s="163"/>
      <c r="AF54" s="163"/>
      <c r="AG54" s="163"/>
      <c r="AH54" s="163"/>
      <c r="AI54" s="166"/>
      <c r="AJ54" s="172"/>
      <c r="AK54" s="163"/>
      <c r="AL54" s="163"/>
      <c r="AM54" s="163"/>
      <c r="AN54" s="163"/>
      <c r="AO54" s="166"/>
    </row>
    <row r="55" spans="13:41">
      <c r="M55" s="631"/>
      <c r="N55" s="181" t="s">
        <v>199</v>
      </c>
      <c r="O55" s="188">
        <f>Y161</f>
        <v>113.12150000000001</v>
      </c>
      <c r="P55" s="200"/>
      <c r="Q55" s="200"/>
      <c r="R55" s="186"/>
      <c r="S55" s="206"/>
      <c r="T55" s="206"/>
      <c r="U55" s="189"/>
      <c r="W55" s="212" t="s">
        <v>200</v>
      </c>
      <c r="X55" s="217"/>
      <c r="Y55" s="163"/>
      <c r="Z55" s="163"/>
      <c r="AA55" s="163"/>
      <c r="AB55" s="163"/>
      <c r="AC55" s="205"/>
      <c r="AD55" s="217"/>
      <c r="AE55" s="163"/>
      <c r="AF55" s="163"/>
      <c r="AG55" s="163"/>
      <c r="AH55" s="163"/>
      <c r="AI55" s="166"/>
      <c r="AJ55" s="172"/>
      <c r="AK55" s="163"/>
      <c r="AL55" s="163"/>
      <c r="AM55" s="163"/>
      <c r="AN55" s="163"/>
      <c r="AO55" s="166"/>
    </row>
    <row r="56" spans="13:41" ht="14.45" thickBot="1">
      <c r="M56" s="632"/>
      <c r="N56" s="182" t="s">
        <v>200</v>
      </c>
      <c r="O56" s="190">
        <f>Y164</f>
        <v>113.12150000000001</v>
      </c>
      <c r="P56" s="202"/>
      <c r="Q56" s="202"/>
      <c r="R56" s="191"/>
      <c r="S56" s="208"/>
      <c r="T56" s="208"/>
      <c r="U56" s="192"/>
      <c r="W56" s="212"/>
      <c r="X56" s="218"/>
      <c r="Y56" s="165"/>
      <c r="Z56" s="165"/>
      <c r="AA56" s="163"/>
      <c r="AB56" s="163"/>
      <c r="AC56" s="205"/>
      <c r="AD56" s="218"/>
      <c r="AE56" s="165"/>
      <c r="AF56" s="165"/>
      <c r="AG56" s="163"/>
      <c r="AH56" s="163"/>
      <c r="AI56" s="166"/>
      <c r="AJ56" s="173"/>
      <c r="AK56" s="165"/>
      <c r="AL56" s="165"/>
      <c r="AM56" s="163"/>
      <c r="AN56" s="163"/>
      <c r="AO56" s="166"/>
    </row>
    <row r="57" spans="13:41">
      <c r="M57" s="630" t="s">
        <v>37</v>
      </c>
      <c r="N57" s="197" t="s">
        <v>41</v>
      </c>
      <c r="O57" s="198">
        <f>Y167</f>
        <v>113.12150000000001</v>
      </c>
      <c r="P57" s="203"/>
      <c r="Q57" s="203"/>
      <c r="R57" s="174">
        <f>AE167</f>
        <v>113.12150000000001</v>
      </c>
      <c r="S57" s="209"/>
      <c r="T57" s="209"/>
      <c r="U57" s="175">
        <f>AK167</f>
        <v>113.12150000000001</v>
      </c>
      <c r="W57" s="212" t="s">
        <v>71</v>
      </c>
      <c r="X57" s="218"/>
      <c r="Y57" s="164"/>
      <c r="Z57" s="164"/>
      <c r="AA57" s="164"/>
      <c r="AB57" s="164"/>
      <c r="AC57" s="219"/>
      <c r="AD57" s="218">
        <f>'PRECIOS CYE'!N18</f>
        <v>0</v>
      </c>
      <c r="AE57" s="164">
        <f>'PRECIOS CYE'!O18</f>
        <v>0</v>
      </c>
      <c r="AF57" s="164">
        <f>'PRECIOS CYE'!P18</f>
        <v>0</v>
      </c>
      <c r="AG57" s="164">
        <f>'PRECIOS CYE'!Q18</f>
        <v>0</v>
      </c>
      <c r="AH57" s="164">
        <f>'PRECIOS CYE'!R18</f>
        <v>0</v>
      </c>
      <c r="AI57" s="167">
        <f>'PRECIOS CYE'!S18</f>
        <v>0</v>
      </c>
      <c r="AJ57" s="173">
        <f>'PRECIOS CYE'!T18</f>
        <v>0</v>
      </c>
      <c r="AK57" s="164">
        <f>'PRECIOS CYE'!U18</f>
        <v>0</v>
      </c>
      <c r="AL57" s="164">
        <f>'PRECIOS CYE'!V18</f>
        <v>0</v>
      </c>
      <c r="AM57" s="164">
        <f>'PRECIOS CYE'!W18</f>
        <v>0</v>
      </c>
      <c r="AN57" s="164">
        <f>'PRECIOS CYE'!X18</f>
        <v>0</v>
      </c>
      <c r="AO57" s="167">
        <f>'PRECIOS CYE'!Y18</f>
        <v>0</v>
      </c>
    </row>
    <row r="58" spans="13:41">
      <c r="M58" s="631"/>
      <c r="N58" s="181" t="s">
        <v>115</v>
      </c>
      <c r="O58" s="188">
        <f>Y170</f>
        <v>113.12150000000001</v>
      </c>
      <c r="P58" s="200"/>
      <c r="Q58" s="200"/>
      <c r="R58" s="163">
        <f>AE170</f>
        <v>113.12150000000001</v>
      </c>
      <c r="S58" s="205"/>
      <c r="T58" s="205"/>
      <c r="U58" s="166">
        <f>AK170</f>
        <v>113.12150000000001</v>
      </c>
      <c r="W58" s="212" t="s">
        <v>41</v>
      </c>
      <c r="X58" s="218"/>
      <c r="Y58" s="164"/>
      <c r="Z58" s="164"/>
      <c r="AA58" s="164"/>
      <c r="AB58" s="164"/>
      <c r="AC58" s="219"/>
      <c r="AD58" s="218">
        <f>'PRECIOS CYE'!N5</f>
        <v>0</v>
      </c>
      <c r="AE58" s="164">
        <f>'PRECIOS CYE'!O5</f>
        <v>0</v>
      </c>
      <c r="AF58" s="164">
        <f>'PRECIOS CYE'!P5</f>
        <v>0</v>
      </c>
      <c r="AG58" s="164">
        <f>'PRECIOS CYE'!Q5</f>
        <v>0</v>
      </c>
      <c r="AH58" s="164">
        <f>'PRECIOS CYE'!R5</f>
        <v>0</v>
      </c>
      <c r="AI58" s="167">
        <f>'PRECIOS CYE'!S5</f>
        <v>0</v>
      </c>
      <c r="AJ58" s="173">
        <f>'PRECIOS CYE'!T5</f>
        <v>0</v>
      </c>
      <c r="AK58" s="164">
        <f>'PRECIOS CYE'!U5</f>
        <v>0</v>
      </c>
      <c r="AL58" s="164">
        <f>'PRECIOS CYE'!V5</f>
        <v>0</v>
      </c>
      <c r="AM58" s="164">
        <f>'PRECIOS CYE'!W5</f>
        <v>0</v>
      </c>
      <c r="AN58" s="164">
        <f>'PRECIOS CYE'!X5</f>
        <v>0</v>
      </c>
      <c r="AO58" s="167">
        <f>'PRECIOS CYE'!Y5</f>
        <v>0</v>
      </c>
    </row>
    <row r="59" spans="13:41">
      <c r="M59" s="631"/>
      <c r="N59" s="181" t="s">
        <v>116</v>
      </c>
      <c r="O59" s="188">
        <f>Y173</f>
        <v>113.12150000000001</v>
      </c>
      <c r="P59" s="200"/>
      <c r="Q59" s="200"/>
      <c r="R59" s="163">
        <f>AE173</f>
        <v>113.12150000000001</v>
      </c>
      <c r="S59" s="205"/>
      <c r="T59" s="205"/>
      <c r="U59" s="166">
        <f>AK173</f>
        <v>113.12150000000001</v>
      </c>
      <c r="W59" s="212"/>
      <c r="X59" s="218"/>
      <c r="Y59" s="165"/>
      <c r="Z59" s="165"/>
      <c r="AA59" s="163"/>
      <c r="AB59" s="163"/>
      <c r="AC59" s="205"/>
      <c r="AD59" s="218">
        <f>('INTRODUCIR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DATOS'!$D$17)+'INTRODUCIR DATOS'!$D$15+'INTRODUCIR DATOS'!$D$16+(('INTRODUCIR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DATOS'!$D$17)+'INTRODUCIR DATOS'!$D$16)*21/100</f>
        <v>1.0285</v>
      </c>
      <c r="AE59" s="165">
        <f>IF(AD59=0,"",'INTRODUCIR DATOS'!$D$14-AD59)</f>
        <v>113.12150000000001</v>
      </c>
      <c r="AF59" s="165">
        <f>IF(AD59=0,"",('INTRODUCIR DATOS'!$D$14-AD59)/'INTRODUCIR DATOS'!$D$14)</f>
        <v>0.99098992553657472</v>
      </c>
      <c r="AG59" s="163"/>
      <c r="AH59" s="163"/>
      <c r="AI59" s="166"/>
      <c r="AJ59" s="218">
        <f>('INTRODUCIR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DATOS'!$D$17)+'INTRODUCIR DATOS'!$D$15+'INTRODUCIR DATOS'!$D$16+(('INTRODUCIR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DATOS'!$D$17)+'INTRODUCIR DATOS'!$D$16)*21/100</f>
        <v>1.0285</v>
      </c>
      <c r="AK59" s="165">
        <f>IF(AJ59=0,"",'INTRODUCIR DATOS'!$D$14-AJ59)</f>
        <v>113.12150000000001</v>
      </c>
      <c r="AL59" s="165">
        <f>IF(AJ59=0,"",('INTRODUCIR DATOS'!$D$14-AJ59)/'INTRODUCIR DATOS'!$D$14)</f>
        <v>0.99098992553657472</v>
      </c>
      <c r="AM59" s="163"/>
      <c r="AN59" s="163"/>
      <c r="AO59" s="166"/>
    </row>
    <row r="60" spans="13:41">
      <c r="M60" s="631"/>
      <c r="N60" s="181" t="s">
        <v>60</v>
      </c>
      <c r="O60" s="188">
        <f>Y176</f>
        <v>113.12150000000001</v>
      </c>
      <c r="P60" s="200"/>
      <c r="Q60" s="200"/>
      <c r="R60" s="163">
        <f>AE176</f>
        <v>113.12150000000001</v>
      </c>
      <c r="S60" s="205"/>
      <c r="T60" s="205"/>
      <c r="U60" s="166">
        <f>AK176</f>
        <v>113.12150000000001</v>
      </c>
      <c r="W60" s="212" t="s">
        <v>71</v>
      </c>
      <c r="X60" s="217"/>
      <c r="Y60" s="163"/>
      <c r="Z60" s="163"/>
      <c r="AA60" s="163"/>
      <c r="AB60" s="163"/>
      <c r="AC60" s="205"/>
      <c r="AD60" s="217">
        <f>'PRECIOS CYE'!N19</f>
        <v>0</v>
      </c>
      <c r="AE60" s="163">
        <f>'PRECIOS CYE'!O19</f>
        <v>0</v>
      </c>
      <c r="AF60" s="163">
        <f>'PRECIOS CYE'!P19</f>
        <v>0</v>
      </c>
      <c r="AG60" s="163">
        <f>'PRECIOS CYE'!Q19</f>
        <v>0</v>
      </c>
      <c r="AH60" s="163">
        <f>'PRECIOS CYE'!R19</f>
        <v>0</v>
      </c>
      <c r="AI60" s="166">
        <f>'PRECIOS CYE'!S19</f>
        <v>0</v>
      </c>
      <c r="AJ60" s="172">
        <f>'PRECIOS CYE'!T19</f>
        <v>0</v>
      </c>
      <c r="AK60" s="163">
        <f>'PRECIOS CYE'!U19</f>
        <v>0</v>
      </c>
      <c r="AL60" s="163">
        <f>'PRECIOS CYE'!V19</f>
        <v>0</v>
      </c>
      <c r="AM60" s="163">
        <f>'PRECIOS CYE'!W19</f>
        <v>0</v>
      </c>
      <c r="AN60" s="163">
        <f>'PRECIOS CYE'!X19</f>
        <v>0</v>
      </c>
      <c r="AO60" s="166">
        <f>'PRECIOS CYE'!Y19</f>
        <v>0</v>
      </c>
    </row>
    <row r="61" spans="13:41">
      <c r="M61" s="631"/>
      <c r="N61" s="181" t="s">
        <v>62</v>
      </c>
      <c r="O61" s="188">
        <f>Y179</f>
        <v>113.12150000000001</v>
      </c>
      <c r="P61" s="200"/>
      <c r="Q61" s="200"/>
      <c r="R61" s="163">
        <f>AE179</f>
        <v>113.12150000000001</v>
      </c>
      <c r="S61" s="205"/>
      <c r="T61" s="205"/>
      <c r="U61" s="166">
        <f>AK179</f>
        <v>113.12150000000001</v>
      </c>
      <c r="W61" s="212" t="s">
        <v>115</v>
      </c>
      <c r="X61" s="217"/>
      <c r="Y61" s="163"/>
      <c r="Z61" s="163"/>
      <c r="AA61" s="163"/>
      <c r="AB61" s="163"/>
      <c r="AC61" s="205"/>
      <c r="AD61" s="217">
        <f>'PRECIOS CYE'!N5</f>
        <v>0</v>
      </c>
      <c r="AE61" s="163">
        <f>'PRECIOS CYE'!O5</f>
        <v>0</v>
      </c>
      <c r="AF61" s="163">
        <f>'PRECIOS CYE'!P5</f>
        <v>0</v>
      </c>
      <c r="AG61" s="163">
        <f>'PRECIOS CYE'!Q5</f>
        <v>0</v>
      </c>
      <c r="AH61" s="163">
        <f>'PRECIOS CYE'!R5</f>
        <v>0</v>
      </c>
      <c r="AI61" s="166">
        <f>'PRECIOS CYE'!S5</f>
        <v>0</v>
      </c>
      <c r="AJ61" s="172">
        <f>'PRECIOS CYE'!T5</f>
        <v>0</v>
      </c>
      <c r="AK61" s="163">
        <f>'PRECIOS CYE'!U5</f>
        <v>0</v>
      </c>
      <c r="AL61" s="163">
        <f>'PRECIOS CYE'!V5</f>
        <v>0</v>
      </c>
      <c r="AM61" s="163">
        <f>'PRECIOS CYE'!W5</f>
        <v>0</v>
      </c>
      <c r="AN61" s="163">
        <f>'PRECIOS CYE'!X5</f>
        <v>0</v>
      </c>
      <c r="AO61" s="166">
        <f>'PRECIOS CYE'!Y5</f>
        <v>0</v>
      </c>
    </row>
    <row r="62" spans="13:41">
      <c r="M62" s="631"/>
      <c r="N62" s="181" t="s">
        <v>63</v>
      </c>
      <c r="O62" s="188">
        <f>Y182</f>
        <v>113.12150000000001</v>
      </c>
      <c r="P62" s="200"/>
      <c r="Q62" s="200"/>
      <c r="R62" s="186"/>
      <c r="S62" s="206"/>
      <c r="T62" s="206"/>
      <c r="U62" s="189"/>
      <c r="W62" s="212"/>
      <c r="X62" s="218"/>
      <c r="Y62" s="165"/>
      <c r="Z62" s="165"/>
      <c r="AA62" s="163"/>
      <c r="AB62" s="163"/>
      <c r="AC62" s="205"/>
      <c r="AD62" s="218">
        <f>('INTRODUCIR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DATOS'!$D$17)+'INTRODUCIR DATOS'!$D$15+'INTRODUCIR DATOS'!$D$16+(('INTRODUCIR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DATOS'!$D$17)+'INTRODUCIR DATOS'!$D$16)*21/100</f>
        <v>1.0285</v>
      </c>
      <c r="AE62" s="165">
        <f>IF(AD62=0,"",'INTRODUCIR DATOS'!$D$14-AD62)</f>
        <v>113.12150000000001</v>
      </c>
      <c r="AF62" s="165">
        <f>IF(AD62=0,"",('INTRODUCIR DATOS'!$D$14-AD62)/'INTRODUCIR DATOS'!$D$14)</f>
        <v>0.99098992553657472</v>
      </c>
      <c r="AG62" s="163"/>
      <c r="AH62" s="163"/>
      <c r="AI62" s="166"/>
      <c r="AJ62" s="218">
        <f>('INTRODUCIR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DATOS'!$D$17)+'INTRODUCIR DATOS'!$D$15+'INTRODUCIR DATOS'!$D$16+(('INTRODUCIR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DATOS'!$D$17)+'INTRODUCIR DATOS'!$D$16)*21/100</f>
        <v>1.0285</v>
      </c>
      <c r="AK62" s="165">
        <f>IF(AJ62=0,"",'INTRODUCIR DATOS'!$D$14-AJ62)</f>
        <v>113.12150000000001</v>
      </c>
      <c r="AL62" s="165">
        <f>IF(AJ62=0,"",('INTRODUCIR DATOS'!$D$14-AJ62)/'INTRODUCIR DATOS'!$D$14)</f>
        <v>0.99098992553657472</v>
      </c>
      <c r="AM62" s="163"/>
      <c r="AN62" s="163"/>
      <c r="AO62" s="166"/>
    </row>
    <row r="63" spans="13:41">
      <c r="M63" s="631"/>
      <c r="N63" s="181" t="s">
        <v>65</v>
      </c>
      <c r="O63" s="188">
        <f>Y185</f>
        <v>113.12150000000001</v>
      </c>
      <c r="P63" s="200"/>
      <c r="Q63" s="200"/>
      <c r="R63" s="186"/>
      <c r="S63" s="206"/>
      <c r="T63" s="206"/>
      <c r="U63" s="189"/>
      <c r="W63" s="212" t="s">
        <v>71</v>
      </c>
      <c r="X63" s="217"/>
      <c r="Y63" s="163"/>
      <c r="Z63" s="163"/>
      <c r="AA63" s="163"/>
      <c r="AB63" s="163"/>
      <c r="AC63" s="205"/>
      <c r="AD63" s="217">
        <f>'PRECIOS CYE'!N20</f>
        <v>0</v>
      </c>
      <c r="AE63" s="163">
        <f>'PRECIOS CYE'!O20</f>
        <v>0</v>
      </c>
      <c r="AF63" s="163">
        <f>'PRECIOS CYE'!P20</f>
        <v>0</v>
      </c>
      <c r="AG63" s="163">
        <f>'PRECIOS CYE'!Q20</f>
        <v>0</v>
      </c>
      <c r="AH63" s="163">
        <f>'PRECIOS CYE'!R20</f>
        <v>0</v>
      </c>
      <c r="AI63" s="166">
        <f>'PRECIOS CYE'!S20</f>
        <v>0</v>
      </c>
      <c r="AJ63" s="172">
        <f>'PRECIOS CYE'!T20</f>
        <v>0</v>
      </c>
      <c r="AK63" s="163">
        <f>'PRECIOS CYE'!U20</f>
        <v>0</v>
      </c>
      <c r="AL63" s="163">
        <f>'PRECIOS CYE'!V20</f>
        <v>0</v>
      </c>
      <c r="AM63" s="163">
        <f>'PRECIOS CYE'!W20</f>
        <v>0</v>
      </c>
      <c r="AN63" s="163">
        <f>'PRECIOS CYE'!X20</f>
        <v>0</v>
      </c>
      <c r="AO63" s="166">
        <f>'PRECIOS CYE'!Y20</f>
        <v>0</v>
      </c>
    </row>
    <row r="64" spans="13:41">
      <c r="M64" s="631"/>
      <c r="N64" s="181" t="s">
        <v>199</v>
      </c>
      <c r="O64" s="188">
        <f>Y188</f>
        <v>113.12150000000001</v>
      </c>
      <c r="P64" s="200"/>
      <c r="Q64" s="200"/>
      <c r="R64" s="186"/>
      <c r="S64" s="206"/>
      <c r="T64" s="206"/>
      <c r="U64" s="189"/>
      <c r="W64" s="212" t="s">
        <v>116</v>
      </c>
      <c r="X64" s="217"/>
      <c r="Y64" s="163"/>
      <c r="Z64" s="163"/>
      <c r="AA64" s="163"/>
      <c r="AB64" s="163"/>
      <c r="AC64" s="205"/>
      <c r="AD64" s="217">
        <f>'PRECIOS CYE'!N5</f>
        <v>0</v>
      </c>
      <c r="AE64" s="163">
        <f>'PRECIOS CYE'!O5</f>
        <v>0</v>
      </c>
      <c r="AF64" s="163">
        <f>'PRECIOS CYE'!P5</f>
        <v>0</v>
      </c>
      <c r="AG64" s="163">
        <f>'PRECIOS CYE'!Q5</f>
        <v>0</v>
      </c>
      <c r="AH64" s="163">
        <f>'PRECIOS CYE'!R5</f>
        <v>0</v>
      </c>
      <c r="AI64" s="166">
        <f>'PRECIOS CYE'!S5</f>
        <v>0</v>
      </c>
      <c r="AJ64" s="172">
        <f>'PRECIOS CYE'!T5</f>
        <v>0</v>
      </c>
      <c r="AK64" s="163">
        <f>'PRECIOS CYE'!U5</f>
        <v>0</v>
      </c>
      <c r="AL64" s="163">
        <f>'PRECIOS CYE'!V5</f>
        <v>0</v>
      </c>
      <c r="AM64" s="163">
        <f>'PRECIOS CYE'!W5</f>
        <v>0</v>
      </c>
      <c r="AN64" s="163">
        <f>'PRECIOS CYE'!X5</f>
        <v>0</v>
      </c>
      <c r="AO64" s="166">
        <f>'PRECIOS CYE'!Y5</f>
        <v>0</v>
      </c>
    </row>
    <row r="65" spans="13:41" ht="14.45" thickBot="1">
      <c r="M65" s="635"/>
      <c r="N65" s="193" t="s">
        <v>200</v>
      </c>
      <c r="O65" s="194">
        <f>Y191</f>
        <v>113.12150000000001</v>
      </c>
      <c r="P65" s="201"/>
      <c r="Q65" s="201"/>
      <c r="R65" s="195"/>
      <c r="S65" s="207"/>
      <c r="T65" s="207"/>
      <c r="U65" s="196"/>
      <c r="W65" s="212"/>
      <c r="X65" s="218"/>
      <c r="Y65" s="165"/>
      <c r="Z65" s="165"/>
      <c r="AA65" s="163"/>
      <c r="AB65" s="163"/>
      <c r="AC65" s="205"/>
      <c r="AD65" s="218">
        <f>('INTRODUCIR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DATOS'!$D$17)+'INTRODUCIR DATOS'!$D$15+'INTRODUCIR DATOS'!$D$16+(('INTRODUCIR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DATOS'!$D$17)+'INTRODUCIR DATOS'!$D$16)*21/100</f>
        <v>1.0285</v>
      </c>
      <c r="AE65" s="165">
        <f>IF(AD65=0,"",'INTRODUCIR DATOS'!$D$14-AD65)</f>
        <v>113.12150000000001</v>
      </c>
      <c r="AF65" s="165">
        <f>IF(AD65=0,"",('INTRODUCIR DATOS'!$D$14-AD65)/'INTRODUCIR DATOS'!$D$14)</f>
        <v>0.99098992553657472</v>
      </c>
      <c r="AG65" s="163"/>
      <c r="AH65" s="163"/>
      <c r="AI65" s="166"/>
      <c r="AJ65" s="218">
        <f>('INTRODUCIR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DATOS'!$D$17)+'INTRODUCIR DATOS'!$D$15+'INTRODUCIR DATOS'!$D$16+(('INTRODUCIR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DATOS'!$D$17)+'INTRODUCIR DATOS'!$D$16)*21/100</f>
        <v>1.0285</v>
      </c>
      <c r="AK65" s="165">
        <f>IF(AJ65=0,"",'INTRODUCIR DATOS'!$D$14-AJ65)</f>
        <v>113.12150000000001</v>
      </c>
      <c r="AL65" s="165">
        <f>IF(AJ65=0,"",('INTRODUCIR DATOS'!$D$14-AJ65)/'INTRODUCIR DATOS'!$D$14)</f>
        <v>0.99098992553657472</v>
      </c>
      <c r="AM65" s="163"/>
      <c r="AN65" s="163"/>
      <c r="AO65" s="166"/>
    </row>
    <row r="66" spans="13:41">
      <c r="M66" s="636" t="s">
        <v>208</v>
      </c>
      <c r="N66" s="180" t="s">
        <v>41</v>
      </c>
      <c r="O66" s="187">
        <f>Y194</f>
        <v>113.12150000000001</v>
      </c>
      <c r="P66" s="199"/>
      <c r="Q66" s="199"/>
      <c r="R66" s="177">
        <f>AE194</f>
        <v>113.12150000000001</v>
      </c>
      <c r="S66" s="204"/>
      <c r="T66" s="204"/>
      <c r="U66" s="178">
        <f>AK194</f>
        <v>113.12150000000001</v>
      </c>
      <c r="W66" s="212" t="s">
        <v>71</v>
      </c>
      <c r="X66" s="217"/>
      <c r="Y66" s="163"/>
      <c r="Z66" s="163"/>
      <c r="AA66" s="163"/>
      <c r="AB66" s="163"/>
      <c r="AC66" s="205"/>
      <c r="AD66" s="217">
        <f>'PRECIOS CYE'!N21</f>
        <v>0</v>
      </c>
      <c r="AE66" s="163">
        <f>'PRECIOS CYE'!O21</f>
        <v>0</v>
      </c>
      <c r="AF66" s="163">
        <f>'PRECIOS CYE'!P21</f>
        <v>0</v>
      </c>
      <c r="AG66" s="163">
        <f>'PRECIOS CYE'!Q21</f>
        <v>0</v>
      </c>
      <c r="AH66" s="163">
        <f>'PRECIOS CYE'!R21</f>
        <v>0</v>
      </c>
      <c r="AI66" s="166">
        <f>'PRECIOS CYE'!S21</f>
        <v>0</v>
      </c>
      <c r="AJ66" s="172">
        <f>'PRECIOS CYE'!T21</f>
        <v>0</v>
      </c>
      <c r="AK66" s="163">
        <f>'PRECIOS CYE'!U21</f>
        <v>0</v>
      </c>
      <c r="AL66" s="163">
        <f>'PRECIOS CYE'!V21</f>
        <v>0</v>
      </c>
      <c r="AM66" s="163">
        <f>'PRECIOS CYE'!W21</f>
        <v>0</v>
      </c>
      <c r="AN66" s="163">
        <f>'PRECIOS CYE'!X21</f>
        <v>0</v>
      </c>
      <c r="AO66" s="166">
        <f>'PRECIOS CYE'!Y21</f>
        <v>0</v>
      </c>
    </row>
    <row r="67" spans="13:41">
      <c r="M67" s="631"/>
      <c r="N67" s="181" t="s">
        <v>115</v>
      </c>
      <c r="O67" s="188">
        <f>Y197</f>
        <v>113.12150000000001</v>
      </c>
      <c r="P67" s="200"/>
      <c r="Q67" s="200"/>
      <c r="R67" s="163">
        <f>AE197</f>
        <v>113.12150000000001</v>
      </c>
      <c r="S67" s="205"/>
      <c r="T67" s="205"/>
      <c r="U67" s="166">
        <f>AK197</f>
        <v>113.12150000000001</v>
      </c>
      <c r="W67" s="212" t="s">
        <v>60</v>
      </c>
      <c r="X67" s="217"/>
      <c r="Y67" s="163"/>
      <c r="Z67" s="163"/>
      <c r="AA67" s="163"/>
      <c r="AB67" s="163"/>
      <c r="AC67" s="205"/>
      <c r="AD67" s="217">
        <f>'PRECIOS CYE'!N5</f>
        <v>0</v>
      </c>
      <c r="AE67" s="163">
        <f>'PRECIOS CYE'!O5</f>
        <v>0</v>
      </c>
      <c r="AF67" s="163">
        <f>'PRECIOS CYE'!P5</f>
        <v>0</v>
      </c>
      <c r="AG67" s="163">
        <f>'PRECIOS CYE'!Q5</f>
        <v>0</v>
      </c>
      <c r="AH67" s="163">
        <f>'PRECIOS CYE'!R5</f>
        <v>0</v>
      </c>
      <c r="AI67" s="166">
        <f>'PRECIOS CYE'!S5</f>
        <v>0</v>
      </c>
      <c r="AJ67" s="172">
        <f>'PRECIOS CYE'!T5</f>
        <v>0</v>
      </c>
      <c r="AK67" s="163">
        <f>'PRECIOS CYE'!U5</f>
        <v>0</v>
      </c>
      <c r="AL67" s="163">
        <f>'PRECIOS CYE'!V5</f>
        <v>0</v>
      </c>
      <c r="AM67" s="163">
        <f>'PRECIOS CYE'!W5</f>
        <v>0</v>
      </c>
      <c r="AN67" s="163">
        <f>'PRECIOS CYE'!X5</f>
        <v>0</v>
      </c>
      <c r="AO67" s="166">
        <f>'PRECIOS CYE'!Y5</f>
        <v>0</v>
      </c>
    </row>
    <row r="68" spans="13:41">
      <c r="M68" s="631"/>
      <c r="N68" s="181" t="s">
        <v>116</v>
      </c>
      <c r="O68" s="188">
        <f>Y200</f>
        <v>113.12150000000001</v>
      </c>
      <c r="P68" s="200"/>
      <c r="Q68" s="200"/>
      <c r="R68" s="163">
        <f>AE200</f>
        <v>113.12150000000001</v>
      </c>
      <c r="S68" s="205"/>
      <c r="T68" s="205"/>
      <c r="U68" s="166">
        <f>AK200</f>
        <v>113.12150000000001</v>
      </c>
      <c r="W68" s="212"/>
      <c r="X68" s="218"/>
      <c r="Y68" s="165"/>
      <c r="Z68" s="165"/>
      <c r="AA68" s="163"/>
      <c r="AB68" s="163"/>
      <c r="AC68" s="205"/>
      <c r="AD68" s="218">
        <f>('INTRODUCIR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DATOS'!$D$17)+'INTRODUCIR DATOS'!$D$15+'INTRODUCIR DATOS'!$D$16+(('INTRODUCIR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DATOS'!$D$17)+'INTRODUCIR DATOS'!$D$16)*21/100</f>
        <v>1.0285</v>
      </c>
      <c r="AE68" s="165">
        <f>IF(AD68=0,"",'INTRODUCIR DATOS'!$D$14-AD68)</f>
        <v>113.12150000000001</v>
      </c>
      <c r="AF68" s="165">
        <f>IF(AD68=0,"",('INTRODUCIR DATOS'!$D$14-AD68)/'INTRODUCIR DATOS'!$D$14)</f>
        <v>0.99098992553657472</v>
      </c>
      <c r="AG68" s="163"/>
      <c r="AH68" s="163"/>
      <c r="AI68" s="166"/>
      <c r="AJ68" s="218">
        <f>('INTRODUCIR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DATOS'!$D$17)+'INTRODUCIR DATOS'!$D$15+'INTRODUCIR DATOS'!$D$16+(('INTRODUCIR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DATOS'!$D$17)+'INTRODUCIR DATOS'!$D$16)*21/100</f>
        <v>1.0285</v>
      </c>
      <c r="AK68" s="165">
        <f>IF(AJ68=0,"",'INTRODUCIR DATOS'!$D$14-AJ68)</f>
        <v>113.12150000000001</v>
      </c>
      <c r="AL68" s="165">
        <f>IF(AJ68=0,"",('INTRODUCIR DATOS'!$D$14-AJ68)/'INTRODUCIR DATOS'!$D$14)</f>
        <v>0.99098992553657472</v>
      </c>
      <c r="AM68" s="163"/>
      <c r="AN68" s="163"/>
      <c r="AO68" s="166"/>
    </row>
    <row r="69" spans="13:41">
      <c r="M69" s="631"/>
      <c r="N69" s="181" t="s">
        <v>60</v>
      </c>
      <c r="O69" s="188">
        <f>Y203</f>
        <v>113.12150000000001</v>
      </c>
      <c r="P69" s="200"/>
      <c r="Q69" s="200"/>
      <c r="R69" s="163">
        <f>AE203</f>
        <v>113.12150000000001</v>
      </c>
      <c r="S69" s="205"/>
      <c r="T69" s="205"/>
      <c r="U69" s="166">
        <f>AK203</f>
        <v>113.12150000000001</v>
      </c>
      <c r="W69" s="212" t="s">
        <v>71</v>
      </c>
      <c r="X69" s="217"/>
      <c r="Y69" s="163"/>
      <c r="Z69" s="163"/>
      <c r="AA69" s="163"/>
      <c r="AB69" s="163"/>
      <c r="AC69" s="205"/>
      <c r="AD69" s="217">
        <f>'PRECIOS CYE'!N22</f>
        <v>0</v>
      </c>
      <c r="AE69" s="163">
        <f>'PRECIOS CYE'!O22</f>
        <v>0</v>
      </c>
      <c r="AF69" s="163">
        <f>'PRECIOS CYE'!P22</f>
        <v>0</v>
      </c>
      <c r="AG69" s="163">
        <f>'PRECIOS CYE'!Q22</f>
        <v>0</v>
      </c>
      <c r="AH69" s="163">
        <f>'PRECIOS CYE'!R22</f>
        <v>0</v>
      </c>
      <c r="AI69" s="166">
        <f>'PRECIOS CYE'!S22</f>
        <v>0</v>
      </c>
      <c r="AJ69" s="172">
        <f>'PRECIOS CYE'!T22</f>
        <v>0</v>
      </c>
      <c r="AK69" s="163">
        <f>'PRECIOS CYE'!U22</f>
        <v>0</v>
      </c>
      <c r="AL69" s="163">
        <f>'PRECIOS CYE'!V22</f>
        <v>0</v>
      </c>
      <c r="AM69" s="163">
        <f>'PRECIOS CYE'!W22</f>
        <v>0</v>
      </c>
      <c r="AN69" s="163">
        <f>'PRECIOS CYE'!X22</f>
        <v>0</v>
      </c>
      <c r="AO69" s="166">
        <f>'PRECIOS CYE'!Y22</f>
        <v>0</v>
      </c>
    </row>
    <row r="70" spans="13:41">
      <c r="M70" s="631"/>
      <c r="N70" s="181" t="s">
        <v>62</v>
      </c>
      <c r="O70" s="188">
        <f>Y206</f>
        <v>113.12150000000001</v>
      </c>
      <c r="P70" s="200"/>
      <c r="Q70" s="200"/>
      <c r="R70" s="163">
        <f>AE206</f>
        <v>113.12150000000001</v>
      </c>
      <c r="S70" s="205"/>
      <c r="T70" s="205"/>
      <c r="U70" s="166">
        <f>AK206</f>
        <v>113.12150000000001</v>
      </c>
      <c r="W70" s="212" t="s">
        <v>62</v>
      </c>
      <c r="X70" s="217"/>
      <c r="Y70" s="163"/>
      <c r="Z70" s="163"/>
      <c r="AA70" s="163"/>
      <c r="AB70" s="163"/>
      <c r="AC70" s="205"/>
      <c r="AD70" s="217">
        <f>'PRECIOS CYE'!N5</f>
        <v>0</v>
      </c>
      <c r="AE70" s="163">
        <f>'PRECIOS CYE'!O5</f>
        <v>0</v>
      </c>
      <c r="AF70" s="163">
        <f>'PRECIOS CYE'!P5</f>
        <v>0</v>
      </c>
      <c r="AG70" s="163">
        <f>'PRECIOS CYE'!Q5</f>
        <v>0</v>
      </c>
      <c r="AH70" s="163">
        <f>'PRECIOS CYE'!R5</f>
        <v>0</v>
      </c>
      <c r="AI70" s="166">
        <f>'PRECIOS CYE'!S5</f>
        <v>0</v>
      </c>
      <c r="AJ70" s="172">
        <f>'PRECIOS CYE'!T5</f>
        <v>0</v>
      </c>
      <c r="AK70" s="163">
        <f>'PRECIOS CYE'!U5</f>
        <v>0</v>
      </c>
      <c r="AL70" s="163">
        <f>'PRECIOS CYE'!V5</f>
        <v>0</v>
      </c>
      <c r="AM70" s="163">
        <f>'PRECIOS CYE'!W5</f>
        <v>0</v>
      </c>
      <c r="AN70" s="163">
        <f>'PRECIOS CYE'!X5</f>
        <v>0</v>
      </c>
      <c r="AO70" s="166">
        <f>'PRECIOS CYE'!Y5</f>
        <v>0</v>
      </c>
    </row>
    <row r="71" spans="13:41">
      <c r="M71" s="631"/>
      <c r="N71" s="181" t="s">
        <v>63</v>
      </c>
      <c r="O71" s="188">
        <f>Y209</f>
        <v>113.12150000000001</v>
      </c>
      <c r="P71" s="200"/>
      <c r="Q71" s="200"/>
      <c r="R71" s="186"/>
      <c r="S71" s="206"/>
      <c r="T71" s="206"/>
      <c r="U71" s="189"/>
      <c r="W71" s="212"/>
      <c r="X71" s="218"/>
      <c r="Y71" s="165"/>
      <c r="Z71" s="165"/>
      <c r="AA71" s="163"/>
      <c r="AB71" s="163"/>
      <c r="AC71" s="205"/>
      <c r="AD71" s="218">
        <f>('INTRODUCIR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DATOS'!$D$17)+'INTRODUCIR DATOS'!$D$15+'INTRODUCIR DATOS'!$D$16+(('INTRODUCIR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DATOS'!$D$17)+'INTRODUCIR DATOS'!$D$16)*21/100</f>
        <v>1.0285</v>
      </c>
      <c r="AE71" s="165">
        <f>IF(AD71=0,"",'INTRODUCIR DATOS'!$D$14-AD71)</f>
        <v>113.12150000000001</v>
      </c>
      <c r="AF71" s="165">
        <f>IF(AD71=0,"",('INTRODUCIR DATOS'!$D$14-AD71)/'INTRODUCIR DATOS'!$D$14)</f>
        <v>0.99098992553657472</v>
      </c>
      <c r="AG71" s="163"/>
      <c r="AH71" s="163"/>
      <c r="AI71" s="166"/>
      <c r="AJ71" s="218">
        <f>('INTRODUCIR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DATOS'!$D$17)+'INTRODUCIR DATOS'!$D$15+'INTRODUCIR DATOS'!$D$16+(('INTRODUCIR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DATOS'!$D$17)+'INTRODUCIR DATOS'!$D$16)*21/100</f>
        <v>1.0285</v>
      </c>
      <c r="AK71" s="165">
        <f>IF(AJ71=0,"",'INTRODUCIR DATOS'!$D$14-AJ71)</f>
        <v>113.12150000000001</v>
      </c>
      <c r="AL71" s="165">
        <f>IF(AJ71=0,"",('INTRODUCIR DATOS'!$D$14-AJ71)/'INTRODUCIR DATOS'!$D$14)</f>
        <v>0.99098992553657472</v>
      </c>
      <c r="AM71" s="163"/>
      <c r="AN71" s="163"/>
      <c r="AO71" s="166"/>
    </row>
    <row r="72" spans="13:41">
      <c r="M72" s="631"/>
      <c r="N72" s="181" t="s">
        <v>65</v>
      </c>
      <c r="O72" s="188">
        <f>Y212</f>
        <v>113.12150000000001</v>
      </c>
      <c r="P72" s="200"/>
      <c r="Q72" s="200"/>
      <c r="R72" s="186"/>
      <c r="S72" s="206"/>
      <c r="T72" s="206"/>
      <c r="U72" s="189"/>
      <c r="W72" s="212" t="s">
        <v>71</v>
      </c>
      <c r="X72" s="217"/>
      <c r="Y72" s="163"/>
      <c r="Z72" s="163"/>
      <c r="AA72" s="163"/>
      <c r="AB72" s="163"/>
      <c r="AC72" s="205"/>
      <c r="AD72" s="217"/>
      <c r="AE72" s="163"/>
      <c r="AF72" s="163"/>
      <c r="AG72" s="163"/>
      <c r="AH72" s="163"/>
      <c r="AI72" s="166"/>
      <c r="AJ72" s="172"/>
      <c r="AK72" s="163"/>
      <c r="AL72" s="163"/>
      <c r="AM72" s="163"/>
      <c r="AN72" s="163"/>
      <c r="AO72" s="166"/>
    </row>
    <row r="73" spans="13:41">
      <c r="M73" s="631"/>
      <c r="N73" s="181" t="s">
        <v>199</v>
      </c>
      <c r="O73" s="188">
        <f>Y215</f>
        <v>113.12150000000001</v>
      </c>
      <c r="P73" s="200"/>
      <c r="Q73" s="200"/>
      <c r="R73" s="186"/>
      <c r="S73" s="206"/>
      <c r="T73" s="206"/>
      <c r="U73" s="189"/>
      <c r="W73" s="212" t="s">
        <v>63</v>
      </c>
      <c r="X73" s="217"/>
      <c r="Y73" s="163"/>
      <c r="Z73" s="163"/>
      <c r="AA73" s="163"/>
      <c r="AB73" s="163"/>
      <c r="AC73" s="205"/>
      <c r="AD73" s="217"/>
      <c r="AE73" s="163"/>
      <c r="AF73" s="163"/>
      <c r="AG73" s="163"/>
      <c r="AH73" s="163"/>
      <c r="AI73" s="166"/>
      <c r="AJ73" s="172"/>
      <c r="AK73" s="163"/>
      <c r="AL73" s="163"/>
      <c r="AM73" s="163"/>
      <c r="AN73" s="163"/>
      <c r="AO73" s="166"/>
    </row>
    <row r="74" spans="13:41" ht="14.45" thickBot="1">
      <c r="M74" s="632"/>
      <c r="N74" s="182" t="s">
        <v>200</v>
      </c>
      <c r="O74" s="190">
        <f>Y218</f>
        <v>113.12150000000001</v>
      </c>
      <c r="P74" s="202"/>
      <c r="Q74" s="202"/>
      <c r="R74" s="191"/>
      <c r="S74" s="208"/>
      <c r="T74" s="208"/>
      <c r="U74" s="192"/>
      <c r="W74" s="212"/>
      <c r="X74" s="218"/>
      <c r="Y74" s="165"/>
      <c r="Z74" s="165"/>
      <c r="AA74" s="163"/>
      <c r="AB74" s="163"/>
      <c r="AC74" s="205"/>
      <c r="AD74" s="218"/>
      <c r="AE74" s="165"/>
      <c r="AF74" s="165"/>
      <c r="AG74" s="163"/>
      <c r="AH74" s="163"/>
      <c r="AI74" s="166"/>
      <c r="AJ74" s="173"/>
      <c r="AK74" s="165"/>
      <c r="AL74" s="165"/>
      <c r="AM74" s="163"/>
      <c r="AN74" s="163"/>
      <c r="AO74" s="166"/>
    </row>
    <row r="75" spans="13:41">
      <c r="M75" s="630" t="s">
        <v>209</v>
      </c>
      <c r="N75" s="197" t="s">
        <v>41</v>
      </c>
      <c r="O75" s="198">
        <f>Y221</f>
        <v>113.12150000000001</v>
      </c>
      <c r="P75" s="203"/>
      <c r="Q75" s="203"/>
      <c r="R75" s="174">
        <f>AE221</f>
        <v>113.12150000000001</v>
      </c>
      <c r="S75" s="209"/>
      <c r="T75" s="209"/>
      <c r="U75" s="175">
        <f>AK221</f>
        <v>113.12150000000001</v>
      </c>
      <c r="W75" s="212" t="s">
        <v>71</v>
      </c>
      <c r="X75" s="217"/>
      <c r="Y75" s="163"/>
      <c r="Z75" s="163"/>
      <c r="AA75" s="163"/>
      <c r="AB75" s="163"/>
      <c r="AC75" s="205"/>
      <c r="AD75" s="217"/>
      <c r="AE75" s="163"/>
      <c r="AF75" s="163"/>
      <c r="AG75" s="163"/>
      <c r="AH75" s="163"/>
      <c r="AI75" s="166"/>
      <c r="AJ75" s="172"/>
      <c r="AK75" s="163"/>
      <c r="AL75" s="163"/>
      <c r="AM75" s="163"/>
      <c r="AN75" s="163"/>
      <c r="AO75" s="166"/>
    </row>
    <row r="76" spans="13:41">
      <c r="M76" s="631"/>
      <c r="N76" s="181" t="s">
        <v>115</v>
      </c>
      <c r="O76" s="188">
        <f>Y224</f>
        <v>113.12150000000001</v>
      </c>
      <c r="P76" s="200"/>
      <c r="Q76" s="200"/>
      <c r="R76" s="163">
        <f>AE224</f>
        <v>113.12150000000001</v>
      </c>
      <c r="S76" s="205"/>
      <c r="T76" s="205"/>
      <c r="U76" s="166">
        <f>AK224</f>
        <v>113.12150000000001</v>
      </c>
      <c r="W76" s="212" t="s">
        <v>65</v>
      </c>
      <c r="X76" s="217"/>
      <c r="Y76" s="163"/>
      <c r="Z76" s="163"/>
      <c r="AA76" s="163"/>
      <c r="AB76" s="163"/>
      <c r="AC76" s="205"/>
      <c r="AD76" s="217"/>
      <c r="AE76" s="163"/>
      <c r="AF76" s="163"/>
      <c r="AG76" s="163"/>
      <c r="AH76" s="163"/>
      <c r="AI76" s="166"/>
      <c r="AJ76" s="172"/>
      <c r="AK76" s="163"/>
      <c r="AL76" s="163"/>
      <c r="AM76" s="163"/>
      <c r="AN76" s="163"/>
      <c r="AO76" s="166"/>
    </row>
    <row r="77" spans="13:41">
      <c r="M77" s="631"/>
      <c r="N77" s="181" t="s">
        <v>116</v>
      </c>
      <c r="O77" s="188">
        <f>Y227</f>
        <v>113.12150000000001</v>
      </c>
      <c r="P77" s="200"/>
      <c r="Q77" s="200"/>
      <c r="R77" s="163">
        <f>AE227</f>
        <v>113.12150000000001</v>
      </c>
      <c r="S77" s="205"/>
      <c r="T77" s="205"/>
      <c r="U77" s="166">
        <f>AK227</f>
        <v>113.12150000000001</v>
      </c>
      <c r="W77" s="212"/>
      <c r="X77" s="218"/>
      <c r="Y77" s="165"/>
      <c r="Z77" s="165"/>
      <c r="AA77" s="163"/>
      <c r="AB77" s="163"/>
      <c r="AC77" s="205"/>
      <c r="AD77" s="218"/>
      <c r="AE77" s="165"/>
      <c r="AF77" s="165"/>
      <c r="AG77" s="163"/>
      <c r="AH77" s="163"/>
      <c r="AI77" s="166"/>
      <c r="AJ77" s="173"/>
      <c r="AK77" s="165"/>
      <c r="AL77" s="165"/>
      <c r="AM77" s="163"/>
      <c r="AN77" s="163"/>
      <c r="AO77" s="166"/>
    </row>
    <row r="78" spans="13:41">
      <c r="M78" s="631"/>
      <c r="N78" s="181" t="s">
        <v>60</v>
      </c>
      <c r="O78" s="188">
        <f>Y230</f>
        <v>113.12150000000001</v>
      </c>
      <c r="P78" s="200"/>
      <c r="Q78" s="200"/>
      <c r="R78" s="163">
        <f>AE230</f>
        <v>113.12150000000001</v>
      </c>
      <c r="S78" s="205"/>
      <c r="T78" s="205"/>
      <c r="U78" s="166">
        <f>AK230</f>
        <v>113.12150000000001</v>
      </c>
      <c r="W78" s="212" t="s">
        <v>71</v>
      </c>
      <c r="X78" s="217"/>
      <c r="Y78" s="163"/>
      <c r="Z78" s="163"/>
      <c r="AA78" s="163"/>
      <c r="AB78" s="163"/>
      <c r="AC78" s="205"/>
      <c r="AD78" s="217"/>
      <c r="AE78" s="163"/>
      <c r="AF78" s="163"/>
      <c r="AG78" s="163"/>
      <c r="AH78" s="163"/>
      <c r="AI78" s="166"/>
      <c r="AJ78" s="172"/>
      <c r="AK78" s="163"/>
      <c r="AL78" s="163"/>
      <c r="AM78" s="163"/>
      <c r="AN78" s="163"/>
      <c r="AO78" s="166"/>
    </row>
    <row r="79" spans="13:41">
      <c r="M79" s="631"/>
      <c r="N79" s="181" t="s">
        <v>62</v>
      </c>
      <c r="O79" s="188">
        <f>Y233</f>
        <v>113.12150000000001</v>
      </c>
      <c r="P79" s="200"/>
      <c r="Q79" s="200"/>
      <c r="R79" s="163">
        <f>AE233</f>
        <v>113.12150000000001</v>
      </c>
      <c r="S79" s="205"/>
      <c r="T79" s="205"/>
      <c r="U79" s="166">
        <f>AK233</f>
        <v>113.12150000000001</v>
      </c>
      <c r="W79" s="212" t="s">
        <v>199</v>
      </c>
      <c r="X79" s="217"/>
      <c r="Y79" s="163"/>
      <c r="Z79" s="163"/>
      <c r="AA79" s="163"/>
      <c r="AB79" s="163"/>
      <c r="AC79" s="205"/>
      <c r="AD79" s="217"/>
      <c r="AE79" s="163"/>
      <c r="AF79" s="163"/>
      <c r="AG79" s="163"/>
      <c r="AH79" s="163"/>
      <c r="AI79" s="166"/>
      <c r="AJ79" s="172"/>
      <c r="AK79" s="163"/>
      <c r="AL79" s="163"/>
      <c r="AM79" s="163"/>
      <c r="AN79" s="163"/>
      <c r="AO79" s="166"/>
    </row>
    <row r="80" spans="13:41">
      <c r="M80" s="631"/>
      <c r="N80" s="181" t="s">
        <v>63</v>
      </c>
      <c r="O80" s="188">
        <f>Y236</f>
        <v>113.12150000000001</v>
      </c>
      <c r="P80" s="200"/>
      <c r="Q80" s="200"/>
      <c r="R80" s="186"/>
      <c r="S80" s="206"/>
      <c r="T80" s="206"/>
      <c r="U80" s="189"/>
      <c r="W80" s="212"/>
      <c r="X80" s="218"/>
      <c r="Y80" s="165"/>
      <c r="Z80" s="165"/>
      <c r="AA80" s="163"/>
      <c r="AB80" s="163"/>
      <c r="AC80" s="205"/>
      <c r="AD80" s="218"/>
      <c r="AE80" s="165"/>
      <c r="AF80" s="165"/>
      <c r="AG80" s="163"/>
      <c r="AH80" s="163"/>
      <c r="AI80" s="166"/>
      <c r="AJ80" s="173"/>
      <c r="AK80" s="165"/>
      <c r="AL80" s="165"/>
      <c r="AM80" s="163"/>
      <c r="AN80" s="163"/>
      <c r="AO80" s="166"/>
    </row>
    <row r="81" spans="13:41">
      <c r="M81" s="631"/>
      <c r="N81" s="181" t="s">
        <v>65</v>
      </c>
      <c r="O81" s="188">
        <f>Y239</f>
        <v>113.12150000000001</v>
      </c>
      <c r="P81" s="200"/>
      <c r="Q81" s="200"/>
      <c r="R81" s="186"/>
      <c r="S81" s="206"/>
      <c r="T81" s="206"/>
      <c r="U81" s="189"/>
      <c r="W81" s="212" t="s">
        <v>71</v>
      </c>
      <c r="X81" s="217"/>
      <c r="Y81" s="163"/>
      <c r="Z81" s="163"/>
      <c r="AA81" s="163"/>
      <c r="AB81" s="163"/>
      <c r="AC81" s="205"/>
      <c r="AD81" s="217"/>
      <c r="AE81" s="163"/>
      <c r="AF81" s="163"/>
      <c r="AG81" s="163"/>
      <c r="AH81" s="163"/>
      <c r="AI81" s="166"/>
      <c r="AJ81" s="172"/>
      <c r="AK81" s="163"/>
      <c r="AL81" s="163"/>
      <c r="AM81" s="163"/>
      <c r="AN81" s="163"/>
      <c r="AO81" s="166"/>
    </row>
    <row r="82" spans="13:41">
      <c r="M82" s="631"/>
      <c r="N82" s="181" t="s">
        <v>199</v>
      </c>
      <c r="O82" s="188">
        <f>Y242</f>
        <v>113.12150000000001</v>
      </c>
      <c r="P82" s="200"/>
      <c r="Q82" s="200"/>
      <c r="R82" s="186"/>
      <c r="S82" s="206"/>
      <c r="T82" s="206"/>
      <c r="U82" s="189"/>
      <c r="W82" s="212" t="s">
        <v>200</v>
      </c>
      <c r="X82" s="217"/>
      <c r="Y82" s="163"/>
      <c r="Z82" s="163"/>
      <c r="AA82" s="163"/>
      <c r="AB82" s="163"/>
      <c r="AC82" s="205"/>
      <c r="AD82" s="217"/>
      <c r="AE82" s="163"/>
      <c r="AF82" s="163"/>
      <c r="AG82" s="163"/>
      <c r="AH82" s="163"/>
      <c r="AI82" s="166"/>
      <c r="AJ82" s="172"/>
      <c r="AK82" s="163"/>
      <c r="AL82" s="163"/>
      <c r="AM82" s="163"/>
      <c r="AN82" s="163"/>
      <c r="AO82" s="166"/>
    </row>
    <row r="83" spans="13:41" ht="14.45" thickBot="1">
      <c r="M83" s="635"/>
      <c r="N83" s="193" t="s">
        <v>200</v>
      </c>
      <c r="O83" s="194">
        <f>Y245</f>
        <v>113.12150000000001</v>
      </c>
      <c r="P83" s="201"/>
      <c r="Q83" s="201"/>
      <c r="R83" s="195"/>
      <c r="S83" s="207"/>
      <c r="T83" s="207"/>
      <c r="U83" s="196"/>
      <c r="W83" s="212"/>
      <c r="X83" s="218"/>
      <c r="Y83" s="165"/>
      <c r="Z83" s="165"/>
      <c r="AA83" s="163"/>
      <c r="AB83" s="163"/>
      <c r="AC83" s="205"/>
      <c r="AD83" s="218"/>
      <c r="AE83" s="165"/>
      <c r="AF83" s="165"/>
      <c r="AG83" s="163"/>
      <c r="AH83" s="163"/>
      <c r="AI83" s="166"/>
      <c r="AJ83" s="173"/>
      <c r="AK83" s="165"/>
      <c r="AL83" s="165"/>
      <c r="AM83" s="163"/>
      <c r="AN83" s="163"/>
      <c r="AO83" s="166"/>
    </row>
    <row r="84" spans="13:41">
      <c r="M84" s="636" t="s">
        <v>210</v>
      </c>
      <c r="N84" s="180" t="s">
        <v>41</v>
      </c>
      <c r="O84" s="187">
        <f>Y248</f>
        <v>113.12150000000001</v>
      </c>
      <c r="P84" s="199"/>
      <c r="Q84" s="199"/>
      <c r="R84" s="177">
        <f>AE248</f>
        <v>113.12150000000001</v>
      </c>
      <c r="S84" s="204"/>
      <c r="T84" s="204"/>
      <c r="U84" s="178">
        <f>AK248</f>
        <v>113.12150000000001</v>
      </c>
      <c r="W84" s="212" t="s">
        <v>205</v>
      </c>
      <c r="X84" s="218"/>
      <c r="Y84" s="164"/>
      <c r="Z84" s="164"/>
      <c r="AA84" s="164"/>
      <c r="AB84" s="164"/>
      <c r="AC84" s="219"/>
      <c r="AD84" s="218">
        <f>'PRECIOS CYE'!N18</f>
        <v>0</v>
      </c>
      <c r="AE84" s="164">
        <f>'PRECIOS CYE'!O18</f>
        <v>0</v>
      </c>
      <c r="AF84" s="164">
        <f>'PRECIOS CYE'!P18</f>
        <v>0</v>
      </c>
      <c r="AG84" s="164">
        <f>'PRECIOS CYE'!Q18</f>
        <v>0</v>
      </c>
      <c r="AH84" s="164">
        <f>'PRECIOS CYE'!R18</f>
        <v>0</v>
      </c>
      <c r="AI84" s="167">
        <f>'PRECIOS CYE'!S18</f>
        <v>0</v>
      </c>
      <c r="AJ84" s="173">
        <f>'PRECIOS CYE'!T18</f>
        <v>0</v>
      </c>
      <c r="AK84" s="164">
        <f>'PRECIOS CYE'!U18</f>
        <v>0</v>
      </c>
      <c r="AL84" s="164">
        <f>'PRECIOS CYE'!V18</f>
        <v>0</v>
      </c>
      <c r="AM84" s="164">
        <f>'PRECIOS CYE'!W18</f>
        <v>0</v>
      </c>
      <c r="AN84" s="164">
        <f>'PRECIOS CYE'!X18</f>
        <v>0</v>
      </c>
      <c r="AO84" s="167">
        <f>'PRECIOS CYE'!Y18</f>
        <v>0</v>
      </c>
    </row>
    <row r="85" spans="13:41">
      <c r="M85" s="631"/>
      <c r="N85" s="181" t="s">
        <v>115</v>
      </c>
      <c r="O85" s="188">
        <f>Y251</f>
        <v>113.12150000000001</v>
      </c>
      <c r="P85" s="200"/>
      <c r="Q85" s="200"/>
      <c r="R85" s="163">
        <f>AE251</f>
        <v>113.12150000000001</v>
      </c>
      <c r="S85" s="205"/>
      <c r="T85" s="205"/>
      <c r="U85" s="166">
        <f>AK251</f>
        <v>113.12150000000001</v>
      </c>
      <c r="W85" s="212" t="s">
        <v>41</v>
      </c>
      <c r="X85" s="218"/>
      <c r="Y85" s="164"/>
      <c r="Z85" s="164"/>
      <c r="AA85" s="164"/>
      <c r="AB85" s="164"/>
      <c r="AC85" s="219"/>
      <c r="AD85" s="218">
        <f>'PRECIOS CYE'!N6</f>
        <v>0</v>
      </c>
      <c r="AE85" s="164">
        <f>'PRECIOS CYE'!O6</f>
        <v>0</v>
      </c>
      <c r="AF85" s="164">
        <f>'PRECIOS CYE'!P6</f>
        <v>0</v>
      </c>
      <c r="AG85" s="164">
        <f>'PRECIOS CYE'!Q6</f>
        <v>0</v>
      </c>
      <c r="AH85" s="164">
        <f>'PRECIOS CYE'!R6</f>
        <v>0</v>
      </c>
      <c r="AI85" s="167">
        <f>'PRECIOS CYE'!S6</f>
        <v>0</v>
      </c>
      <c r="AJ85" s="173">
        <f>'PRECIOS CYE'!T6</f>
        <v>0</v>
      </c>
      <c r="AK85" s="164">
        <f>'PRECIOS CYE'!U6</f>
        <v>0</v>
      </c>
      <c r="AL85" s="164">
        <f>'PRECIOS CYE'!V6</f>
        <v>0</v>
      </c>
      <c r="AM85" s="164">
        <f>'PRECIOS CYE'!W6</f>
        <v>0</v>
      </c>
      <c r="AN85" s="164">
        <f>'PRECIOS CYE'!X6</f>
        <v>0</v>
      </c>
      <c r="AO85" s="167">
        <f>'PRECIOS CYE'!Y6</f>
        <v>0</v>
      </c>
    </row>
    <row r="86" spans="13:41">
      <c r="M86" s="631"/>
      <c r="N86" s="181" t="s">
        <v>116</v>
      </c>
      <c r="O86" s="188">
        <f>Y254</f>
        <v>113.12150000000001</v>
      </c>
      <c r="P86" s="200"/>
      <c r="Q86" s="200"/>
      <c r="R86" s="163">
        <f>AE254</f>
        <v>113.12150000000001</v>
      </c>
      <c r="S86" s="205"/>
      <c r="T86" s="205"/>
      <c r="U86" s="166">
        <f>AK254</f>
        <v>113.12150000000001</v>
      </c>
      <c r="W86" s="212"/>
      <c r="X86" s="218"/>
      <c r="Y86" s="165"/>
      <c r="Z86" s="165"/>
      <c r="AA86" s="163"/>
      <c r="AB86" s="163"/>
      <c r="AC86" s="205"/>
      <c r="AD86" s="218">
        <f>('INTRODUCIR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DATOS'!$D$17)+'INTRODUCIR DATOS'!$D$15+'INTRODUCIR DATOS'!$D$16+(('INTRODUCIR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DATOS'!$D$17)+'INTRODUCIR DATOS'!$D$16)*21/100</f>
        <v>1.0285</v>
      </c>
      <c r="AE86" s="165">
        <f>IF(AD86=0,"",'INTRODUCIR DATOS'!$D$14-AD86)</f>
        <v>113.12150000000001</v>
      </c>
      <c r="AF86" s="165">
        <f>IF(AD86=0,"",('INTRODUCIR DATOS'!$D$14-AD86)/'INTRODUCIR DATOS'!$D$14)</f>
        <v>0.99098992553657472</v>
      </c>
      <c r="AG86" s="163"/>
      <c r="AH86" s="163"/>
      <c r="AI86" s="166"/>
      <c r="AJ86" s="218">
        <f>('INTRODUCIR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DATOS'!$D$17)+'INTRODUCIR DATOS'!$D$15+'INTRODUCIR DATOS'!$D$16+(('INTRODUCIR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DATOS'!$D$17)+'INTRODUCIR DATOS'!$D$16)*21/100</f>
        <v>1.0285</v>
      </c>
      <c r="AK86" s="165">
        <f>IF(AJ86=0,"",'INTRODUCIR DATOS'!$D$14-AJ86)</f>
        <v>113.12150000000001</v>
      </c>
      <c r="AL86" s="165">
        <f>IF(AJ86=0,"",('INTRODUCIR DATOS'!$D$14-AJ86)/'INTRODUCIR DATOS'!$D$14)</f>
        <v>0.99098992553657472</v>
      </c>
      <c r="AM86" s="163"/>
      <c r="AN86" s="163"/>
      <c r="AO86" s="166"/>
    </row>
    <row r="87" spans="13:41">
      <c r="M87" s="631"/>
      <c r="N87" s="181" t="s">
        <v>60</v>
      </c>
      <c r="O87" s="188">
        <f>Y257</f>
        <v>113.12150000000001</v>
      </c>
      <c r="P87" s="200"/>
      <c r="Q87" s="200"/>
      <c r="R87" s="163">
        <f>AE257</f>
        <v>113.12150000000001</v>
      </c>
      <c r="S87" s="205"/>
      <c r="T87" s="205"/>
      <c r="U87" s="166">
        <f>AK257</f>
        <v>113.12150000000001</v>
      </c>
      <c r="W87" s="212" t="s">
        <v>205</v>
      </c>
      <c r="X87" s="217"/>
      <c r="Y87" s="163"/>
      <c r="Z87" s="163"/>
      <c r="AA87" s="163"/>
      <c r="AB87" s="163"/>
      <c r="AC87" s="205"/>
      <c r="AD87" s="217">
        <f>'PRECIOS CYE'!N19</f>
        <v>0</v>
      </c>
      <c r="AE87" s="163">
        <f>'PRECIOS CYE'!O19</f>
        <v>0</v>
      </c>
      <c r="AF87" s="163">
        <f>'PRECIOS CYE'!P19</f>
        <v>0</v>
      </c>
      <c r="AG87" s="163">
        <f>'PRECIOS CYE'!Q19</f>
        <v>0</v>
      </c>
      <c r="AH87" s="163">
        <f>'PRECIOS CYE'!R19</f>
        <v>0</v>
      </c>
      <c r="AI87" s="166">
        <f>'PRECIOS CYE'!S19</f>
        <v>0</v>
      </c>
      <c r="AJ87" s="172">
        <f>'PRECIOS CYE'!T19</f>
        <v>0</v>
      </c>
      <c r="AK87" s="163">
        <f>'PRECIOS CYE'!U19</f>
        <v>0</v>
      </c>
      <c r="AL87" s="163">
        <f>'PRECIOS CYE'!V19</f>
        <v>0</v>
      </c>
      <c r="AM87" s="163">
        <f>'PRECIOS CYE'!W19</f>
        <v>0</v>
      </c>
      <c r="AN87" s="163">
        <f>'PRECIOS CYE'!X19</f>
        <v>0</v>
      </c>
      <c r="AO87" s="166">
        <f>'PRECIOS CYE'!Y19</f>
        <v>0</v>
      </c>
    </row>
    <row r="88" spans="13:41">
      <c r="M88" s="631"/>
      <c r="N88" s="181" t="s">
        <v>62</v>
      </c>
      <c r="O88" s="188">
        <f>Y260</f>
        <v>113.12150000000001</v>
      </c>
      <c r="P88" s="200"/>
      <c r="Q88" s="200"/>
      <c r="R88" s="163">
        <f>AE260</f>
        <v>113.12150000000001</v>
      </c>
      <c r="S88" s="205"/>
      <c r="T88" s="205"/>
      <c r="U88" s="166">
        <f>AK260</f>
        <v>113.12150000000001</v>
      </c>
      <c r="W88" s="212" t="s">
        <v>115</v>
      </c>
      <c r="X88" s="217"/>
      <c r="Y88" s="163"/>
      <c r="Z88" s="163"/>
      <c r="AA88" s="163"/>
      <c r="AB88" s="163"/>
      <c r="AC88" s="205"/>
      <c r="AD88" s="217">
        <f>'PRECIOS CYE'!N6</f>
        <v>0</v>
      </c>
      <c r="AE88" s="163">
        <f>'PRECIOS CYE'!O6</f>
        <v>0</v>
      </c>
      <c r="AF88" s="163">
        <f>'PRECIOS CYE'!P6</f>
        <v>0</v>
      </c>
      <c r="AG88" s="163">
        <f>'PRECIOS CYE'!Q6</f>
        <v>0</v>
      </c>
      <c r="AH88" s="163">
        <f>'PRECIOS CYE'!R6</f>
        <v>0</v>
      </c>
      <c r="AI88" s="166">
        <f>'PRECIOS CYE'!S6</f>
        <v>0</v>
      </c>
      <c r="AJ88" s="172">
        <f>'PRECIOS CYE'!T6</f>
        <v>0</v>
      </c>
      <c r="AK88" s="163">
        <f>'PRECIOS CYE'!U6</f>
        <v>0</v>
      </c>
      <c r="AL88" s="163">
        <f>'PRECIOS CYE'!V6</f>
        <v>0</v>
      </c>
      <c r="AM88" s="163">
        <f>'PRECIOS CYE'!W6</f>
        <v>0</v>
      </c>
      <c r="AN88" s="163">
        <f>'PRECIOS CYE'!X6</f>
        <v>0</v>
      </c>
      <c r="AO88" s="166">
        <f>'PRECIOS CYE'!Y6</f>
        <v>0</v>
      </c>
    </row>
    <row r="89" spans="13:41">
      <c r="M89" s="631"/>
      <c r="N89" s="181" t="s">
        <v>63</v>
      </c>
      <c r="O89" s="188">
        <f>Y263</f>
        <v>113.12150000000001</v>
      </c>
      <c r="P89" s="200"/>
      <c r="Q89" s="200"/>
      <c r="R89" s="186"/>
      <c r="S89" s="206"/>
      <c r="T89" s="206"/>
      <c r="U89" s="189"/>
      <c r="W89" s="212"/>
      <c r="X89" s="218"/>
      <c r="Y89" s="165"/>
      <c r="Z89" s="165"/>
      <c r="AA89" s="163"/>
      <c r="AB89" s="163"/>
      <c r="AC89" s="205"/>
      <c r="AD89" s="218">
        <f>('INTRODUCIR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DATOS'!$D$17)+'INTRODUCIR DATOS'!$D$15+'INTRODUCIR DATOS'!$D$16+(('INTRODUCIR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DATOS'!$D$17)+'INTRODUCIR DATOS'!$D$16)*21/100</f>
        <v>1.0285</v>
      </c>
      <c r="AE89" s="165">
        <f>IF(AD89=0,"",'INTRODUCIR DATOS'!$D$14-AD89)</f>
        <v>113.12150000000001</v>
      </c>
      <c r="AF89" s="165">
        <f>IF(AD89=0,"",('INTRODUCIR DATOS'!$D$14-AD89)/'INTRODUCIR DATOS'!$D$14)</f>
        <v>0.99098992553657472</v>
      </c>
      <c r="AG89" s="163"/>
      <c r="AH89" s="163"/>
      <c r="AI89" s="166"/>
      <c r="AJ89" s="218">
        <f>('INTRODUCIR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DATOS'!$D$17)+'INTRODUCIR DATOS'!$D$15+'INTRODUCIR DATOS'!$D$16+(('INTRODUCIR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DATOS'!$D$17)+'INTRODUCIR DATOS'!$D$16)*21/100</f>
        <v>1.0285</v>
      </c>
      <c r="AK89" s="165">
        <f>IF(AJ89=0,"",'INTRODUCIR DATOS'!$D$14-AJ89)</f>
        <v>113.12150000000001</v>
      </c>
      <c r="AL89" s="165">
        <f>IF(AJ89=0,"",('INTRODUCIR DATOS'!$D$14-AJ89)/'INTRODUCIR DATOS'!$D$14)</f>
        <v>0.99098992553657472</v>
      </c>
      <c r="AM89" s="163"/>
      <c r="AN89" s="163"/>
      <c r="AO89" s="166"/>
    </row>
    <row r="90" spans="13:41">
      <c r="M90" s="631"/>
      <c r="N90" s="181" t="s">
        <v>65</v>
      </c>
      <c r="O90" s="188">
        <f>Y266</f>
        <v>113.12150000000001</v>
      </c>
      <c r="P90" s="200"/>
      <c r="Q90" s="200"/>
      <c r="R90" s="186"/>
      <c r="S90" s="206"/>
      <c r="T90" s="206"/>
      <c r="U90" s="189"/>
      <c r="W90" s="212" t="s">
        <v>205</v>
      </c>
      <c r="X90" s="217"/>
      <c r="Y90" s="163"/>
      <c r="Z90" s="163"/>
      <c r="AA90" s="163"/>
      <c r="AB90" s="163"/>
      <c r="AC90" s="205"/>
      <c r="AD90" s="217">
        <f>'PRECIOS CYE'!N20</f>
        <v>0</v>
      </c>
      <c r="AE90" s="163">
        <f>'PRECIOS CYE'!O20</f>
        <v>0</v>
      </c>
      <c r="AF90" s="163">
        <f>'PRECIOS CYE'!P20</f>
        <v>0</v>
      </c>
      <c r="AG90" s="163">
        <f>'PRECIOS CYE'!Q20</f>
        <v>0</v>
      </c>
      <c r="AH90" s="163">
        <f>'PRECIOS CYE'!R20</f>
        <v>0</v>
      </c>
      <c r="AI90" s="166">
        <f>'PRECIOS CYE'!S20</f>
        <v>0</v>
      </c>
      <c r="AJ90" s="172">
        <f>'PRECIOS CYE'!T20</f>
        <v>0</v>
      </c>
      <c r="AK90" s="163">
        <f>'PRECIOS CYE'!U20</f>
        <v>0</v>
      </c>
      <c r="AL90" s="163">
        <f>'PRECIOS CYE'!V20</f>
        <v>0</v>
      </c>
      <c r="AM90" s="163">
        <f>'PRECIOS CYE'!W20</f>
        <v>0</v>
      </c>
      <c r="AN90" s="163">
        <f>'PRECIOS CYE'!X20</f>
        <v>0</v>
      </c>
      <c r="AO90" s="166">
        <f>'PRECIOS CYE'!Y20</f>
        <v>0</v>
      </c>
    </row>
    <row r="91" spans="13:41">
      <c r="M91" s="631"/>
      <c r="N91" s="181" t="s">
        <v>199</v>
      </c>
      <c r="O91" s="188">
        <f>Y269</f>
        <v>113.12150000000001</v>
      </c>
      <c r="P91" s="200"/>
      <c r="Q91" s="200"/>
      <c r="R91" s="186"/>
      <c r="S91" s="206"/>
      <c r="T91" s="206"/>
      <c r="U91" s="189"/>
      <c r="W91" s="212" t="s">
        <v>116</v>
      </c>
      <c r="X91" s="217"/>
      <c r="Y91" s="163"/>
      <c r="Z91" s="163"/>
      <c r="AA91" s="163"/>
      <c r="AB91" s="163"/>
      <c r="AC91" s="205"/>
      <c r="AD91" s="217">
        <f>'PRECIOS CYE'!N6</f>
        <v>0</v>
      </c>
      <c r="AE91" s="163">
        <f>'PRECIOS CYE'!O6</f>
        <v>0</v>
      </c>
      <c r="AF91" s="163">
        <f>'PRECIOS CYE'!P6</f>
        <v>0</v>
      </c>
      <c r="AG91" s="163">
        <f>'PRECIOS CYE'!Q6</f>
        <v>0</v>
      </c>
      <c r="AH91" s="163">
        <f>'PRECIOS CYE'!R6</f>
        <v>0</v>
      </c>
      <c r="AI91" s="166">
        <f>'PRECIOS CYE'!S6</f>
        <v>0</v>
      </c>
      <c r="AJ91" s="172">
        <f>'PRECIOS CYE'!T6</f>
        <v>0</v>
      </c>
      <c r="AK91" s="163">
        <f>'PRECIOS CYE'!U6</f>
        <v>0</v>
      </c>
      <c r="AL91" s="163">
        <f>'PRECIOS CYE'!V6</f>
        <v>0</v>
      </c>
      <c r="AM91" s="163">
        <f>'PRECIOS CYE'!W6</f>
        <v>0</v>
      </c>
      <c r="AN91" s="163">
        <f>'PRECIOS CYE'!X6</f>
        <v>0</v>
      </c>
      <c r="AO91" s="166">
        <f>'PRECIOS CYE'!Y6</f>
        <v>0</v>
      </c>
    </row>
    <row r="92" spans="13:41" ht="14.45" thickBot="1">
      <c r="M92" s="632"/>
      <c r="N92" s="182" t="s">
        <v>200</v>
      </c>
      <c r="O92" s="190">
        <f>Y272</f>
        <v>113.12150000000001</v>
      </c>
      <c r="P92" s="202"/>
      <c r="Q92" s="202"/>
      <c r="R92" s="191"/>
      <c r="S92" s="208"/>
      <c r="T92" s="208"/>
      <c r="U92" s="192"/>
      <c r="W92" s="212"/>
      <c r="X92" s="218"/>
      <c r="Y92" s="165"/>
      <c r="Z92" s="165"/>
      <c r="AA92" s="163"/>
      <c r="AB92" s="163"/>
      <c r="AC92" s="205"/>
      <c r="AD92" s="218">
        <f>('INTRODUCIR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DATOS'!$D$17)+'INTRODUCIR DATOS'!$D$15+'INTRODUCIR DATOS'!$D$16+(('INTRODUCIR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DATOS'!$D$17)+'INTRODUCIR DATOS'!$D$16)*21/100</f>
        <v>1.0285</v>
      </c>
      <c r="AE92" s="165">
        <f>IF(AD92=0,"",'INTRODUCIR DATOS'!$D$14-AD92)</f>
        <v>113.12150000000001</v>
      </c>
      <c r="AF92" s="165">
        <f>IF(AD92=0,"",('INTRODUCIR DATOS'!$D$14-AD92)/'INTRODUCIR DATOS'!$D$14)</f>
        <v>0.99098992553657472</v>
      </c>
      <c r="AG92" s="163"/>
      <c r="AH92" s="163"/>
      <c r="AI92" s="166"/>
      <c r="AJ92" s="218">
        <f>('INTRODUCIR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DATOS'!$D$17)+'INTRODUCIR DATOS'!$D$15+'INTRODUCIR DATOS'!$D$16+(('INTRODUCIR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DATOS'!$D$17)+'INTRODUCIR DATOS'!$D$16)*21/100</f>
        <v>1.0285</v>
      </c>
      <c r="AK92" s="165">
        <f>IF(AJ92=0,"",'INTRODUCIR DATOS'!$D$14-AJ92)</f>
        <v>113.12150000000001</v>
      </c>
      <c r="AL92" s="165">
        <f>IF(AJ92=0,"",('INTRODUCIR DATOS'!$D$14-AJ92)/'INTRODUCIR DATOS'!$D$14)</f>
        <v>0.99098992553657472</v>
      </c>
      <c r="AM92" s="163"/>
      <c r="AN92" s="163"/>
      <c r="AO92" s="166"/>
    </row>
    <row r="93" spans="13:41">
      <c r="M93" s="637" t="s">
        <v>211</v>
      </c>
      <c r="N93" s="197" t="s">
        <v>41</v>
      </c>
      <c r="O93" s="198">
        <f>Y275</f>
        <v>113.12150000000001</v>
      </c>
      <c r="P93" s="203"/>
      <c r="Q93" s="203"/>
      <c r="R93" s="174">
        <f>AE275</f>
        <v>113.12150000000001</v>
      </c>
      <c r="S93" s="209"/>
      <c r="T93" s="209"/>
      <c r="U93" s="175">
        <f>AK275</f>
        <v>113.12150000000001</v>
      </c>
      <c r="W93" s="212" t="s">
        <v>205</v>
      </c>
      <c r="X93" s="217"/>
      <c r="Y93" s="163"/>
      <c r="Z93" s="163"/>
      <c r="AA93" s="163"/>
      <c r="AB93" s="163"/>
      <c r="AC93" s="205"/>
      <c r="AD93" s="217">
        <f>'PRECIOS CYE'!N21</f>
        <v>0</v>
      </c>
      <c r="AE93" s="163">
        <f>'PRECIOS CYE'!O21</f>
        <v>0</v>
      </c>
      <c r="AF93" s="163">
        <f>'PRECIOS CYE'!P21</f>
        <v>0</v>
      </c>
      <c r="AG93" s="163">
        <f>'PRECIOS CYE'!Q21</f>
        <v>0</v>
      </c>
      <c r="AH93" s="163">
        <f>'PRECIOS CYE'!R21</f>
        <v>0</v>
      </c>
      <c r="AI93" s="166">
        <f>'PRECIOS CYE'!S21</f>
        <v>0</v>
      </c>
      <c r="AJ93" s="172">
        <f>'PRECIOS CYE'!T21</f>
        <v>0</v>
      </c>
      <c r="AK93" s="163">
        <f>'PRECIOS CYE'!U21</f>
        <v>0</v>
      </c>
      <c r="AL93" s="163">
        <f>'PRECIOS CYE'!V21</f>
        <v>0</v>
      </c>
      <c r="AM93" s="163">
        <f>'PRECIOS CYE'!W21</f>
        <v>0</v>
      </c>
      <c r="AN93" s="163">
        <f>'PRECIOS CYE'!X21</f>
        <v>0</v>
      </c>
      <c r="AO93" s="166">
        <f>'PRECIOS CYE'!Y21</f>
        <v>0</v>
      </c>
    </row>
    <row r="94" spans="13:41">
      <c r="M94" s="637"/>
      <c r="N94" s="181" t="s">
        <v>115</v>
      </c>
      <c r="O94" s="188">
        <f>Y278</f>
        <v>113.12150000000001</v>
      </c>
      <c r="P94" s="200"/>
      <c r="Q94" s="200"/>
      <c r="R94" s="163">
        <f>AE278</f>
        <v>113.12150000000001</v>
      </c>
      <c r="S94" s="205"/>
      <c r="T94" s="205"/>
      <c r="U94" s="166">
        <f>AK278</f>
        <v>113.12150000000001</v>
      </c>
      <c r="W94" s="212" t="s">
        <v>60</v>
      </c>
      <c r="X94" s="217"/>
      <c r="Y94" s="163"/>
      <c r="Z94" s="163"/>
      <c r="AA94" s="163"/>
      <c r="AB94" s="163"/>
      <c r="AC94" s="205"/>
      <c r="AD94" s="217">
        <f>'PRECIOS CYE'!N6</f>
        <v>0</v>
      </c>
      <c r="AE94" s="163">
        <f>'PRECIOS CYE'!O6</f>
        <v>0</v>
      </c>
      <c r="AF94" s="163">
        <f>'PRECIOS CYE'!P6</f>
        <v>0</v>
      </c>
      <c r="AG94" s="163">
        <f>'PRECIOS CYE'!Q6</f>
        <v>0</v>
      </c>
      <c r="AH94" s="163">
        <f>'PRECIOS CYE'!R6</f>
        <v>0</v>
      </c>
      <c r="AI94" s="166">
        <f>'PRECIOS CYE'!S6</f>
        <v>0</v>
      </c>
      <c r="AJ94" s="172">
        <f>'PRECIOS CYE'!T6</f>
        <v>0</v>
      </c>
      <c r="AK94" s="163">
        <f>'PRECIOS CYE'!U6</f>
        <v>0</v>
      </c>
      <c r="AL94" s="163">
        <f>'PRECIOS CYE'!V6</f>
        <v>0</v>
      </c>
      <c r="AM94" s="163">
        <f>'PRECIOS CYE'!W6</f>
        <v>0</v>
      </c>
      <c r="AN94" s="163">
        <f>'PRECIOS CYE'!X6</f>
        <v>0</v>
      </c>
      <c r="AO94" s="166">
        <f>'PRECIOS CYE'!Y6</f>
        <v>0</v>
      </c>
    </row>
    <row r="95" spans="13:41">
      <c r="M95" s="637"/>
      <c r="N95" s="181" t="s">
        <v>116</v>
      </c>
      <c r="O95" s="188">
        <f>Y281</f>
        <v>113.12150000000001</v>
      </c>
      <c r="P95" s="200"/>
      <c r="Q95" s="200"/>
      <c r="R95" s="163">
        <f>AE281</f>
        <v>113.12150000000001</v>
      </c>
      <c r="S95" s="205"/>
      <c r="T95" s="205"/>
      <c r="U95" s="166">
        <f>AK281</f>
        <v>113.12150000000001</v>
      </c>
      <c r="W95" s="212"/>
      <c r="X95" s="218"/>
      <c r="Y95" s="165"/>
      <c r="Z95" s="165"/>
      <c r="AA95" s="163"/>
      <c r="AB95" s="163"/>
      <c r="AC95" s="205"/>
      <c r="AD95" s="218">
        <f>('INTRODUCIR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DATOS'!$D$17)+'INTRODUCIR DATOS'!$D$15+'INTRODUCIR DATOS'!$D$16+(('INTRODUCIR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DATOS'!$D$17)+'INTRODUCIR DATOS'!$D$16)*21/100</f>
        <v>1.0285</v>
      </c>
      <c r="AE95" s="165">
        <f>IF(AD95=0,"",'INTRODUCIR DATOS'!$D$14-AD95)</f>
        <v>113.12150000000001</v>
      </c>
      <c r="AF95" s="165">
        <f>IF(AD95=0,"",('INTRODUCIR DATOS'!$D$14-AD95)/'INTRODUCIR DATOS'!$D$14)</f>
        <v>0.99098992553657472</v>
      </c>
      <c r="AG95" s="163"/>
      <c r="AH95" s="163"/>
      <c r="AI95" s="166"/>
      <c r="AJ95" s="218">
        <f>('INTRODUCIR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DATOS'!$D$17)+'INTRODUCIR DATOS'!$D$15+'INTRODUCIR DATOS'!$D$16+(('INTRODUCIR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DATOS'!$D$17)+'INTRODUCIR DATOS'!$D$16)*21/100</f>
        <v>1.0285</v>
      </c>
      <c r="AK95" s="165">
        <f>IF(AJ95=0,"",'INTRODUCIR DATOS'!$D$14-AJ95)</f>
        <v>113.12150000000001</v>
      </c>
      <c r="AL95" s="165">
        <f>IF(AJ95=0,"",('INTRODUCIR DATOS'!$D$14-AJ95)/'INTRODUCIR DATOS'!$D$14)</f>
        <v>0.99098992553657472</v>
      </c>
      <c r="AM95" s="163"/>
      <c r="AN95" s="163"/>
      <c r="AO95" s="166"/>
    </row>
    <row r="96" spans="13:41">
      <c r="M96" s="637"/>
      <c r="N96" s="181" t="s">
        <v>60</v>
      </c>
      <c r="O96" s="188">
        <f>Y284</f>
        <v>113.12150000000001</v>
      </c>
      <c r="P96" s="200"/>
      <c r="Q96" s="200"/>
      <c r="R96" s="163">
        <f>AE284</f>
        <v>113.12150000000001</v>
      </c>
      <c r="S96" s="205"/>
      <c r="T96" s="205"/>
      <c r="U96" s="166">
        <f>AK284</f>
        <v>113.12150000000001</v>
      </c>
      <c r="W96" s="212" t="s">
        <v>205</v>
      </c>
      <c r="X96" s="217"/>
      <c r="Y96" s="163"/>
      <c r="Z96" s="163"/>
      <c r="AA96" s="163"/>
      <c r="AB96" s="163"/>
      <c r="AC96" s="205"/>
      <c r="AD96" s="217">
        <f>'PRECIOS CYE'!N22</f>
        <v>0</v>
      </c>
      <c r="AE96" s="163">
        <f>'PRECIOS CYE'!O22</f>
        <v>0</v>
      </c>
      <c r="AF96" s="163">
        <f>'PRECIOS CYE'!P22</f>
        <v>0</v>
      </c>
      <c r="AG96" s="163">
        <f>'PRECIOS CYE'!Q22</f>
        <v>0</v>
      </c>
      <c r="AH96" s="163">
        <f>'PRECIOS CYE'!R22</f>
        <v>0</v>
      </c>
      <c r="AI96" s="166">
        <f>'PRECIOS CYE'!S22</f>
        <v>0</v>
      </c>
      <c r="AJ96" s="172">
        <f>'PRECIOS CYE'!T22</f>
        <v>0</v>
      </c>
      <c r="AK96" s="163">
        <f>'PRECIOS CYE'!U22</f>
        <v>0</v>
      </c>
      <c r="AL96" s="163">
        <f>'PRECIOS CYE'!V22</f>
        <v>0</v>
      </c>
      <c r="AM96" s="163">
        <f>'PRECIOS CYE'!W22</f>
        <v>0</v>
      </c>
      <c r="AN96" s="163">
        <f>'PRECIOS CYE'!X22</f>
        <v>0</v>
      </c>
      <c r="AO96" s="166">
        <f>'PRECIOS CYE'!Y22</f>
        <v>0</v>
      </c>
    </row>
    <row r="97" spans="13:41">
      <c r="M97" s="637"/>
      <c r="N97" s="181" t="s">
        <v>62</v>
      </c>
      <c r="O97" s="188">
        <f>Y287</f>
        <v>113.12150000000001</v>
      </c>
      <c r="P97" s="200"/>
      <c r="Q97" s="200"/>
      <c r="R97" s="163">
        <f>AE287</f>
        <v>113.12150000000001</v>
      </c>
      <c r="S97" s="205"/>
      <c r="T97" s="205"/>
      <c r="U97" s="166">
        <f>AK287</f>
        <v>113.12150000000001</v>
      </c>
      <c r="W97" s="212" t="s">
        <v>62</v>
      </c>
      <c r="X97" s="217"/>
      <c r="Y97" s="163"/>
      <c r="Z97" s="163"/>
      <c r="AA97" s="163"/>
      <c r="AB97" s="163"/>
      <c r="AC97" s="205"/>
      <c r="AD97" s="217">
        <f>'PRECIOS CYE'!N6</f>
        <v>0</v>
      </c>
      <c r="AE97" s="163">
        <f>'PRECIOS CYE'!O6</f>
        <v>0</v>
      </c>
      <c r="AF97" s="163">
        <f>'PRECIOS CYE'!P6</f>
        <v>0</v>
      </c>
      <c r="AG97" s="163">
        <f>'PRECIOS CYE'!Q6</f>
        <v>0</v>
      </c>
      <c r="AH97" s="163">
        <f>'PRECIOS CYE'!R6</f>
        <v>0</v>
      </c>
      <c r="AI97" s="166">
        <f>'PRECIOS CYE'!S6</f>
        <v>0</v>
      </c>
      <c r="AJ97" s="172">
        <f>'PRECIOS CYE'!T6</f>
        <v>0</v>
      </c>
      <c r="AK97" s="163">
        <f>'PRECIOS CYE'!U6</f>
        <v>0</v>
      </c>
      <c r="AL97" s="163">
        <f>'PRECIOS CYE'!V6</f>
        <v>0</v>
      </c>
      <c r="AM97" s="163">
        <f>'PRECIOS CYE'!W6</f>
        <v>0</v>
      </c>
      <c r="AN97" s="163">
        <f>'PRECIOS CYE'!X6</f>
        <v>0</v>
      </c>
      <c r="AO97" s="166">
        <f>'PRECIOS CYE'!Y6</f>
        <v>0</v>
      </c>
    </row>
    <row r="98" spans="13:41">
      <c r="M98" s="637"/>
      <c r="N98" s="181" t="s">
        <v>63</v>
      </c>
      <c r="O98" s="188">
        <f>Y290</f>
        <v>113.12150000000001</v>
      </c>
      <c r="P98" s="200"/>
      <c r="Q98" s="200"/>
      <c r="R98" s="186"/>
      <c r="S98" s="206"/>
      <c r="T98" s="206"/>
      <c r="U98" s="189"/>
      <c r="W98" s="212"/>
      <c r="X98" s="218"/>
      <c r="Y98" s="165"/>
      <c r="Z98" s="165"/>
      <c r="AA98" s="163"/>
      <c r="AB98" s="163"/>
      <c r="AC98" s="205"/>
      <c r="AD98" s="218">
        <f>('INTRODUCIR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DATOS'!$D$17)+'INTRODUCIR DATOS'!$D$15+'INTRODUCIR DATOS'!$D$16+(('INTRODUCIR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DATOS'!$D$17)+'INTRODUCIR DATOS'!$D$16)*21/100</f>
        <v>1.0285</v>
      </c>
      <c r="AE98" s="165">
        <f>IF(AD98=0,"",'INTRODUCIR DATOS'!$D$14-AD98)</f>
        <v>113.12150000000001</v>
      </c>
      <c r="AF98" s="165">
        <f>IF(AD98=0,"",('INTRODUCIR DATOS'!$D$14-AD98)/'INTRODUCIR DATOS'!$D$14)</f>
        <v>0.99098992553657472</v>
      </c>
      <c r="AG98" s="163"/>
      <c r="AH98" s="163"/>
      <c r="AI98" s="166"/>
      <c r="AJ98" s="218">
        <f>('INTRODUCIR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DATOS'!$D$17)+'INTRODUCIR DATOS'!$D$15+'INTRODUCIR DATOS'!$D$16+(('INTRODUCIR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DATOS'!$D$17)+'INTRODUCIR DATOS'!$D$16)*21/100</f>
        <v>1.0285</v>
      </c>
      <c r="AK98" s="165">
        <f>IF(AJ98=0,"",'INTRODUCIR DATOS'!$D$14-AJ98)</f>
        <v>113.12150000000001</v>
      </c>
      <c r="AL98" s="165">
        <f>IF(AJ98=0,"",('INTRODUCIR DATOS'!$D$14-AJ98)/'INTRODUCIR DATOS'!$D$14)</f>
        <v>0.99098992553657472</v>
      </c>
      <c r="AM98" s="163"/>
      <c r="AN98" s="163"/>
      <c r="AO98" s="166"/>
    </row>
    <row r="99" spans="13:41">
      <c r="M99" s="637"/>
      <c r="N99" s="181" t="s">
        <v>65</v>
      </c>
      <c r="O99" s="188">
        <f>Y293</f>
        <v>113.12150000000001</v>
      </c>
      <c r="P99" s="200"/>
      <c r="Q99" s="200"/>
      <c r="R99" s="186"/>
      <c r="S99" s="206"/>
      <c r="T99" s="206"/>
      <c r="U99" s="189"/>
      <c r="W99" s="212" t="s">
        <v>205</v>
      </c>
      <c r="X99" s="217"/>
      <c r="Y99" s="163"/>
      <c r="Z99" s="163"/>
      <c r="AA99" s="163"/>
      <c r="AB99" s="163"/>
      <c r="AC99" s="205"/>
      <c r="AD99" s="217"/>
      <c r="AE99" s="163"/>
      <c r="AF99" s="163"/>
      <c r="AG99" s="163"/>
      <c r="AH99" s="163"/>
      <c r="AI99" s="166"/>
      <c r="AJ99" s="172"/>
      <c r="AK99" s="163"/>
      <c r="AL99" s="163"/>
      <c r="AM99" s="163"/>
      <c r="AN99" s="163"/>
      <c r="AO99" s="166"/>
    </row>
    <row r="100" spans="13:41">
      <c r="M100" s="637"/>
      <c r="N100" s="181" t="s">
        <v>199</v>
      </c>
      <c r="O100" s="188">
        <f>Y296</f>
        <v>113.12150000000001</v>
      </c>
      <c r="P100" s="200"/>
      <c r="Q100" s="200"/>
      <c r="R100" s="186"/>
      <c r="S100" s="206"/>
      <c r="T100" s="206"/>
      <c r="U100" s="189"/>
      <c r="W100" s="212" t="s">
        <v>63</v>
      </c>
      <c r="X100" s="217"/>
      <c r="Y100" s="163"/>
      <c r="Z100" s="163"/>
      <c r="AA100" s="163"/>
      <c r="AB100" s="163"/>
      <c r="AC100" s="205"/>
      <c r="AD100" s="217"/>
      <c r="AE100" s="163"/>
      <c r="AF100" s="163"/>
      <c r="AG100" s="163"/>
      <c r="AH100" s="163"/>
      <c r="AI100" s="166"/>
      <c r="AJ100" s="172"/>
      <c r="AK100" s="163"/>
      <c r="AL100" s="163"/>
      <c r="AM100" s="163"/>
      <c r="AN100" s="163"/>
      <c r="AO100" s="166"/>
    </row>
    <row r="101" spans="13:41" ht="14.45" thickBot="1">
      <c r="M101" s="638"/>
      <c r="N101" s="193" t="s">
        <v>200</v>
      </c>
      <c r="O101" s="194">
        <f>Y299</f>
        <v>113.12150000000001</v>
      </c>
      <c r="P101" s="201"/>
      <c r="Q101" s="201"/>
      <c r="R101" s="195"/>
      <c r="S101" s="207"/>
      <c r="T101" s="207"/>
      <c r="U101" s="196"/>
      <c r="W101" s="212"/>
      <c r="X101" s="218"/>
      <c r="Y101" s="165"/>
      <c r="Z101" s="165"/>
      <c r="AA101" s="163"/>
      <c r="AB101" s="163"/>
      <c r="AC101" s="205"/>
      <c r="AD101" s="218"/>
      <c r="AE101" s="165"/>
      <c r="AF101" s="165"/>
      <c r="AG101" s="163"/>
      <c r="AH101" s="163"/>
      <c r="AI101" s="166"/>
      <c r="AJ101" s="173"/>
      <c r="AK101" s="165"/>
      <c r="AL101" s="165"/>
      <c r="AM101" s="163"/>
      <c r="AN101" s="163"/>
      <c r="AO101" s="166"/>
    </row>
    <row r="102" spans="13:41">
      <c r="M102" s="636" t="s">
        <v>212</v>
      </c>
      <c r="N102" s="180" t="s">
        <v>41</v>
      </c>
      <c r="O102" s="187">
        <f>Y302</f>
        <v>113.12150000000001</v>
      </c>
      <c r="P102" s="199"/>
      <c r="Q102" s="199"/>
      <c r="R102" s="177">
        <f>AE302</f>
        <v>113.12150000000001</v>
      </c>
      <c r="S102" s="204"/>
      <c r="T102" s="204"/>
      <c r="U102" s="178">
        <f>AK302</f>
        <v>113.12150000000001</v>
      </c>
      <c r="W102" s="212" t="s">
        <v>205</v>
      </c>
      <c r="X102" s="217"/>
      <c r="Y102" s="163"/>
      <c r="Z102" s="163"/>
      <c r="AA102" s="163"/>
      <c r="AB102" s="163"/>
      <c r="AC102" s="205"/>
      <c r="AD102" s="217"/>
      <c r="AE102" s="163"/>
      <c r="AF102" s="163"/>
      <c r="AG102" s="163"/>
      <c r="AH102" s="163"/>
      <c r="AI102" s="166"/>
      <c r="AJ102" s="172"/>
      <c r="AK102" s="163"/>
      <c r="AL102" s="163"/>
      <c r="AM102" s="163"/>
      <c r="AN102" s="163"/>
      <c r="AO102" s="166"/>
    </row>
    <row r="103" spans="13:41">
      <c r="M103" s="631"/>
      <c r="N103" s="181" t="s">
        <v>115</v>
      </c>
      <c r="O103" s="188">
        <f>Y305</f>
        <v>113.12150000000001</v>
      </c>
      <c r="P103" s="200"/>
      <c r="Q103" s="200"/>
      <c r="R103" s="163">
        <f>AE305</f>
        <v>113.12150000000001</v>
      </c>
      <c r="S103" s="205"/>
      <c r="T103" s="205"/>
      <c r="U103" s="166">
        <f>AK305</f>
        <v>113.12150000000001</v>
      </c>
      <c r="W103" s="212" t="s">
        <v>65</v>
      </c>
      <c r="X103" s="217"/>
      <c r="Y103" s="163"/>
      <c r="Z103" s="163"/>
      <c r="AA103" s="163"/>
      <c r="AB103" s="163"/>
      <c r="AC103" s="205"/>
      <c r="AD103" s="217"/>
      <c r="AE103" s="163"/>
      <c r="AF103" s="163"/>
      <c r="AG103" s="163"/>
      <c r="AH103" s="163"/>
      <c r="AI103" s="166"/>
      <c r="AJ103" s="172"/>
      <c r="AK103" s="163"/>
      <c r="AL103" s="163"/>
      <c r="AM103" s="163"/>
      <c r="AN103" s="163"/>
      <c r="AO103" s="166"/>
    </row>
    <row r="104" spans="13:41">
      <c r="M104" s="631"/>
      <c r="N104" s="181" t="s">
        <v>116</v>
      </c>
      <c r="O104" s="188">
        <f>Y308</f>
        <v>113.12150000000001</v>
      </c>
      <c r="P104" s="200"/>
      <c r="Q104" s="200"/>
      <c r="R104" s="163">
        <f>AE308</f>
        <v>113.12150000000001</v>
      </c>
      <c r="S104" s="205"/>
      <c r="T104" s="205"/>
      <c r="U104" s="166">
        <f>AK308</f>
        <v>113.12150000000001</v>
      </c>
      <c r="W104" s="212"/>
      <c r="X104" s="218"/>
      <c r="Y104" s="165"/>
      <c r="Z104" s="165"/>
      <c r="AA104" s="163"/>
      <c r="AB104" s="163"/>
      <c r="AC104" s="205"/>
      <c r="AD104" s="218"/>
      <c r="AE104" s="165"/>
      <c r="AF104" s="165"/>
      <c r="AG104" s="163"/>
      <c r="AH104" s="163"/>
      <c r="AI104" s="166"/>
      <c r="AJ104" s="173"/>
      <c r="AK104" s="165"/>
      <c r="AL104" s="165"/>
      <c r="AM104" s="163"/>
      <c r="AN104" s="163"/>
      <c r="AO104" s="166"/>
    </row>
    <row r="105" spans="13:41">
      <c r="M105" s="631"/>
      <c r="N105" s="181" t="s">
        <v>60</v>
      </c>
      <c r="O105" s="188">
        <f>Y311</f>
        <v>113.12150000000001</v>
      </c>
      <c r="P105" s="200"/>
      <c r="Q105" s="200"/>
      <c r="R105" s="163">
        <f>AE311</f>
        <v>113.12150000000001</v>
      </c>
      <c r="S105" s="205"/>
      <c r="T105" s="205"/>
      <c r="U105" s="166">
        <f>AK311</f>
        <v>113.12150000000001</v>
      </c>
      <c r="W105" s="212" t="s">
        <v>205</v>
      </c>
      <c r="X105" s="217"/>
      <c r="Y105" s="163"/>
      <c r="Z105" s="163"/>
      <c r="AA105" s="163"/>
      <c r="AB105" s="163"/>
      <c r="AC105" s="205"/>
      <c r="AD105" s="217"/>
      <c r="AE105" s="163"/>
      <c r="AF105" s="163"/>
      <c r="AG105" s="163"/>
      <c r="AH105" s="163"/>
      <c r="AI105" s="166"/>
      <c r="AJ105" s="172"/>
      <c r="AK105" s="163"/>
      <c r="AL105" s="163"/>
      <c r="AM105" s="163"/>
      <c r="AN105" s="163"/>
      <c r="AO105" s="166"/>
    </row>
    <row r="106" spans="13:41">
      <c r="M106" s="631"/>
      <c r="N106" s="181" t="s">
        <v>62</v>
      </c>
      <c r="O106" s="188">
        <f>Y314</f>
        <v>113.12150000000001</v>
      </c>
      <c r="P106" s="200"/>
      <c r="Q106" s="200"/>
      <c r="R106" s="163">
        <f>AE314</f>
        <v>113.12150000000001</v>
      </c>
      <c r="S106" s="205"/>
      <c r="T106" s="205"/>
      <c r="U106" s="166">
        <f>AK314</f>
        <v>113.12150000000001</v>
      </c>
      <c r="W106" s="212" t="s">
        <v>199</v>
      </c>
      <c r="X106" s="217"/>
      <c r="Y106" s="163"/>
      <c r="Z106" s="163"/>
      <c r="AA106" s="163"/>
      <c r="AB106" s="163"/>
      <c r="AC106" s="205"/>
      <c r="AD106" s="217"/>
      <c r="AE106" s="163"/>
      <c r="AF106" s="163"/>
      <c r="AG106" s="163"/>
      <c r="AH106" s="163"/>
      <c r="AI106" s="166"/>
      <c r="AJ106" s="172"/>
      <c r="AK106" s="163"/>
      <c r="AL106" s="163"/>
      <c r="AM106" s="163"/>
      <c r="AN106" s="163"/>
      <c r="AO106" s="166"/>
    </row>
    <row r="107" spans="13:41">
      <c r="M107" s="631"/>
      <c r="N107" s="181" t="s">
        <v>63</v>
      </c>
      <c r="O107" s="188">
        <f>Y317</f>
        <v>113.12150000000001</v>
      </c>
      <c r="P107" s="200"/>
      <c r="Q107" s="200"/>
      <c r="R107" s="186"/>
      <c r="S107" s="206"/>
      <c r="T107" s="206"/>
      <c r="U107" s="189"/>
      <c r="W107" s="212"/>
      <c r="X107" s="218"/>
      <c r="Y107" s="165"/>
      <c r="Z107" s="165"/>
      <c r="AA107" s="163"/>
      <c r="AB107" s="163"/>
      <c r="AC107" s="205"/>
      <c r="AD107" s="218"/>
      <c r="AE107" s="165"/>
      <c r="AF107" s="165"/>
      <c r="AG107" s="163"/>
      <c r="AH107" s="163"/>
      <c r="AI107" s="166"/>
      <c r="AJ107" s="173"/>
      <c r="AK107" s="165"/>
      <c r="AL107" s="165"/>
      <c r="AM107" s="163"/>
      <c r="AN107" s="163"/>
      <c r="AO107" s="166"/>
    </row>
    <row r="108" spans="13:41">
      <c r="M108" s="631"/>
      <c r="N108" s="181" t="s">
        <v>65</v>
      </c>
      <c r="O108" s="188">
        <f>Y320</f>
        <v>113.12150000000001</v>
      </c>
      <c r="P108" s="200"/>
      <c r="Q108" s="200"/>
      <c r="R108" s="186"/>
      <c r="S108" s="206"/>
      <c r="T108" s="206"/>
      <c r="U108" s="189"/>
      <c r="W108" s="212" t="s">
        <v>205</v>
      </c>
      <c r="X108" s="217"/>
      <c r="Y108" s="163"/>
      <c r="Z108" s="163"/>
      <c r="AA108" s="163"/>
      <c r="AB108" s="163"/>
      <c r="AC108" s="205"/>
      <c r="AD108" s="217"/>
      <c r="AE108" s="163"/>
      <c r="AF108" s="163"/>
      <c r="AG108" s="163"/>
      <c r="AH108" s="163"/>
      <c r="AI108" s="166"/>
      <c r="AJ108" s="172"/>
      <c r="AK108" s="163"/>
      <c r="AL108" s="163"/>
      <c r="AM108" s="163"/>
      <c r="AN108" s="163"/>
      <c r="AO108" s="166"/>
    </row>
    <row r="109" spans="13:41">
      <c r="M109" s="631"/>
      <c r="N109" s="181" t="s">
        <v>199</v>
      </c>
      <c r="O109" s="188">
        <f>Y323</f>
        <v>113.12150000000001</v>
      </c>
      <c r="P109" s="200"/>
      <c r="Q109" s="200"/>
      <c r="R109" s="186"/>
      <c r="S109" s="206"/>
      <c r="T109" s="206"/>
      <c r="U109" s="189"/>
      <c r="W109" s="212" t="s">
        <v>200</v>
      </c>
      <c r="X109" s="217"/>
      <c r="Y109" s="163"/>
      <c r="Z109" s="163"/>
      <c r="AA109" s="163"/>
      <c r="AB109" s="163"/>
      <c r="AC109" s="205"/>
      <c r="AD109" s="217"/>
      <c r="AE109" s="163"/>
      <c r="AF109" s="163"/>
      <c r="AG109" s="163"/>
      <c r="AH109" s="163"/>
      <c r="AI109" s="166"/>
      <c r="AJ109" s="172"/>
      <c r="AK109" s="163"/>
      <c r="AL109" s="163"/>
      <c r="AM109" s="163"/>
      <c r="AN109" s="163"/>
      <c r="AO109" s="166"/>
    </row>
    <row r="110" spans="13:41" ht="14.45" thickBot="1">
      <c r="M110" s="632"/>
      <c r="N110" s="182" t="s">
        <v>200</v>
      </c>
      <c r="O110" s="190">
        <f>Y326</f>
        <v>113.12150000000001</v>
      </c>
      <c r="P110" s="202"/>
      <c r="Q110" s="202"/>
      <c r="R110" s="191"/>
      <c r="S110" s="208"/>
      <c r="T110" s="208"/>
      <c r="U110" s="192"/>
      <c r="W110" s="212"/>
      <c r="X110" s="218"/>
      <c r="Y110" s="165"/>
      <c r="Z110" s="165"/>
      <c r="AA110" s="163"/>
      <c r="AB110" s="163"/>
      <c r="AC110" s="205"/>
      <c r="AD110" s="218"/>
      <c r="AE110" s="165"/>
      <c r="AF110" s="165"/>
      <c r="AG110" s="163"/>
      <c r="AH110" s="163"/>
      <c r="AI110" s="166"/>
      <c r="AJ110" s="173"/>
      <c r="AK110" s="165"/>
      <c r="AL110" s="165"/>
      <c r="AM110" s="163"/>
      <c r="AN110" s="163"/>
      <c r="AO110" s="166"/>
    </row>
    <row r="111" spans="13:41">
      <c r="M111" s="630" t="s">
        <v>213</v>
      </c>
      <c r="N111" s="197" t="s">
        <v>41</v>
      </c>
      <c r="O111" s="198">
        <f>Y329</f>
        <v>113.12150000000001</v>
      </c>
      <c r="P111" s="203"/>
      <c r="Q111" s="203"/>
      <c r="R111" s="174">
        <f>AE329</f>
        <v>113.12150000000001</v>
      </c>
      <c r="S111" s="209"/>
      <c r="T111" s="209"/>
      <c r="U111" s="175">
        <f>AK329</f>
        <v>113.12150000000001</v>
      </c>
      <c r="W111" s="212" t="s">
        <v>76</v>
      </c>
      <c r="X111" s="218"/>
      <c r="Y111" s="164"/>
      <c r="Z111" s="164"/>
      <c r="AA111" s="164"/>
      <c r="AB111" s="164"/>
      <c r="AC111" s="219"/>
      <c r="AD111" s="218">
        <f>'PRECIOS CYE'!N18</f>
        <v>0</v>
      </c>
      <c r="AE111" s="164">
        <f>'PRECIOS CYE'!O18</f>
        <v>0</v>
      </c>
      <c r="AF111" s="164">
        <f>'PRECIOS CYE'!P18</f>
        <v>0</v>
      </c>
      <c r="AG111" s="164">
        <f>'PRECIOS CYE'!Q18</f>
        <v>0</v>
      </c>
      <c r="AH111" s="164">
        <f>'PRECIOS CYE'!R18</f>
        <v>0</v>
      </c>
      <c r="AI111" s="167">
        <f>'PRECIOS CYE'!S18</f>
        <v>0</v>
      </c>
      <c r="AJ111" s="173">
        <f>'PRECIOS CYE'!T18</f>
        <v>0</v>
      </c>
      <c r="AK111" s="164">
        <f>'PRECIOS CYE'!U18</f>
        <v>0</v>
      </c>
      <c r="AL111" s="164">
        <f>'PRECIOS CYE'!V18</f>
        <v>0</v>
      </c>
      <c r="AM111" s="164">
        <f>'PRECIOS CYE'!W18</f>
        <v>0</v>
      </c>
      <c r="AN111" s="164">
        <f>'PRECIOS CYE'!X18</f>
        <v>0</v>
      </c>
      <c r="AO111" s="167">
        <f>'PRECIOS CYE'!Y18</f>
        <v>0</v>
      </c>
    </row>
    <row r="112" spans="13:41">
      <c r="M112" s="631"/>
      <c r="N112" s="181" t="s">
        <v>115</v>
      </c>
      <c r="O112" s="188">
        <f>Y332</f>
        <v>113.12150000000001</v>
      </c>
      <c r="P112" s="200"/>
      <c r="Q112" s="200"/>
      <c r="R112" s="163">
        <f>AE332</f>
        <v>113.12150000000001</v>
      </c>
      <c r="S112" s="205"/>
      <c r="T112" s="205"/>
      <c r="U112" s="166">
        <f>AK332</f>
        <v>113.12150000000001</v>
      </c>
      <c r="W112" s="212" t="s">
        <v>41</v>
      </c>
      <c r="X112" s="218"/>
      <c r="Y112" s="164"/>
      <c r="Z112" s="164"/>
      <c r="AA112" s="164"/>
      <c r="AB112" s="164"/>
      <c r="AC112" s="219"/>
      <c r="AD112" s="218">
        <f>'PRECIOS CYE'!N7</f>
        <v>0</v>
      </c>
      <c r="AE112" s="164">
        <f>'PRECIOS CYE'!O7</f>
        <v>0</v>
      </c>
      <c r="AF112" s="164">
        <f>'PRECIOS CYE'!P7</f>
        <v>0</v>
      </c>
      <c r="AG112" s="164">
        <f>'PRECIOS CYE'!Q7</f>
        <v>0</v>
      </c>
      <c r="AH112" s="164">
        <f>'PRECIOS CYE'!R7</f>
        <v>0</v>
      </c>
      <c r="AI112" s="167">
        <f>'PRECIOS CYE'!S7</f>
        <v>0</v>
      </c>
      <c r="AJ112" s="173">
        <f>'PRECIOS CYE'!T7</f>
        <v>0</v>
      </c>
      <c r="AK112" s="164">
        <f>'PRECIOS CYE'!U7</f>
        <v>0</v>
      </c>
      <c r="AL112" s="164">
        <f>'PRECIOS CYE'!V7</f>
        <v>0</v>
      </c>
      <c r="AM112" s="164">
        <f>'PRECIOS CYE'!W7</f>
        <v>0</v>
      </c>
      <c r="AN112" s="164">
        <f>'PRECIOS CYE'!X7</f>
        <v>0</v>
      </c>
      <c r="AO112" s="167">
        <f>'PRECIOS CYE'!Y7</f>
        <v>0</v>
      </c>
    </row>
    <row r="113" spans="13:41">
      <c r="M113" s="631"/>
      <c r="N113" s="181" t="s">
        <v>116</v>
      </c>
      <c r="O113" s="188">
        <f>Y335</f>
        <v>113.12150000000001</v>
      </c>
      <c r="P113" s="200"/>
      <c r="Q113" s="200"/>
      <c r="R113" s="163">
        <f>AE335</f>
        <v>113.12150000000001</v>
      </c>
      <c r="S113" s="205"/>
      <c r="T113" s="205"/>
      <c r="U113" s="166">
        <f>AK335</f>
        <v>113.12150000000001</v>
      </c>
      <c r="W113" s="212"/>
      <c r="X113" s="218"/>
      <c r="Y113" s="165"/>
      <c r="Z113" s="165"/>
      <c r="AA113" s="163"/>
      <c r="AB113" s="163"/>
      <c r="AC113" s="205"/>
      <c r="AD113" s="218">
        <f>('INTRODUCIR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DATOS'!$D$17)+'INTRODUCIR DATOS'!$D$15+'INTRODUCIR DATOS'!$D$16+(('INTRODUCIR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DATOS'!$D$17)+'INTRODUCIR DATOS'!$D$16)*21/100</f>
        <v>1.0285</v>
      </c>
      <c r="AE113" s="165">
        <f>IF(AD113=0,"",'INTRODUCIR DATOS'!$D$14-AD113)</f>
        <v>113.12150000000001</v>
      </c>
      <c r="AF113" s="165">
        <f>IF(AD113=0,"",('INTRODUCIR DATOS'!$D$14-AD113)/'INTRODUCIR DATOS'!$D$14)</f>
        <v>0.99098992553657472</v>
      </c>
      <c r="AG113" s="163"/>
      <c r="AH113" s="163"/>
      <c r="AI113" s="166"/>
      <c r="AJ113" s="218">
        <f>('INTRODUCIR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DATOS'!$D$17)+'INTRODUCIR DATOS'!$D$15+'INTRODUCIR DATOS'!$D$16+(('INTRODUCIR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DATOS'!$D$17)+'INTRODUCIR DATOS'!$D$16)*21/100</f>
        <v>1.0285</v>
      </c>
      <c r="AK113" s="165">
        <f>IF(AJ113=0,"",'INTRODUCIR DATOS'!$D$14-AJ113)</f>
        <v>113.12150000000001</v>
      </c>
      <c r="AL113" s="165">
        <f>IF(AJ113=0,"",('INTRODUCIR DATOS'!$D$14-AJ113)/'INTRODUCIR DATOS'!$D$14)</f>
        <v>0.99098992553657472</v>
      </c>
      <c r="AM113" s="163"/>
      <c r="AN113" s="163"/>
      <c r="AO113" s="166"/>
    </row>
    <row r="114" spans="13:41">
      <c r="M114" s="631"/>
      <c r="N114" s="181" t="s">
        <v>60</v>
      </c>
      <c r="O114" s="188">
        <f>Y338</f>
        <v>113.12150000000001</v>
      </c>
      <c r="P114" s="200"/>
      <c r="Q114" s="200"/>
      <c r="R114" s="163">
        <f>AE338</f>
        <v>113.12150000000001</v>
      </c>
      <c r="S114" s="205"/>
      <c r="T114" s="205"/>
      <c r="U114" s="166">
        <f>AK338</f>
        <v>113.12150000000001</v>
      </c>
      <c r="W114" s="212" t="s">
        <v>76</v>
      </c>
      <c r="X114" s="217"/>
      <c r="Y114" s="163"/>
      <c r="Z114" s="163"/>
      <c r="AA114" s="163"/>
      <c r="AB114" s="163"/>
      <c r="AC114" s="205"/>
      <c r="AD114" s="217">
        <f>'PRECIOS CYE'!N19</f>
        <v>0</v>
      </c>
      <c r="AE114" s="163">
        <f>'PRECIOS CYE'!O19</f>
        <v>0</v>
      </c>
      <c r="AF114" s="163">
        <f>'PRECIOS CYE'!P19</f>
        <v>0</v>
      </c>
      <c r="AG114" s="163">
        <f>'PRECIOS CYE'!Q19</f>
        <v>0</v>
      </c>
      <c r="AH114" s="163">
        <f>'PRECIOS CYE'!R19</f>
        <v>0</v>
      </c>
      <c r="AI114" s="166">
        <f>'PRECIOS CYE'!S19</f>
        <v>0</v>
      </c>
      <c r="AJ114" s="172">
        <f>'PRECIOS CYE'!T19</f>
        <v>0</v>
      </c>
      <c r="AK114" s="163">
        <f>'PRECIOS CYE'!U19</f>
        <v>0</v>
      </c>
      <c r="AL114" s="163">
        <f>'PRECIOS CYE'!V19</f>
        <v>0</v>
      </c>
      <c r="AM114" s="163">
        <f>'PRECIOS CYE'!W19</f>
        <v>0</v>
      </c>
      <c r="AN114" s="163">
        <f>'PRECIOS CYE'!X19</f>
        <v>0</v>
      </c>
      <c r="AO114" s="166">
        <f>'PRECIOS CYE'!Y19</f>
        <v>0</v>
      </c>
    </row>
    <row r="115" spans="13:41">
      <c r="M115" s="631"/>
      <c r="N115" s="181" t="s">
        <v>62</v>
      </c>
      <c r="O115" s="188">
        <f>Y341</f>
        <v>113.12150000000001</v>
      </c>
      <c r="P115" s="200"/>
      <c r="Q115" s="200"/>
      <c r="R115" s="163">
        <f>AE341</f>
        <v>113.12150000000001</v>
      </c>
      <c r="S115" s="205"/>
      <c r="T115" s="205"/>
      <c r="U115" s="166">
        <f>AK341</f>
        <v>113.12150000000001</v>
      </c>
      <c r="W115" s="212" t="s">
        <v>115</v>
      </c>
      <c r="X115" s="217"/>
      <c r="Y115" s="163"/>
      <c r="Z115" s="163"/>
      <c r="AA115" s="163"/>
      <c r="AB115" s="163"/>
      <c r="AC115" s="205"/>
      <c r="AD115" s="217">
        <f>'PRECIOS CYE'!N7</f>
        <v>0</v>
      </c>
      <c r="AE115" s="163">
        <f>'PRECIOS CYE'!O7</f>
        <v>0</v>
      </c>
      <c r="AF115" s="163">
        <f>'PRECIOS CYE'!P7</f>
        <v>0</v>
      </c>
      <c r="AG115" s="163">
        <f>'PRECIOS CYE'!Q7</f>
        <v>0</v>
      </c>
      <c r="AH115" s="163">
        <f>'PRECIOS CYE'!R7</f>
        <v>0</v>
      </c>
      <c r="AI115" s="166">
        <f>'PRECIOS CYE'!S7</f>
        <v>0</v>
      </c>
      <c r="AJ115" s="172">
        <f>'PRECIOS CYE'!T7</f>
        <v>0</v>
      </c>
      <c r="AK115" s="163">
        <f>'PRECIOS CYE'!U7</f>
        <v>0</v>
      </c>
      <c r="AL115" s="163">
        <f>'PRECIOS CYE'!V7</f>
        <v>0</v>
      </c>
      <c r="AM115" s="163">
        <f>'PRECIOS CYE'!W7</f>
        <v>0</v>
      </c>
      <c r="AN115" s="163">
        <f>'PRECIOS CYE'!X7</f>
        <v>0</v>
      </c>
      <c r="AO115" s="166">
        <f>'PRECIOS CYE'!Y7</f>
        <v>0</v>
      </c>
    </row>
    <row r="116" spans="13:41">
      <c r="M116" s="631"/>
      <c r="N116" s="181" t="s">
        <v>63</v>
      </c>
      <c r="O116" s="188">
        <f>Y344</f>
        <v>113.12150000000001</v>
      </c>
      <c r="P116" s="200"/>
      <c r="Q116" s="200"/>
      <c r="R116" s="186"/>
      <c r="S116" s="206"/>
      <c r="T116" s="206"/>
      <c r="U116" s="189"/>
      <c r="W116" s="212"/>
      <c r="X116" s="218"/>
      <c r="Y116" s="165"/>
      <c r="Z116" s="165"/>
      <c r="AA116" s="163"/>
      <c r="AB116" s="163"/>
      <c r="AC116" s="205"/>
      <c r="AD116" s="218">
        <f>('INTRODUCIR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DATOS'!$D$17)+'INTRODUCIR DATOS'!$D$15+'INTRODUCIR DATOS'!$D$16+(('INTRODUCIR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DATOS'!$D$17)+'INTRODUCIR DATOS'!$D$16)*21/100</f>
        <v>1.0285</v>
      </c>
      <c r="AE116" s="165">
        <f>IF(AD116=0,"",'INTRODUCIR DATOS'!$D$14-AD116)</f>
        <v>113.12150000000001</v>
      </c>
      <c r="AF116" s="165">
        <f>IF(AD116=0,"",('INTRODUCIR DATOS'!$D$14-AD116)/'INTRODUCIR DATOS'!$D$14)</f>
        <v>0.99098992553657472</v>
      </c>
      <c r="AG116" s="163"/>
      <c r="AH116" s="163"/>
      <c r="AI116" s="166"/>
      <c r="AJ116" s="218">
        <f>('INTRODUCIR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DATOS'!$D$17)+'INTRODUCIR DATOS'!$D$15+'INTRODUCIR DATOS'!$D$16+(('INTRODUCIR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DATOS'!$D$17)+'INTRODUCIR DATOS'!$D$16)*21/100</f>
        <v>1.0285</v>
      </c>
      <c r="AK116" s="165">
        <f>IF(AJ116=0,"",'INTRODUCIR DATOS'!$D$14-AJ116)</f>
        <v>113.12150000000001</v>
      </c>
      <c r="AL116" s="165">
        <f>IF(AJ116=0,"",('INTRODUCIR DATOS'!$D$14-AJ116)/'INTRODUCIR DATOS'!$D$14)</f>
        <v>0.99098992553657472</v>
      </c>
      <c r="AM116" s="163"/>
      <c r="AN116" s="163"/>
      <c r="AO116" s="166"/>
    </row>
    <row r="117" spans="13:41">
      <c r="M117" s="631"/>
      <c r="N117" s="181" t="s">
        <v>65</v>
      </c>
      <c r="O117" s="188">
        <f>Y347</f>
        <v>113.12150000000001</v>
      </c>
      <c r="P117" s="200"/>
      <c r="Q117" s="200"/>
      <c r="R117" s="186"/>
      <c r="S117" s="206"/>
      <c r="T117" s="206"/>
      <c r="U117" s="189"/>
      <c r="W117" s="212" t="s">
        <v>76</v>
      </c>
      <c r="X117" s="217"/>
      <c r="Y117" s="163"/>
      <c r="Z117" s="163"/>
      <c r="AA117" s="163"/>
      <c r="AB117" s="163"/>
      <c r="AC117" s="205"/>
      <c r="AD117" s="217">
        <f>'PRECIOS CYE'!N20</f>
        <v>0</v>
      </c>
      <c r="AE117" s="163">
        <f>'PRECIOS CYE'!O20</f>
        <v>0</v>
      </c>
      <c r="AF117" s="163">
        <f>'PRECIOS CYE'!P20</f>
        <v>0</v>
      </c>
      <c r="AG117" s="163">
        <f>'PRECIOS CYE'!Q20</f>
        <v>0</v>
      </c>
      <c r="AH117" s="163">
        <f>'PRECIOS CYE'!R20</f>
        <v>0</v>
      </c>
      <c r="AI117" s="166">
        <f>'PRECIOS CYE'!S20</f>
        <v>0</v>
      </c>
      <c r="AJ117" s="172">
        <f>'PRECIOS CYE'!T20</f>
        <v>0</v>
      </c>
      <c r="AK117" s="163">
        <f>'PRECIOS CYE'!U20</f>
        <v>0</v>
      </c>
      <c r="AL117" s="163">
        <f>'PRECIOS CYE'!V20</f>
        <v>0</v>
      </c>
      <c r="AM117" s="163">
        <f>'PRECIOS CYE'!W20</f>
        <v>0</v>
      </c>
      <c r="AN117" s="163">
        <f>'PRECIOS CYE'!X20</f>
        <v>0</v>
      </c>
      <c r="AO117" s="166">
        <f>'PRECIOS CYE'!Y20</f>
        <v>0</v>
      </c>
    </row>
    <row r="118" spans="13:41">
      <c r="M118" s="631"/>
      <c r="N118" s="181" t="s">
        <v>199</v>
      </c>
      <c r="O118" s="188">
        <f>Y350</f>
        <v>113.12150000000001</v>
      </c>
      <c r="P118" s="200"/>
      <c r="Q118" s="200"/>
      <c r="R118" s="186"/>
      <c r="S118" s="206"/>
      <c r="T118" s="206"/>
      <c r="U118" s="189"/>
      <c r="W118" s="212" t="s">
        <v>116</v>
      </c>
      <c r="X118" s="217"/>
      <c r="Y118" s="163"/>
      <c r="Z118" s="163"/>
      <c r="AA118" s="163"/>
      <c r="AB118" s="163"/>
      <c r="AC118" s="205"/>
      <c r="AD118" s="217">
        <f>'PRECIOS CYE'!N7</f>
        <v>0</v>
      </c>
      <c r="AE118" s="163">
        <f>'PRECIOS CYE'!O7</f>
        <v>0</v>
      </c>
      <c r="AF118" s="163">
        <f>'PRECIOS CYE'!P7</f>
        <v>0</v>
      </c>
      <c r="AG118" s="163">
        <f>'PRECIOS CYE'!Q7</f>
        <v>0</v>
      </c>
      <c r="AH118" s="163">
        <f>'PRECIOS CYE'!R7</f>
        <v>0</v>
      </c>
      <c r="AI118" s="166">
        <f>'PRECIOS CYE'!S7</f>
        <v>0</v>
      </c>
      <c r="AJ118" s="172">
        <f>'PRECIOS CYE'!T7</f>
        <v>0</v>
      </c>
      <c r="AK118" s="163">
        <f>'PRECIOS CYE'!U7</f>
        <v>0</v>
      </c>
      <c r="AL118" s="163">
        <f>'PRECIOS CYE'!V7</f>
        <v>0</v>
      </c>
      <c r="AM118" s="163">
        <f>'PRECIOS CYE'!W7</f>
        <v>0</v>
      </c>
      <c r="AN118" s="163">
        <f>'PRECIOS CYE'!X7</f>
        <v>0</v>
      </c>
      <c r="AO118" s="166">
        <f>'PRECIOS CYE'!Y7</f>
        <v>0</v>
      </c>
    </row>
    <row r="119" spans="13:41" ht="14.45" thickBot="1">
      <c r="M119" s="635"/>
      <c r="N119" s="193" t="s">
        <v>200</v>
      </c>
      <c r="O119" s="194">
        <f>Y353</f>
        <v>113.12150000000001</v>
      </c>
      <c r="P119" s="201"/>
      <c r="Q119" s="201"/>
      <c r="R119" s="195"/>
      <c r="S119" s="207"/>
      <c r="T119" s="207"/>
      <c r="U119" s="196"/>
      <c r="W119" s="212"/>
      <c r="X119" s="218"/>
      <c r="Y119" s="165"/>
      <c r="Z119" s="165"/>
      <c r="AA119" s="163"/>
      <c r="AB119" s="163"/>
      <c r="AC119" s="205"/>
      <c r="AD119" s="218">
        <f>('INTRODUCIR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DATOS'!$D$17)+'INTRODUCIR DATOS'!$D$15+'INTRODUCIR DATOS'!$D$16+(('INTRODUCIR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DATOS'!$D$17)+'INTRODUCIR DATOS'!$D$16)*21/100</f>
        <v>1.0285</v>
      </c>
      <c r="AE119" s="165">
        <f>IF(AD119=0,"",'INTRODUCIR DATOS'!$D$14-AD119)</f>
        <v>113.12150000000001</v>
      </c>
      <c r="AF119" s="165">
        <f>IF(AD119=0,"",('INTRODUCIR DATOS'!$D$14-AD119)/'INTRODUCIR DATOS'!$D$14)</f>
        <v>0.99098992553657472</v>
      </c>
      <c r="AG119" s="163"/>
      <c r="AH119" s="163"/>
      <c r="AI119" s="166"/>
      <c r="AJ119" s="218">
        <f>('INTRODUCIR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DATOS'!$D$17)+'INTRODUCIR DATOS'!$D$15+'INTRODUCIR DATOS'!$D$16+(('INTRODUCIR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DATOS'!$D$17)+'INTRODUCIR DATOS'!$D$16)*21/100</f>
        <v>1.0285</v>
      </c>
      <c r="AK119" s="165">
        <f>IF(AJ119=0,"",'INTRODUCIR DATOS'!$D$14-AJ119)</f>
        <v>113.12150000000001</v>
      </c>
      <c r="AL119" s="165">
        <f>IF(AJ119=0,"",('INTRODUCIR DATOS'!$D$14-AJ119)/'INTRODUCIR DATOS'!$D$14)</f>
        <v>0.99098992553657472</v>
      </c>
      <c r="AM119" s="163"/>
      <c r="AN119" s="163"/>
      <c r="AO119" s="166"/>
    </row>
    <row r="120" spans="13:41">
      <c r="M120" s="636" t="s">
        <v>214</v>
      </c>
      <c r="N120" s="180" t="s">
        <v>41</v>
      </c>
      <c r="O120" s="187">
        <f>Y356</f>
        <v>113.12150000000001</v>
      </c>
      <c r="P120" s="199"/>
      <c r="Q120" s="199"/>
      <c r="R120" s="177">
        <f>AE356</f>
        <v>113.12150000000001</v>
      </c>
      <c r="S120" s="204"/>
      <c r="T120" s="204"/>
      <c r="U120" s="178">
        <f>AK356</f>
        <v>113.12150000000001</v>
      </c>
      <c r="W120" s="212" t="s">
        <v>76</v>
      </c>
      <c r="X120" s="217"/>
      <c r="Y120" s="163"/>
      <c r="Z120" s="163"/>
      <c r="AA120" s="163"/>
      <c r="AB120" s="163"/>
      <c r="AC120" s="205"/>
      <c r="AD120" s="217">
        <f>'PRECIOS CYE'!N21</f>
        <v>0</v>
      </c>
      <c r="AE120" s="163">
        <f>'PRECIOS CYE'!O21</f>
        <v>0</v>
      </c>
      <c r="AF120" s="163">
        <f>'PRECIOS CYE'!P21</f>
        <v>0</v>
      </c>
      <c r="AG120" s="163">
        <f>'PRECIOS CYE'!Q21</f>
        <v>0</v>
      </c>
      <c r="AH120" s="163">
        <f>'PRECIOS CYE'!R21</f>
        <v>0</v>
      </c>
      <c r="AI120" s="166">
        <f>'PRECIOS CYE'!S21</f>
        <v>0</v>
      </c>
      <c r="AJ120" s="172">
        <f>'PRECIOS CYE'!T21</f>
        <v>0</v>
      </c>
      <c r="AK120" s="163">
        <f>'PRECIOS CYE'!U21</f>
        <v>0</v>
      </c>
      <c r="AL120" s="163">
        <f>'PRECIOS CYE'!V21</f>
        <v>0</v>
      </c>
      <c r="AM120" s="163">
        <f>'PRECIOS CYE'!W21</f>
        <v>0</v>
      </c>
      <c r="AN120" s="163">
        <f>'PRECIOS CYE'!X21</f>
        <v>0</v>
      </c>
      <c r="AO120" s="166">
        <f>'PRECIOS CYE'!Y21</f>
        <v>0</v>
      </c>
    </row>
    <row r="121" spans="13:41">
      <c r="M121" s="631"/>
      <c r="N121" s="181" t="s">
        <v>115</v>
      </c>
      <c r="O121" s="188">
        <f>Y359</f>
        <v>113.12150000000001</v>
      </c>
      <c r="P121" s="200"/>
      <c r="Q121" s="200"/>
      <c r="R121" s="163">
        <f>AE359</f>
        <v>113.12150000000001</v>
      </c>
      <c r="S121" s="205"/>
      <c r="T121" s="205"/>
      <c r="U121" s="166">
        <f>AK359</f>
        <v>113.12150000000001</v>
      </c>
      <c r="W121" s="212" t="s">
        <v>60</v>
      </c>
      <c r="X121" s="217"/>
      <c r="Y121" s="163"/>
      <c r="Z121" s="163"/>
      <c r="AA121" s="163"/>
      <c r="AB121" s="163"/>
      <c r="AC121" s="205"/>
      <c r="AD121" s="217">
        <f>'PRECIOS CYE'!N7</f>
        <v>0</v>
      </c>
      <c r="AE121" s="163">
        <f>'PRECIOS CYE'!O7</f>
        <v>0</v>
      </c>
      <c r="AF121" s="163">
        <f>'PRECIOS CYE'!P7</f>
        <v>0</v>
      </c>
      <c r="AG121" s="163">
        <f>'PRECIOS CYE'!Q7</f>
        <v>0</v>
      </c>
      <c r="AH121" s="163">
        <f>'PRECIOS CYE'!R7</f>
        <v>0</v>
      </c>
      <c r="AI121" s="166">
        <f>'PRECIOS CYE'!S7</f>
        <v>0</v>
      </c>
      <c r="AJ121" s="172">
        <f>'PRECIOS CYE'!T7</f>
        <v>0</v>
      </c>
      <c r="AK121" s="163">
        <f>'PRECIOS CYE'!U7</f>
        <v>0</v>
      </c>
      <c r="AL121" s="163">
        <f>'PRECIOS CYE'!V7</f>
        <v>0</v>
      </c>
      <c r="AM121" s="163">
        <f>'PRECIOS CYE'!W7</f>
        <v>0</v>
      </c>
      <c r="AN121" s="163">
        <f>'PRECIOS CYE'!X7</f>
        <v>0</v>
      </c>
      <c r="AO121" s="166">
        <f>'PRECIOS CYE'!Y7</f>
        <v>0</v>
      </c>
    </row>
    <row r="122" spans="13:41">
      <c r="M122" s="631"/>
      <c r="N122" s="181" t="s">
        <v>116</v>
      </c>
      <c r="O122" s="188">
        <f>Y362</f>
        <v>113.12150000000001</v>
      </c>
      <c r="P122" s="200"/>
      <c r="Q122" s="200"/>
      <c r="R122" s="163">
        <f>AE362</f>
        <v>113.12150000000001</v>
      </c>
      <c r="S122" s="205"/>
      <c r="T122" s="205"/>
      <c r="U122" s="166">
        <f>AK362</f>
        <v>113.12150000000001</v>
      </c>
      <c r="W122" s="212"/>
      <c r="X122" s="218"/>
      <c r="Y122" s="165"/>
      <c r="Z122" s="165"/>
      <c r="AA122" s="163"/>
      <c r="AB122" s="163"/>
      <c r="AC122" s="205"/>
      <c r="AD122" s="218">
        <f>('INTRODUCIR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DATOS'!$D$17)+'INTRODUCIR DATOS'!$D$15+'INTRODUCIR DATOS'!$D$16+(('INTRODUCIR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DATOS'!$D$17)+'INTRODUCIR DATOS'!$D$16)*21/100</f>
        <v>1.0285</v>
      </c>
      <c r="AE122" s="165">
        <f>IF(AD122=0,"",'INTRODUCIR DATOS'!$D$14-AD122)</f>
        <v>113.12150000000001</v>
      </c>
      <c r="AF122" s="165">
        <f>IF(AD122=0,"",('INTRODUCIR DATOS'!$D$14-AD122)/'INTRODUCIR DATOS'!$D$14)</f>
        <v>0.99098992553657472</v>
      </c>
      <c r="AG122" s="163"/>
      <c r="AH122" s="163"/>
      <c r="AI122" s="166"/>
      <c r="AJ122" s="218">
        <f>('INTRODUCIR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DATOS'!$D$17)+'INTRODUCIR DATOS'!$D$15+'INTRODUCIR DATOS'!$D$16+(('INTRODUCIR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DATOS'!$D$17)+'INTRODUCIR DATOS'!$D$16)*21/100</f>
        <v>1.0285</v>
      </c>
      <c r="AK122" s="165">
        <f>IF(AJ122=0,"",'INTRODUCIR DATOS'!$D$14-AJ122)</f>
        <v>113.12150000000001</v>
      </c>
      <c r="AL122" s="165">
        <f>IF(AJ122=0,"",('INTRODUCIR DATOS'!$D$14-AJ122)/'INTRODUCIR DATOS'!$D$14)</f>
        <v>0.99098992553657472</v>
      </c>
      <c r="AM122" s="163"/>
      <c r="AN122" s="163"/>
      <c r="AO122" s="166"/>
    </row>
    <row r="123" spans="13:41">
      <c r="M123" s="631"/>
      <c r="N123" s="181" t="s">
        <v>60</v>
      </c>
      <c r="O123" s="188">
        <f>Y365</f>
        <v>113.12150000000001</v>
      </c>
      <c r="P123" s="200"/>
      <c r="Q123" s="200"/>
      <c r="R123" s="163">
        <f>AE365</f>
        <v>113.12150000000001</v>
      </c>
      <c r="S123" s="205"/>
      <c r="T123" s="205"/>
      <c r="U123" s="166">
        <f>AK365</f>
        <v>113.12150000000001</v>
      </c>
      <c r="W123" s="212" t="s">
        <v>76</v>
      </c>
      <c r="X123" s="217"/>
      <c r="Y123" s="163"/>
      <c r="Z123" s="163"/>
      <c r="AA123" s="163"/>
      <c r="AB123" s="163"/>
      <c r="AC123" s="205"/>
      <c r="AD123" s="217">
        <f>'PRECIOS CYE'!N22</f>
        <v>0</v>
      </c>
      <c r="AE123" s="163">
        <f>'PRECIOS CYE'!O22</f>
        <v>0</v>
      </c>
      <c r="AF123" s="163">
        <f>'PRECIOS CYE'!P22</f>
        <v>0</v>
      </c>
      <c r="AG123" s="163">
        <f>'PRECIOS CYE'!Q22</f>
        <v>0</v>
      </c>
      <c r="AH123" s="163">
        <f>'PRECIOS CYE'!R22</f>
        <v>0</v>
      </c>
      <c r="AI123" s="166">
        <f>'PRECIOS CYE'!S22</f>
        <v>0</v>
      </c>
      <c r="AJ123" s="172">
        <f>'PRECIOS CYE'!T22</f>
        <v>0</v>
      </c>
      <c r="AK123" s="163">
        <f>'PRECIOS CYE'!U22</f>
        <v>0</v>
      </c>
      <c r="AL123" s="163">
        <f>'PRECIOS CYE'!V22</f>
        <v>0</v>
      </c>
      <c r="AM123" s="163">
        <f>'PRECIOS CYE'!W22</f>
        <v>0</v>
      </c>
      <c r="AN123" s="163">
        <f>'PRECIOS CYE'!X22</f>
        <v>0</v>
      </c>
      <c r="AO123" s="166">
        <f>'PRECIOS CYE'!Y22</f>
        <v>0</v>
      </c>
    </row>
    <row r="124" spans="13:41">
      <c r="M124" s="631"/>
      <c r="N124" s="181" t="s">
        <v>62</v>
      </c>
      <c r="O124" s="188">
        <f>Y368</f>
        <v>113.12150000000001</v>
      </c>
      <c r="P124" s="200"/>
      <c r="Q124" s="200"/>
      <c r="R124" s="163">
        <f>AE368</f>
        <v>113.12150000000001</v>
      </c>
      <c r="S124" s="205"/>
      <c r="T124" s="205"/>
      <c r="U124" s="166">
        <f>AK368</f>
        <v>113.12150000000001</v>
      </c>
      <c r="W124" s="212" t="s">
        <v>62</v>
      </c>
      <c r="X124" s="217"/>
      <c r="Y124" s="163"/>
      <c r="Z124" s="163"/>
      <c r="AA124" s="163"/>
      <c r="AB124" s="163"/>
      <c r="AC124" s="205"/>
      <c r="AD124" s="217">
        <f>'PRECIOS CYE'!N7</f>
        <v>0</v>
      </c>
      <c r="AE124" s="163">
        <f>'PRECIOS CYE'!O7</f>
        <v>0</v>
      </c>
      <c r="AF124" s="163">
        <f>'PRECIOS CYE'!P7</f>
        <v>0</v>
      </c>
      <c r="AG124" s="163">
        <f>'PRECIOS CYE'!Q7</f>
        <v>0</v>
      </c>
      <c r="AH124" s="163">
        <f>'PRECIOS CYE'!R7</f>
        <v>0</v>
      </c>
      <c r="AI124" s="166">
        <f>'PRECIOS CYE'!S7</f>
        <v>0</v>
      </c>
      <c r="AJ124" s="172">
        <f>'PRECIOS CYE'!T7</f>
        <v>0</v>
      </c>
      <c r="AK124" s="163">
        <f>'PRECIOS CYE'!U7</f>
        <v>0</v>
      </c>
      <c r="AL124" s="163">
        <f>'PRECIOS CYE'!V7</f>
        <v>0</v>
      </c>
      <c r="AM124" s="163">
        <f>'PRECIOS CYE'!W7</f>
        <v>0</v>
      </c>
      <c r="AN124" s="163">
        <f>'PRECIOS CYE'!X7</f>
        <v>0</v>
      </c>
      <c r="AO124" s="166">
        <f>'PRECIOS CYE'!Y7</f>
        <v>0</v>
      </c>
    </row>
    <row r="125" spans="13:41">
      <c r="M125" s="631"/>
      <c r="N125" s="181" t="s">
        <v>63</v>
      </c>
      <c r="O125" s="188">
        <f>Y371</f>
        <v>113.12150000000001</v>
      </c>
      <c r="P125" s="200"/>
      <c r="Q125" s="200"/>
      <c r="R125" s="186"/>
      <c r="S125" s="206"/>
      <c r="T125" s="206"/>
      <c r="U125" s="189"/>
      <c r="W125" s="212"/>
      <c r="X125" s="218"/>
      <c r="Y125" s="165"/>
      <c r="Z125" s="165"/>
      <c r="AA125" s="163"/>
      <c r="AB125" s="163"/>
      <c r="AC125" s="205"/>
      <c r="AD125" s="218">
        <f>('INTRODUCIR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DATOS'!$D$17)+'INTRODUCIR DATOS'!$D$15+'INTRODUCIR DATOS'!$D$16+(('INTRODUCIR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DATOS'!$D$17)+'INTRODUCIR DATOS'!$D$16)*21/100</f>
        <v>1.0285</v>
      </c>
      <c r="AE125" s="165">
        <f>IF(AD125=0,"",'INTRODUCIR DATOS'!$D$14-AD125)</f>
        <v>113.12150000000001</v>
      </c>
      <c r="AF125" s="165">
        <f>IF(AD125=0,"",('INTRODUCIR DATOS'!$D$14-AD125)/'INTRODUCIR DATOS'!$D$14)</f>
        <v>0.99098992553657472</v>
      </c>
      <c r="AG125" s="163"/>
      <c r="AH125" s="163"/>
      <c r="AI125" s="166"/>
      <c r="AJ125" s="218">
        <f>('INTRODUCIR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DATOS'!$D$17)+'INTRODUCIR DATOS'!$D$15+'INTRODUCIR DATOS'!$D$16+(('INTRODUCIR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DATOS'!$D$17)+'INTRODUCIR DATOS'!$D$16)*21/100</f>
        <v>1.0285</v>
      </c>
      <c r="AK125" s="165">
        <f>IF(AJ125=0,"",'INTRODUCIR DATOS'!$D$14-AJ125)</f>
        <v>113.12150000000001</v>
      </c>
      <c r="AL125" s="165">
        <f>IF(AJ125=0,"",('INTRODUCIR DATOS'!$D$14-AJ125)/'INTRODUCIR DATOS'!$D$14)</f>
        <v>0.99098992553657472</v>
      </c>
      <c r="AM125" s="163"/>
      <c r="AN125" s="163"/>
      <c r="AO125" s="166"/>
    </row>
    <row r="126" spans="13:41">
      <c r="M126" s="631"/>
      <c r="N126" s="181" t="s">
        <v>65</v>
      </c>
      <c r="O126" s="188">
        <f>Y374</f>
        <v>113.12150000000001</v>
      </c>
      <c r="P126" s="200"/>
      <c r="Q126" s="200"/>
      <c r="R126" s="186"/>
      <c r="S126" s="206"/>
      <c r="T126" s="206"/>
      <c r="U126" s="189"/>
      <c r="W126" s="212" t="s">
        <v>76</v>
      </c>
      <c r="X126" s="217"/>
      <c r="Y126" s="163"/>
      <c r="Z126" s="163"/>
      <c r="AA126" s="163"/>
      <c r="AB126" s="163"/>
      <c r="AC126" s="205"/>
      <c r="AD126" s="217"/>
      <c r="AE126" s="163"/>
      <c r="AF126" s="163"/>
      <c r="AG126" s="163"/>
      <c r="AH126" s="163"/>
      <c r="AI126" s="166"/>
      <c r="AJ126" s="172"/>
      <c r="AK126" s="163"/>
      <c r="AL126" s="163"/>
      <c r="AM126" s="163"/>
      <c r="AN126" s="163"/>
      <c r="AO126" s="166"/>
    </row>
    <row r="127" spans="13:41">
      <c r="M127" s="631"/>
      <c r="N127" s="181" t="s">
        <v>199</v>
      </c>
      <c r="O127" s="188">
        <f>Y377</f>
        <v>113.12150000000001</v>
      </c>
      <c r="P127" s="200"/>
      <c r="Q127" s="200"/>
      <c r="R127" s="186"/>
      <c r="S127" s="206"/>
      <c r="T127" s="206"/>
      <c r="U127" s="189"/>
      <c r="W127" s="212" t="s">
        <v>63</v>
      </c>
      <c r="X127" s="217"/>
      <c r="Y127" s="163"/>
      <c r="Z127" s="163"/>
      <c r="AA127" s="163"/>
      <c r="AB127" s="163"/>
      <c r="AC127" s="205"/>
      <c r="AD127" s="217"/>
      <c r="AE127" s="163"/>
      <c r="AF127" s="163"/>
      <c r="AG127" s="163"/>
      <c r="AH127" s="163"/>
      <c r="AI127" s="166"/>
      <c r="AJ127" s="172"/>
      <c r="AK127" s="163"/>
      <c r="AL127" s="163"/>
      <c r="AM127" s="163"/>
      <c r="AN127" s="163"/>
      <c r="AO127" s="166"/>
    </row>
    <row r="128" spans="13:41" ht="14.45" thickBot="1">
      <c r="M128" s="632"/>
      <c r="N128" s="182" t="s">
        <v>200</v>
      </c>
      <c r="O128" s="190">
        <f>Y380</f>
        <v>113.12150000000001</v>
      </c>
      <c r="P128" s="202"/>
      <c r="Q128" s="202"/>
      <c r="R128" s="191"/>
      <c r="S128" s="208"/>
      <c r="T128" s="208"/>
      <c r="U128" s="192"/>
      <c r="W128" s="212"/>
      <c r="X128" s="218"/>
      <c r="Y128" s="165"/>
      <c r="Z128" s="165"/>
      <c r="AA128" s="163"/>
      <c r="AB128" s="163"/>
      <c r="AC128" s="205"/>
      <c r="AD128" s="218"/>
      <c r="AE128" s="165"/>
      <c r="AF128" s="165"/>
      <c r="AG128" s="163"/>
      <c r="AH128" s="163"/>
      <c r="AI128" s="166"/>
      <c r="AJ128" s="173"/>
      <c r="AK128" s="165"/>
      <c r="AL128" s="165"/>
      <c r="AM128" s="163"/>
      <c r="AN128" s="163"/>
      <c r="AO128" s="166"/>
    </row>
    <row r="129" spans="13:41">
      <c r="M129" s="630" t="s">
        <v>215</v>
      </c>
      <c r="N129" s="197" t="s">
        <v>41</v>
      </c>
      <c r="O129" s="198">
        <f>Y383</f>
        <v>113.12150000000001</v>
      </c>
      <c r="P129" s="203"/>
      <c r="Q129" s="203"/>
      <c r="R129" s="174">
        <f>AE383</f>
        <v>113.12150000000001</v>
      </c>
      <c r="S129" s="209"/>
      <c r="T129" s="209"/>
      <c r="U129" s="175">
        <f>AK383</f>
        <v>113.12150000000001</v>
      </c>
      <c r="W129" s="212" t="s">
        <v>76</v>
      </c>
      <c r="X129" s="217"/>
      <c r="Y129" s="163"/>
      <c r="Z129" s="163"/>
      <c r="AA129" s="163"/>
      <c r="AB129" s="163"/>
      <c r="AC129" s="205"/>
      <c r="AD129" s="217"/>
      <c r="AE129" s="163"/>
      <c r="AF129" s="163"/>
      <c r="AG129" s="163"/>
      <c r="AH129" s="163"/>
      <c r="AI129" s="166"/>
      <c r="AJ129" s="172"/>
      <c r="AK129" s="163"/>
      <c r="AL129" s="163"/>
      <c r="AM129" s="163"/>
      <c r="AN129" s="163"/>
      <c r="AO129" s="166"/>
    </row>
    <row r="130" spans="13:41">
      <c r="M130" s="631"/>
      <c r="N130" s="181" t="s">
        <v>115</v>
      </c>
      <c r="O130" s="188">
        <f>Y386</f>
        <v>113.12150000000001</v>
      </c>
      <c r="P130" s="200"/>
      <c r="Q130" s="200"/>
      <c r="R130" s="163">
        <f>AE386</f>
        <v>113.12150000000001</v>
      </c>
      <c r="S130" s="205"/>
      <c r="T130" s="205"/>
      <c r="U130" s="166">
        <f>AK386</f>
        <v>113.12150000000001</v>
      </c>
      <c r="W130" s="212" t="s">
        <v>65</v>
      </c>
      <c r="X130" s="217"/>
      <c r="Y130" s="163"/>
      <c r="Z130" s="163"/>
      <c r="AA130" s="163"/>
      <c r="AB130" s="163"/>
      <c r="AC130" s="205"/>
      <c r="AD130" s="217"/>
      <c r="AE130" s="163"/>
      <c r="AF130" s="163"/>
      <c r="AG130" s="163"/>
      <c r="AH130" s="163"/>
      <c r="AI130" s="166"/>
      <c r="AJ130" s="172"/>
      <c r="AK130" s="163"/>
      <c r="AL130" s="163"/>
      <c r="AM130" s="163"/>
      <c r="AN130" s="163"/>
      <c r="AO130" s="166"/>
    </row>
    <row r="131" spans="13:41">
      <c r="M131" s="631"/>
      <c r="N131" s="181" t="s">
        <v>116</v>
      </c>
      <c r="O131" s="188">
        <f>Y389</f>
        <v>113.12150000000001</v>
      </c>
      <c r="P131" s="200"/>
      <c r="Q131" s="200"/>
      <c r="R131" s="163">
        <f>AE389</f>
        <v>113.12150000000001</v>
      </c>
      <c r="S131" s="205"/>
      <c r="T131" s="205"/>
      <c r="U131" s="166">
        <f>AK389</f>
        <v>113.12150000000001</v>
      </c>
      <c r="W131" s="212"/>
      <c r="X131" s="218"/>
      <c r="Y131" s="165"/>
      <c r="Z131" s="165"/>
      <c r="AA131" s="163"/>
      <c r="AB131" s="163"/>
      <c r="AC131" s="205"/>
      <c r="AD131" s="218"/>
      <c r="AE131" s="165"/>
      <c r="AF131" s="165"/>
      <c r="AG131" s="163"/>
      <c r="AH131" s="163"/>
      <c r="AI131" s="166"/>
      <c r="AJ131" s="173"/>
      <c r="AK131" s="165"/>
      <c r="AL131" s="165"/>
      <c r="AM131" s="163"/>
      <c r="AN131" s="163"/>
      <c r="AO131" s="166"/>
    </row>
    <row r="132" spans="13:41">
      <c r="M132" s="631"/>
      <c r="N132" s="181" t="s">
        <v>60</v>
      </c>
      <c r="O132" s="188">
        <f>Y392</f>
        <v>113.12150000000001</v>
      </c>
      <c r="P132" s="200"/>
      <c r="Q132" s="200"/>
      <c r="R132" s="163">
        <f>AE392</f>
        <v>113.12150000000001</v>
      </c>
      <c r="S132" s="205"/>
      <c r="T132" s="205"/>
      <c r="U132" s="166">
        <f>AK392</f>
        <v>113.12150000000001</v>
      </c>
      <c r="W132" s="212" t="s">
        <v>76</v>
      </c>
      <c r="X132" s="217"/>
      <c r="Y132" s="163"/>
      <c r="Z132" s="163"/>
      <c r="AA132" s="163"/>
      <c r="AB132" s="163"/>
      <c r="AC132" s="205"/>
      <c r="AD132" s="217"/>
      <c r="AE132" s="163"/>
      <c r="AF132" s="163"/>
      <c r="AG132" s="163"/>
      <c r="AH132" s="163"/>
      <c r="AI132" s="166"/>
      <c r="AJ132" s="172"/>
      <c r="AK132" s="163"/>
      <c r="AL132" s="163"/>
      <c r="AM132" s="163"/>
      <c r="AN132" s="163"/>
      <c r="AO132" s="166"/>
    </row>
    <row r="133" spans="13:41">
      <c r="M133" s="631"/>
      <c r="N133" s="181" t="s">
        <v>62</v>
      </c>
      <c r="O133" s="188">
        <f>Y395</f>
        <v>113.12150000000001</v>
      </c>
      <c r="P133" s="200"/>
      <c r="Q133" s="200"/>
      <c r="R133" s="163">
        <f>AE395</f>
        <v>113.12150000000001</v>
      </c>
      <c r="S133" s="205"/>
      <c r="T133" s="205"/>
      <c r="U133" s="166">
        <f>AK395</f>
        <v>113.12150000000001</v>
      </c>
      <c r="W133" s="212" t="s">
        <v>199</v>
      </c>
      <c r="X133" s="217"/>
      <c r="Y133" s="163"/>
      <c r="Z133" s="163"/>
      <c r="AA133" s="163"/>
      <c r="AB133" s="163"/>
      <c r="AC133" s="205"/>
      <c r="AD133" s="217"/>
      <c r="AE133" s="163"/>
      <c r="AF133" s="163"/>
      <c r="AG133" s="163"/>
      <c r="AH133" s="163"/>
      <c r="AI133" s="166"/>
      <c r="AJ133" s="172"/>
      <c r="AK133" s="163"/>
      <c r="AL133" s="163"/>
      <c r="AM133" s="163"/>
      <c r="AN133" s="163"/>
      <c r="AO133" s="166"/>
    </row>
    <row r="134" spans="13:41">
      <c r="M134" s="631"/>
      <c r="N134" s="181" t="s">
        <v>63</v>
      </c>
      <c r="O134" s="188">
        <f>Y398</f>
        <v>113.12150000000001</v>
      </c>
      <c r="P134" s="200"/>
      <c r="Q134" s="200"/>
      <c r="R134" s="186"/>
      <c r="S134" s="206"/>
      <c r="T134" s="206"/>
      <c r="U134" s="189"/>
      <c r="W134" s="212"/>
      <c r="X134" s="218"/>
      <c r="Y134" s="165"/>
      <c r="Z134" s="165"/>
      <c r="AA134" s="163"/>
      <c r="AB134" s="163"/>
      <c r="AC134" s="205"/>
      <c r="AD134" s="218"/>
      <c r="AE134" s="165"/>
      <c r="AF134" s="165"/>
      <c r="AG134" s="163"/>
      <c r="AH134" s="163"/>
      <c r="AI134" s="166"/>
      <c r="AJ134" s="173"/>
      <c r="AK134" s="165"/>
      <c r="AL134" s="165"/>
      <c r="AM134" s="163"/>
      <c r="AN134" s="163"/>
      <c r="AO134" s="166"/>
    </row>
    <row r="135" spans="13:41">
      <c r="M135" s="631"/>
      <c r="N135" s="181" t="s">
        <v>65</v>
      </c>
      <c r="O135" s="188">
        <f>Y401</f>
        <v>113.12150000000001</v>
      </c>
      <c r="P135" s="200"/>
      <c r="Q135" s="200"/>
      <c r="R135" s="186"/>
      <c r="S135" s="206"/>
      <c r="T135" s="206"/>
      <c r="U135" s="189"/>
      <c r="W135" s="212" t="s">
        <v>76</v>
      </c>
      <c r="X135" s="217"/>
      <c r="Y135" s="163"/>
      <c r="Z135" s="163"/>
      <c r="AA135" s="163"/>
      <c r="AB135" s="163"/>
      <c r="AC135" s="205"/>
      <c r="AD135" s="217"/>
      <c r="AE135" s="163"/>
      <c r="AF135" s="163"/>
      <c r="AG135" s="163"/>
      <c r="AH135" s="163"/>
      <c r="AI135" s="166"/>
      <c r="AJ135" s="172"/>
      <c r="AK135" s="163"/>
      <c r="AL135" s="163"/>
      <c r="AM135" s="163"/>
      <c r="AN135" s="163"/>
      <c r="AO135" s="166"/>
    </row>
    <row r="136" spans="13:41">
      <c r="M136" s="631"/>
      <c r="N136" s="181" t="s">
        <v>199</v>
      </c>
      <c r="O136" s="188">
        <f>Y404</f>
        <v>113.12150000000001</v>
      </c>
      <c r="P136" s="200"/>
      <c r="Q136" s="200"/>
      <c r="R136" s="186"/>
      <c r="S136" s="206"/>
      <c r="T136" s="206"/>
      <c r="U136" s="189"/>
      <c r="W136" s="212" t="s">
        <v>200</v>
      </c>
      <c r="X136" s="217"/>
      <c r="Y136" s="163"/>
      <c r="Z136" s="163"/>
      <c r="AA136" s="163"/>
      <c r="AB136" s="163"/>
      <c r="AC136" s="205"/>
      <c r="AD136" s="217"/>
      <c r="AE136" s="163"/>
      <c r="AF136" s="163"/>
      <c r="AG136" s="163"/>
      <c r="AH136" s="163"/>
      <c r="AI136" s="166"/>
      <c r="AJ136" s="172"/>
      <c r="AK136" s="163"/>
      <c r="AL136" s="163"/>
      <c r="AM136" s="163"/>
      <c r="AN136" s="163"/>
      <c r="AO136" s="166"/>
    </row>
    <row r="137" spans="13:41" ht="14.45" thickBot="1">
      <c r="M137" s="632"/>
      <c r="N137" s="182" t="s">
        <v>200</v>
      </c>
      <c r="O137" s="190">
        <f>Y407</f>
        <v>113.12150000000001</v>
      </c>
      <c r="P137" s="202"/>
      <c r="Q137" s="202"/>
      <c r="R137" s="191"/>
      <c r="S137" s="208"/>
      <c r="T137" s="208"/>
      <c r="U137" s="192"/>
      <c r="W137" s="212"/>
      <c r="X137" s="218"/>
      <c r="Y137" s="165"/>
      <c r="Z137" s="165"/>
      <c r="AA137" s="163"/>
      <c r="AB137" s="163"/>
      <c r="AC137" s="205"/>
      <c r="AD137" s="218"/>
      <c r="AE137" s="165"/>
      <c r="AF137" s="165"/>
      <c r="AG137" s="163"/>
      <c r="AH137" s="163"/>
      <c r="AI137" s="166"/>
      <c r="AJ137" s="173"/>
      <c r="AK137" s="165"/>
      <c r="AL137" s="165"/>
      <c r="AM137" s="163"/>
      <c r="AN137" s="163"/>
      <c r="AO137" s="166"/>
    </row>
    <row r="138" spans="13:41">
      <c r="N138" s="162" t="s">
        <v>216</v>
      </c>
      <c r="O138" s="210">
        <f>MAX(O3:O137)</f>
        <v>113.12150000000001</v>
      </c>
      <c r="R138" s="210">
        <f>MAX(R3:R137)</f>
        <v>113.12150000000001</v>
      </c>
      <c r="U138" s="210">
        <f>MAX(U3:U137)</f>
        <v>113.12150000000001</v>
      </c>
      <c r="W138" s="212" t="s">
        <v>79</v>
      </c>
      <c r="X138" s="218">
        <f>'PRECIOS CYE'!H18</f>
        <v>0</v>
      </c>
      <c r="Y138" s="164">
        <f>'PRECIOS CYE'!I18</f>
        <v>0</v>
      </c>
      <c r="Z138" s="164">
        <f>'PRECIOS CYE'!J18</f>
        <v>0</v>
      </c>
      <c r="AA138" s="164"/>
      <c r="AB138" s="164"/>
      <c r="AC138" s="219"/>
      <c r="AD138" s="218">
        <f>'PRECIOS CYE'!N18</f>
        <v>0</v>
      </c>
      <c r="AE138" s="164">
        <f>'PRECIOS CYE'!O18</f>
        <v>0</v>
      </c>
      <c r="AF138" s="164">
        <f>'PRECIOS CYE'!P18</f>
        <v>0</v>
      </c>
      <c r="AG138" s="164">
        <f>'PRECIOS CYE'!Q18</f>
        <v>0</v>
      </c>
      <c r="AH138" s="164">
        <f>'PRECIOS CYE'!R18</f>
        <v>0</v>
      </c>
      <c r="AI138" s="167">
        <f>'PRECIOS CYE'!S18</f>
        <v>0</v>
      </c>
      <c r="AJ138" s="173">
        <f>'PRECIOS CYE'!T18</f>
        <v>0</v>
      </c>
      <c r="AK138" s="164">
        <f>'PRECIOS CYE'!U18</f>
        <v>0</v>
      </c>
      <c r="AL138" s="164">
        <f>'PRECIOS CYE'!V18</f>
        <v>0</v>
      </c>
      <c r="AM138" s="164">
        <f>'PRECIOS CYE'!W18</f>
        <v>0</v>
      </c>
      <c r="AN138" s="164">
        <f>'PRECIOS CYE'!X18</f>
        <v>0</v>
      </c>
      <c r="AO138" s="167">
        <f>'PRECIOS CYE'!Y18</f>
        <v>0</v>
      </c>
    </row>
    <row r="139" spans="13:41">
      <c r="N139" s="162" t="s">
        <v>217</v>
      </c>
      <c r="O139" s="210">
        <f>IF(O138=0,"",AVERAGE(O3:O137))</f>
        <v>113.12149999999997</v>
      </c>
      <c r="R139" s="210">
        <f>IF(R138=0,"",AVERAGE(R3:R137))</f>
        <v>113.12150000000011</v>
      </c>
      <c r="U139" s="210">
        <f>IF(U138=0,"",AVERAGE(U3:U137))</f>
        <v>113.12150000000011</v>
      </c>
      <c r="W139" s="212" t="s">
        <v>41</v>
      </c>
      <c r="X139" s="218">
        <f>'PRECIOS CYE'!H8</f>
        <v>0</v>
      </c>
      <c r="Y139" s="164">
        <f>'PRECIOS CYE'!I8</f>
        <v>0</v>
      </c>
      <c r="Z139" s="164">
        <f>'PRECIOS CYE'!J8</f>
        <v>0</v>
      </c>
      <c r="AA139" s="164"/>
      <c r="AB139" s="164"/>
      <c r="AC139" s="219"/>
      <c r="AD139" s="218">
        <f>'PRECIOS CYE'!N8</f>
        <v>0</v>
      </c>
      <c r="AE139" s="164">
        <f>'PRECIOS CYE'!O8</f>
        <v>0</v>
      </c>
      <c r="AF139" s="164">
        <f>'PRECIOS CYE'!P8</f>
        <v>0</v>
      </c>
      <c r="AG139" s="164">
        <f>'PRECIOS CYE'!Q8</f>
        <v>0</v>
      </c>
      <c r="AH139" s="164">
        <f>'PRECIOS CYE'!R8</f>
        <v>0</v>
      </c>
      <c r="AI139" s="167">
        <f>'PRECIOS CYE'!S8</f>
        <v>0</v>
      </c>
      <c r="AJ139" s="173">
        <f>'PRECIOS CYE'!T8</f>
        <v>0</v>
      </c>
      <c r="AK139" s="164">
        <f>'PRECIOS CYE'!U8</f>
        <v>0</v>
      </c>
      <c r="AL139" s="164">
        <f>'PRECIOS CYE'!V8</f>
        <v>0</v>
      </c>
      <c r="AM139" s="164">
        <f>'PRECIOS CYE'!W8</f>
        <v>0</v>
      </c>
      <c r="AN139" s="164">
        <f>'PRECIOS CYE'!X8</f>
        <v>0</v>
      </c>
      <c r="AO139" s="167">
        <f>'PRECIOS CYE'!Y8</f>
        <v>0</v>
      </c>
    </row>
    <row r="140" spans="13:41">
      <c r="N140" s="162" t="s">
        <v>218</v>
      </c>
      <c r="O140" s="210">
        <f>MIN(O3:O137)</f>
        <v>113.12150000000001</v>
      </c>
      <c r="R140" s="210">
        <f>MIN(R3:R137)</f>
        <v>113.12150000000001</v>
      </c>
      <c r="U140" s="210">
        <f>MIN(U3:U137)</f>
        <v>113.12150000000001</v>
      </c>
      <c r="W140" s="212"/>
      <c r="X140" s="218">
        <f>('INTRODUCIR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DATOS'!$D$17)+'INTRODUCIR DATOS'!$D$15+'INTRODUCIR DATOS'!$D$16+(('INTRODUCIR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DATOS'!$D$17)+'INTRODUCIR DATOS'!$D$16)*21/100</f>
        <v>1.0285</v>
      </c>
      <c r="Y140" s="165">
        <f>IF(X140=0,"",'INTRODUCIR DATOS'!$D$14-X140)</f>
        <v>113.12150000000001</v>
      </c>
      <c r="Z140" s="165">
        <f>IF(X140=0,"",('INTRODUCIR DATOS'!$D$14-X140)/'INTRODUCIR DATOS'!$D$14)</f>
        <v>0.99098992553657472</v>
      </c>
      <c r="AA140" s="163"/>
      <c r="AB140" s="163"/>
      <c r="AC140" s="205"/>
      <c r="AD140" s="218">
        <f>('INTRODUCIR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DATOS'!$D$17)+'INTRODUCIR DATOS'!$D$15+'INTRODUCIR DATOS'!$D$16+(('INTRODUCIR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DATOS'!$D$17)+'INTRODUCIR DATOS'!$D$16)*21/100</f>
        <v>1.0285</v>
      </c>
      <c r="AE140" s="165">
        <f>IF(AD140=0,"",'INTRODUCIR DATOS'!$D$14-AD140)</f>
        <v>113.12150000000001</v>
      </c>
      <c r="AF140" s="165">
        <f>IF(AD140=0,"",('INTRODUCIR DATOS'!$D$14-AD140)/'INTRODUCIR DATOS'!$D$14)</f>
        <v>0.99098992553657472</v>
      </c>
      <c r="AG140" s="163"/>
      <c r="AH140" s="163"/>
      <c r="AI140" s="166"/>
      <c r="AJ140" s="218">
        <f>('INTRODUCIR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DATOS'!$D$17)+'INTRODUCIR DATOS'!$D$15+'INTRODUCIR DATOS'!$D$16+(('INTRODUCIR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DATOS'!$D$17)+'INTRODUCIR DATOS'!$D$16)*21/100</f>
        <v>1.0285</v>
      </c>
      <c r="AK140" s="165">
        <f>IF(AJ140=0,"",'INTRODUCIR DATOS'!$D$14-AJ140)</f>
        <v>113.12150000000001</v>
      </c>
      <c r="AL140" s="165">
        <f>IF(AJ140=0,"",('INTRODUCIR DATOS'!$D$14-AJ140)/'INTRODUCIR DATOS'!$D$14)</f>
        <v>0.99098992553657472</v>
      </c>
      <c r="AM140" s="163"/>
      <c r="AN140" s="163"/>
      <c r="AO140" s="166"/>
    </row>
    <row r="141" spans="13:41">
      <c r="W141" s="212" t="s">
        <v>79</v>
      </c>
      <c r="X141" s="217">
        <f>'PRECIOS CYE'!H19</f>
        <v>0</v>
      </c>
      <c r="Y141" s="163">
        <f>'PRECIOS CYE'!I19</f>
        <v>0</v>
      </c>
      <c r="Z141" s="163">
        <f>'PRECIOS CYE'!J19</f>
        <v>0</v>
      </c>
      <c r="AA141" s="163"/>
      <c r="AB141" s="163"/>
      <c r="AC141" s="205"/>
      <c r="AD141" s="217">
        <f>'PRECIOS CYE'!N19</f>
        <v>0</v>
      </c>
      <c r="AE141" s="163">
        <f>'PRECIOS CYE'!O19</f>
        <v>0</v>
      </c>
      <c r="AF141" s="163">
        <f>'PRECIOS CYE'!P19</f>
        <v>0</v>
      </c>
      <c r="AG141" s="163">
        <f>'PRECIOS CYE'!Q19</f>
        <v>0</v>
      </c>
      <c r="AH141" s="163">
        <f>'PRECIOS CYE'!R19</f>
        <v>0</v>
      </c>
      <c r="AI141" s="166">
        <f>'PRECIOS CYE'!S19</f>
        <v>0</v>
      </c>
      <c r="AJ141" s="172">
        <f>'PRECIOS CYE'!T19</f>
        <v>0</v>
      </c>
      <c r="AK141" s="163">
        <f>'PRECIOS CYE'!U19</f>
        <v>0</v>
      </c>
      <c r="AL141" s="163">
        <f>'PRECIOS CYE'!V19</f>
        <v>0</v>
      </c>
      <c r="AM141" s="163">
        <f>'PRECIOS CYE'!W19</f>
        <v>0</v>
      </c>
      <c r="AN141" s="163">
        <f>'PRECIOS CYE'!X19</f>
        <v>0</v>
      </c>
      <c r="AO141" s="166">
        <f>'PRECIOS CYE'!Y19</f>
        <v>0</v>
      </c>
    </row>
    <row r="142" spans="13:41">
      <c r="W142" s="212" t="s">
        <v>115</v>
      </c>
      <c r="X142" s="217">
        <f>'PRECIOS CYE'!H8</f>
        <v>0</v>
      </c>
      <c r="Y142" s="163">
        <f>'PRECIOS CYE'!I8</f>
        <v>0</v>
      </c>
      <c r="Z142" s="163">
        <f>'PRECIOS CYE'!J8</f>
        <v>0</v>
      </c>
      <c r="AA142" s="163"/>
      <c r="AB142" s="163"/>
      <c r="AC142" s="205"/>
      <c r="AD142" s="217">
        <f>'PRECIOS CYE'!N8</f>
        <v>0</v>
      </c>
      <c r="AE142" s="163">
        <f>'PRECIOS CYE'!O8</f>
        <v>0</v>
      </c>
      <c r="AF142" s="163">
        <f>'PRECIOS CYE'!P8</f>
        <v>0</v>
      </c>
      <c r="AG142" s="163">
        <f>'PRECIOS CYE'!Q8</f>
        <v>0</v>
      </c>
      <c r="AH142" s="163">
        <f>'PRECIOS CYE'!R8</f>
        <v>0</v>
      </c>
      <c r="AI142" s="166">
        <f>'PRECIOS CYE'!S8</f>
        <v>0</v>
      </c>
      <c r="AJ142" s="172">
        <f>'PRECIOS CYE'!T8</f>
        <v>0</v>
      </c>
      <c r="AK142" s="163">
        <f>'PRECIOS CYE'!U8</f>
        <v>0</v>
      </c>
      <c r="AL142" s="163">
        <f>'PRECIOS CYE'!V8</f>
        <v>0</v>
      </c>
      <c r="AM142" s="163">
        <f>'PRECIOS CYE'!W8</f>
        <v>0</v>
      </c>
      <c r="AN142" s="163">
        <f>'PRECIOS CYE'!X8</f>
        <v>0</v>
      </c>
      <c r="AO142" s="166">
        <f>'PRECIOS CYE'!Y8</f>
        <v>0</v>
      </c>
    </row>
    <row r="143" spans="13:41">
      <c r="W143" s="212"/>
      <c r="X143" s="218">
        <f>('INTRODUCIR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DATOS'!$D$17)+'INTRODUCIR DATOS'!$D$15+'INTRODUCIR DATOS'!$D$16+(('INTRODUCIR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DATOS'!$D$17)+'INTRODUCIR DATOS'!$D$16)*21/100</f>
        <v>1.0285</v>
      </c>
      <c r="Y143" s="165">
        <f>IF(X143=0,"",'INTRODUCIR DATOS'!$D$14-X143)</f>
        <v>113.12150000000001</v>
      </c>
      <c r="Z143" s="165">
        <f>IF(X143=0,"",('INTRODUCIR DATOS'!$D$14-X143)/'INTRODUCIR DATOS'!$D$14)</f>
        <v>0.99098992553657472</v>
      </c>
      <c r="AA143" s="163"/>
      <c r="AB143" s="163"/>
      <c r="AC143" s="205"/>
      <c r="AD143" s="218">
        <f>('INTRODUCIR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DATOS'!$D$17)+'INTRODUCIR DATOS'!$D$15+'INTRODUCIR DATOS'!$D$16+(('INTRODUCIR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DATOS'!$D$17)+'INTRODUCIR DATOS'!$D$16)*21/100</f>
        <v>1.0285</v>
      </c>
      <c r="AE143" s="165">
        <f>IF(AD143=0,"",'INTRODUCIR DATOS'!$D$14-AD143)</f>
        <v>113.12150000000001</v>
      </c>
      <c r="AF143" s="165">
        <f>IF(AD143=0,"",('INTRODUCIR DATOS'!$D$14-AD143)/'INTRODUCIR DATOS'!$D$14)</f>
        <v>0.99098992553657472</v>
      </c>
      <c r="AG143" s="163"/>
      <c r="AH143" s="163"/>
      <c r="AI143" s="166"/>
      <c r="AJ143" s="218">
        <f>('INTRODUCIR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DATOS'!$D$17)+'INTRODUCIR DATOS'!$D$15+'INTRODUCIR DATOS'!$D$16+(('INTRODUCIR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DATOS'!$D$17)+'INTRODUCIR DATOS'!$D$16)*21/100</f>
        <v>1.0285</v>
      </c>
      <c r="AK143" s="165">
        <f>IF(AJ143=0,"",'INTRODUCIR DATOS'!$D$14-AJ143)</f>
        <v>113.12150000000001</v>
      </c>
      <c r="AL143" s="165">
        <f>IF(AJ143=0,"",('INTRODUCIR DATOS'!$D$14-AJ143)/'INTRODUCIR DATOS'!$D$14)</f>
        <v>0.99098992553657472</v>
      </c>
      <c r="AM143" s="163"/>
      <c r="AN143" s="163"/>
      <c r="AO143" s="166"/>
    </row>
    <row r="144" spans="13:41">
      <c r="W144" s="212" t="s">
        <v>79</v>
      </c>
      <c r="X144" s="217">
        <f>'PRECIOS CYE'!H20</f>
        <v>0</v>
      </c>
      <c r="Y144" s="163">
        <f>'PRECIOS CYE'!I20</f>
        <v>0</v>
      </c>
      <c r="Z144" s="163">
        <f>'PRECIOS CYE'!J20</f>
        <v>0</v>
      </c>
      <c r="AA144" s="163"/>
      <c r="AB144" s="163"/>
      <c r="AC144" s="205"/>
      <c r="AD144" s="217">
        <f>'PRECIOS CYE'!N20</f>
        <v>0</v>
      </c>
      <c r="AE144" s="163">
        <f>'PRECIOS CYE'!O20</f>
        <v>0</v>
      </c>
      <c r="AF144" s="163">
        <f>'PRECIOS CYE'!P20</f>
        <v>0</v>
      </c>
      <c r="AG144" s="163">
        <f>'PRECIOS CYE'!Q20</f>
        <v>0</v>
      </c>
      <c r="AH144" s="163">
        <f>'PRECIOS CYE'!R20</f>
        <v>0</v>
      </c>
      <c r="AI144" s="166">
        <f>'PRECIOS CYE'!S20</f>
        <v>0</v>
      </c>
      <c r="AJ144" s="172">
        <f>'PRECIOS CYE'!T20</f>
        <v>0</v>
      </c>
      <c r="AK144" s="163">
        <f>'PRECIOS CYE'!U20</f>
        <v>0</v>
      </c>
      <c r="AL144" s="163">
        <f>'PRECIOS CYE'!V20</f>
        <v>0</v>
      </c>
      <c r="AM144" s="163">
        <f>'PRECIOS CYE'!W20</f>
        <v>0</v>
      </c>
      <c r="AN144" s="163">
        <f>'PRECIOS CYE'!X20</f>
        <v>0</v>
      </c>
      <c r="AO144" s="166">
        <f>'PRECIOS CYE'!Y20</f>
        <v>0</v>
      </c>
    </row>
    <row r="145" spans="23:41">
      <c r="W145" s="212" t="s">
        <v>116</v>
      </c>
      <c r="X145" s="217">
        <f>'PRECIOS CYE'!H8</f>
        <v>0</v>
      </c>
      <c r="Y145" s="163">
        <f>'PRECIOS CYE'!I8</f>
        <v>0</v>
      </c>
      <c r="Z145" s="163">
        <f>'PRECIOS CYE'!J8</f>
        <v>0</v>
      </c>
      <c r="AA145" s="163"/>
      <c r="AB145" s="163"/>
      <c r="AC145" s="205"/>
      <c r="AD145" s="217">
        <f>'PRECIOS CYE'!N8</f>
        <v>0</v>
      </c>
      <c r="AE145" s="163">
        <f>'PRECIOS CYE'!O8</f>
        <v>0</v>
      </c>
      <c r="AF145" s="163">
        <f>'PRECIOS CYE'!P8</f>
        <v>0</v>
      </c>
      <c r="AG145" s="163">
        <f>'PRECIOS CYE'!Q8</f>
        <v>0</v>
      </c>
      <c r="AH145" s="163">
        <f>'PRECIOS CYE'!R8</f>
        <v>0</v>
      </c>
      <c r="AI145" s="166">
        <f>'PRECIOS CYE'!S8</f>
        <v>0</v>
      </c>
      <c r="AJ145" s="172">
        <f>'PRECIOS CYE'!T8</f>
        <v>0</v>
      </c>
      <c r="AK145" s="163">
        <f>'PRECIOS CYE'!U8</f>
        <v>0</v>
      </c>
      <c r="AL145" s="163">
        <f>'PRECIOS CYE'!V8</f>
        <v>0</v>
      </c>
      <c r="AM145" s="163">
        <f>'PRECIOS CYE'!W8</f>
        <v>0</v>
      </c>
      <c r="AN145" s="163">
        <f>'PRECIOS CYE'!X8</f>
        <v>0</v>
      </c>
      <c r="AO145" s="166">
        <f>'PRECIOS CYE'!Y8</f>
        <v>0</v>
      </c>
    </row>
    <row r="146" spans="23:41">
      <c r="W146" s="212"/>
      <c r="X146" s="218">
        <f>('INTRODUCIR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DATOS'!$D$17)+'INTRODUCIR DATOS'!$D$15+'INTRODUCIR DATOS'!$D$16+(('INTRODUCIR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DATOS'!$D$17)+'INTRODUCIR DATOS'!$D$16)*21/100</f>
        <v>1.0285</v>
      </c>
      <c r="Y146" s="165">
        <f>IF(X146=0,"",'INTRODUCIR DATOS'!$D$14-X146)</f>
        <v>113.12150000000001</v>
      </c>
      <c r="Z146" s="165">
        <f>IF(X146=0,"",('INTRODUCIR DATOS'!$D$14-X146)/'INTRODUCIR DATOS'!$D$14)</f>
        <v>0.99098992553657472</v>
      </c>
      <c r="AA146" s="163"/>
      <c r="AB146" s="163"/>
      <c r="AC146" s="205"/>
      <c r="AD146" s="218">
        <f>('INTRODUCIR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DATOS'!$D$17)+'INTRODUCIR DATOS'!$D$15+'INTRODUCIR DATOS'!$D$16+(('INTRODUCIR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DATOS'!$D$17)+'INTRODUCIR DATOS'!$D$16)*21/100</f>
        <v>1.0285</v>
      </c>
      <c r="AE146" s="165">
        <f>IF(AD146=0,"",'INTRODUCIR DATOS'!$D$14-AD146)</f>
        <v>113.12150000000001</v>
      </c>
      <c r="AF146" s="165">
        <f>IF(AD146=0,"",('INTRODUCIR DATOS'!$D$14-AD146)/'INTRODUCIR DATOS'!$D$14)</f>
        <v>0.99098992553657472</v>
      </c>
      <c r="AG146" s="163"/>
      <c r="AH146" s="163"/>
      <c r="AI146" s="166"/>
      <c r="AJ146" s="218">
        <f>('INTRODUCIR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DATOS'!$D$17)+'INTRODUCIR DATOS'!$D$15+'INTRODUCIR DATOS'!$D$16+(('INTRODUCIR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DATOS'!$D$17)+'INTRODUCIR DATOS'!$D$16)*21/100</f>
        <v>1.0285</v>
      </c>
      <c r="AK146" s="165">
        <f>IF(AJ146=0,"",'INTRODUCIR DATOS'!$D$14-AJ146)</f>
        <v>113.12150000000001</v>
      </c>
      <c r="AL146" s="165">
        <f>IF(AJ146=0,"",('INTRODUCIR DATOS'!$D$14-AJ146)/'INTRODUCIR DATOS'!$D$14)</f>
        <v>0.99098992553657472</v>
      </c>
      <c r="AM146" s="163"/>
      <c r="AN146" s="163"/>
      <c r="AO146" s="166"/>
    </row>
    <row r="147" spans="23:41">
      <c r="W147" s="212" t="s">
        <v>79</v>
      </c>
      <c r="X147" s="217">
        <f>'PRECIOS CYE'!H21</f>
        <v>0</v>
      </c>
      <c r="Y147" s="163">
        <f>'PRECIOS CYE'!I21</f>
        <v>0</v>
      </c>
      <c r="Z147" s="163">
        <f>'PRECIOS CYE'!J21</f>
        <v>0</v>
      </c>
      <c r="AA147" s="163"/>
      <c r="AB147" s="163"/>
      <c r="AC147" s="205"/>
      <c r="AD147" s="217">
        <f>'PRECIOS CYE'!N21</f>
        <v>0</v>
      </c>
      <c r="AE147" s="163">
        <f>'PRECIOS CYE'!O21</f>
        <v>0</v>
      </c>
      <c r="AF147" s="163">
        <f>'PRECIOS CYE'!P21</f>
        <v>0</v>
      </c>
      <c r="AG147" s="163">
        <f>'PRECIOS CYE'!Q21</f>
        <v>0</v>
      </c>
      <c r="AH147" s="163">
        <f>'PRECIOS CYE'!R21</f>
        <v>0</v>
      </c>
      <c r="AI147" s="166">
        <f>'PRECIOS CYE'!S21</f>
        <v>0</v>
      </c>
      <c r="AJ147" s="172">
        <f>'PRECIOS CYE'!T21</f>
        <v>0</v>
      </c>
      <c r="AK147" s="163">
        <f>'PRECIOS CYE'!U21</f>
        <v>0</v>
      </c>
      <c r="AL147" s="163">
        <f>'PRECIOS CYE'!V21</f>
        <v>0</v>
      </c>
      <c r="AM147" s="163">
        <f>'PRECIOS CYE'!W21</f>
        <v>0</v>
      </c>
      <c r="AN147" s="163">
        <f>'PRECIOS CYE'!X21</f>
        <v>0</v>
      </c>
      <c r="AO147" s="166">
        <f>'PRECIOS CYE'!Y21</f>
        <v>0</v>
      </c>
    </row>
    <row r="148" spans="23:41">
      <c r="W148" s="212" t="s">
        <v>60</v>
      </c>
      <c r="X148" s="217">
        <f>'PRECIOS CYE'!H8</f>
        <v>0</v>
      </c>
      <c r="Y148" s="163">
        <f>'PRECIOS CYE'!I8</f>
        <v>0</v>
      </c>
      <c r="Z148" s="163">
        <f>'PRECIOS CYE'!J8</f>
        <v>0</v>
      </c>
      <c r="AA148" s="163"/>
      <c r="AB148" s="163"/>
      <c r="AC148" s="205"/>
      <c r="AD148" s="217">
        <f>'PRECIOS CYE'!N8</f>
        <v>0</v>
      </c>
      <c r="AE148" s="163">
        <f>'PRECIOS CYE'!O8</f>
        <v>0</v>
      </c>
      <c r="AF148" s="163">
        <f>'PRECIOS CYE'!P8</f>
        <v>0</v>
      </c>
      <c r="AG148" s="163">
        <f>'PRECIOS CYE'!Q8</f>
        <v>0</v>
      </c>
      <c r="AH148" s="163">
        <f>'PRECIOS CYE'!R8</f>
        <v>0</v>
      </c>
      <c r="AI148" s="166">
        <f>'PRECIOS CYE'!S8</f>
        <v>0</v>
      </c>
      <c r="AJ148" s="172">
        <f>'PRECIOS CYE'!T8</f>
        <v>0</v>
      </c>
      <c r="AK148" s="163">
        <f>'PRECIOS CYE'!U8</f>
        <v>0</v>
      </c>
      <c r="AL148" s="163">
        <f>'PRECIOS CYE'!V8</f>
        <v>0</v>
      </c>
      <c r="AM148" s="163">
        <f>'PRECIOS CYE'!W8</f>
        <v>0</v>
      </c>
      <c r="AN148" s="163">
        <f>'PRECIOS CYE'!X8</f>
        <v>0</v>
      </c>
      <c r="AO148" s="166">
        <f>'PRECIOS CYE'!Y8</f>
        <v>0</v>
      </c>
    </row>
    <row r="149" spans="23:41">
      <c r="W149" s="212"/>
      <c r="X149" s="218">
        <f>('INTRODUCIR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DATOS'!$D$17)+'INTRODUCIR DATOS'!$D$15+'INTRODUCIR DATOS'!$D$16+(('INTRODUCIR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DATOS'!$D$17)+'INTRODUCIR DATOS'!$D$16)*21/100</f>
        <v>1.0285</v>
      </c>
      <c r="Y149" s="165">
        <f>IF(X149=0,"",'INTRODUCIR DATOS'!$D$14-X149)</f>
        <v>113.12150000000001</v>
      </c>
      <c r="Z149" s="165">
        <f>IF(X149=0,"",('INTRODUCIR DATOS'!$D$14-X149)/'INTRODUCIR DATOS'!$D$14)</f>
        <v>0.99098992553657472</v>
      </c>
      <c r="AA149" s="163"/>
      <c r="AB149" s="163"/>
      <c r="AC149" s="205"/>
      <c r="AD149" s="218">
        <f>('INTRODUCIR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DATOS'!$D$17)+'INTRODUCIR DATOS'!$D$15+'INTRODUCIR DATOS'!$D$16+(('INTRODUCIR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DATOS'!$D$17)+'INTRODUCIR DATOS'!$D$16)*21/100</f>
        <v>1.0285</v>
      </c>
      <c r="AE149" s="165">
        <f>IF(AD149=0,"",'INTRODUCIR DATOS'!$D$14-AD149)</f>
        <v>113.12150000000001</v>
      </c>
      <c r="AF149" s="165">
        <f>IF(AD149=0,"",('INTRODUCIR DATOS'!$D$14-AD149)/'INTRODUCIR DATOS'!$D$14)</f>
        <v>0.99098992553657472</v>
      </c>
      <c r="AG149" s="163"/>
      <c r="AH149" s="163"/>
      <c r="AI149" s="166"/>
      <c r="AJ149" s="218">
        <f>('INTRODUCIR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DATOS'!$D$17)+'INTRODUCIR DATOS'!$D$15+'INTRODUCIR DATOS'!$D$16+(('INTRODUCIR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DATOS'!$D$17)+'INTRODUCIR DATOS'!$D$16)*21/100</f>
        <v>1.0285</v>
      </c>
      <c r="AK149" s="165">
        <f>IF(AJ149=0,"",'INTRODUCIR DATOS'!$D$14-AJ149)</f>
        <v>113.12150000000001</v>
      </c>
      <c r="AL149" s="165">
        <f>IF(AJ149=0,"",('INTRODUCIR DATOS'!$D$14-AJ149)/'INTRODUCIR DATOS'!$D$14)</f>
        <v>0.99098992553657472</v>
      </c>
      <c r="AM149" s="163"/>
      <c r="AN149" s="163"/>
      <c r="AO149" s="166"/>
    </row>
    <row r="150" spans="23:41">
      <c r="W150" s="212" t="s">
        <v>79</v>
      </c>
      <c r="X150" s="217">
        <f>'PRECIOS CYE'!H22</f>
        <v>0</v>
      </c>
      <c r="Y150" s="163">
        <f>'PRECIOS CYE'!I22</f>
        <v>0</v>
      </c>
      <c r="Z150" s="163">
        <f>'PRECIOS CYE'!J22</f>
        <v>0</v>
      </c>
      <c r="AA150" s="163"/>
      <c r="AB150" s="163"/>
      <c r="AC150" s="205"/>
      <c r="AD150" s="217">
        <f>'PRECIOS CYE'!N22</f>
        <v>0</v>
      </c>
      <c r="AE150" s="163">
        <f>'PRECIOS CYE'!O22</f>
        <v>0</v>
      </c>
      <c r="AF150" s="163">
        <f>'PRECIOS CYE'!P22</f>
        <v>0</v>
      </c>
      <c r="AG150" s="163">
        <f>'PRECIOS CYE'!Q22</f>
        <v>0</v>
      </c>
      <c r="AH150" s="163">
        <f>'PRECIOS CYE'!R22</f>
        <v>0</v>
      </c>
      <c r="AI150" s="166">
        <f>'PRECIOS CYE'!S22</f>
        <v>0</v>
      </c>
      <c r="AJ150" s="172">
        <f>'PRECIOS CYE'!T22</f>
        <v>0</v>
      </c>
      <c r="AK150" s="163">
        <f>'PRECIOS CYE'!U22</f>
        <v>0</v>
      </c>
      <c r="AL150" s="163">
        <f>'PRECIOS CYE'!V22</f>
        <v>0</v>
      </c>
      <c r="AM150" s="163">
        <f>'PRECIOS CYE'!W22</f>
        <v>0</v>
      </c>
      <c r="AN150" s="163">
        <f>'PRECIOS CYE'!X22</f>
        <v>0</v>
      </c>
      <c r="AO150" s="166">
        <f>'PRECIOS CYE'!Y22</f>
        <v>0</v>
      </c>
    </row>
    <row r="151" spans="23:41">
      <c r="W151" s="212" t="s">
        <v>62</v>
      </c>
      <c r="X151" s="217">
        <f>'PRECIOS CYE'!H8</f>
        <v>0</v>
      </c>
      <c r="Y151" s="163">
        <f>'PRECIOS CYE'!I8</f>
        <v>0</v>
      </c>
      <c r="Z151" s="163">
        <f>'PRECIOS CYE'!J8</f>
        <v>0</v>
      </c>
      <c r="AA151" s="163"/>
      <c r="AB151" s="163"/>
      <c r="AC151" s="205"/>
      <c r="AD151" s="217">
        <f>'PRECIOS CYE'!N8</f>
        <v>0</v>
      </c>
      <c r="AE151" s="163">
        <f>'PRECIOS CYE'!O8</f>
        <v>0</v>
      </c>
      <c r="AF151" s="163">
        <f>'PRECIOS CYE'!P8</f>
        <v>0</v>
      </c>
      <c r="AG151" s="163">
        <f>'PRECIOS CYE'!Q8</f>
        <v>0</v>
      </c>
      <c r="AH151" s="163">
        <f>'PRECIOS CYE'!R8</f>
        <v>0</v>
      </c>
      <c r="AI151" s="166">
        <f>'PRECIOS CYE'!S8</f>
        <v>0</v>
      </c>
      <c r="AJ151" s="172">
        <f>'PRECIOS CYE'!T8</f>
        <v>0</v>
      </c>
      <c r="AK151" s="163">
        <f>'PRECIOS CYE'!U8</f>
        <v>0</v>
      </c>
      <c r="AL151" s="163">
        <f>'PRECIOS CYE'!V8</f>
        <v>0</v>
      </c>
      <c r="AM151" s="163">
        <f>'PRECIOS CYE'!W8</f>
        <v>0</v>
      </c>
      <c r="AN151" s="163">
        <f>'PRECIOS CYE'!X8</f>
        <v>0</v>
      </c>
      <c r="AO151" s="166">
        <f>'PRECIOS CYE'!Y8</f>
        <v>0</v>
      </c>
    </row>
    <row r="152" spans="23:41">
      <c r="W152" s="212"/>
      <c r="X152" s="218">
        <f>('INTRODUCIR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DATOS'!$D$17)+'INTRODUCIR DATOS'!$D$15+'INTRODUCIR DATOS'!$D$16+(('INTRODUCIR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DATOS'!$D$17)+'INTRODUCIR DATOS'!$D$16)*21/100</f>
        <v>1.0285</v>
      </c>
      <c r="Y152" s="165">
        <f>IF(X152=0,"",'INTRODUCIR DATOS'!$D$14-X152)</f>
        <v>113.12150000000001</v>
      </c>
      <c r="Z152" s="165">
        <f>IF(X152=0,"",('INTRODUCIR DATOS'!$D$14-X152)/'INTRODUCIR DATOS'!$D$14)</f>
        <v>0.99098992553657472</v>
      </c>
      <c r="AA152" s="163"/>
      <c r="AB152" s="163"/>
      <c r="AC152" s="205"/>
      <c r="AD152" s="218">
        <f>('INTRODUCIR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DATOS'!$D$17)+'INTRODUCIR DATOS'!$D$15+'INTRODUCIR DATOS'!$D$16+(('INTRODUCIR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DATOS'!$D$17)+'INTRODUCIR DATOS'!$D$16)*21/100</f>
        <v>1.0285</v>
      </c>
      <c r="AE152" s="165">
        <f>IF(AD152=0,"",'INTRODUCIR DATOS'!$D$14-AD152)</f>
        <v>113.12150000000001</v>
      </c>
      <c r="AF152" s="165">
        <f>IF(AD152=0,"",('INTRODUCIR DATOS'!$D$14-AD152)/'INTRODUCIR DATOS'!$D$14)</f>
        <v>0.99098992553657472</v>
      </c>
      <c r="AG152" s="163"/>
      <c r="AH152" s="163"/>
      <c r="AI152" s="166"/>
      <c r="AJ152" s="218">
        <f>('INTRODUCIR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DATOS'!$D$17)+'INTRODUCIR DATOS'!$D$15+'INTRODUCIR DATOS'!$D$16+(('INTRODUCIR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DATOS'!$D$17)+'INTRODUCIR DATOS'!$D$16)*21/100</f>
        <v>1.0285</v>
      </c>
      <c r="AK152" s="165">
        <f>IF(AJ152=0,"",'INTRODUCIR DATOS'!$D$14-AJ152)</f>
        <v>113.12150000000001</v>
      </c>
      <c r="AL152" s="165">
        <f>IF(AJ152=0,"",('INTRODUCIR DATOS'!$D$14-AJ152)/'INTRODUCIR DATOS'!$D$14)</f>
        <v>0.99098992553657472</v>
      </c>
      <c r="AM152" s="163"/>
      <c r="AN152" s="163"/>
      <c r="AO152" s="166"/>
    </row>
    <row r="153" spans="23:41">
      <c r="W153" s="212" t="s">
        <v>79</v>
      </c>
      <c r="X153" s="217">
        <f>'PRECIOS CYE'!H23</f>
        <v>0</v>
      </c>
      <c r="Y153" s="163">
        <f>'PRECIOS CYE'!I23</f>
        <v>0</v>
      </c>
      <c r="Z153" s="163">
        <f>'PRECIOS CYE'!J23</f>
        <v>0</v>
      </c>
      <c r="AA153" s="163"/>
      <c r="AB153" s="163"/>
      <c r="AC153" s="205"/>
      <c r="AD153" s="217"/>
      <c r="AE153" s="163"/>
      <c r="AF153" s="163"/>
      <c r="AG153" s="163"/>
      <c r="AH153" s="163"/>
      <c r="AI153" s="166"/>
      <c r="AJ153" s="172"/>
      <c r="AK153" s="163"/>
      <c r="AL153" s="163"/>
      <c r="AM153" s="163"/>
      <c r="AN153" s="163"/>
      <c r="AO153" s="166"/>
    </row>
    <row r="154" spans="23:41">
      <c r="W154" s="212" t="s">
        <v>63</v>
      </c>
      <c r="X154" s="217">
        <f>'PRECIOS CYE'!H8</f>
        <v>0</v>
      </c>
      <c r="Y154" s="163">
        <f>'PRECIOS CYE'!I8</f>
        <v>0</v>
      </c>
      <c r="Z154" s="163">
        <f>'PRECIOS CYE'!J8</f>
        <v>0</v>
      </c>
      <c r="AA154" s="163"/>
      <c r="AB154" s="163"/>
      <c r="AC154" s="205"/>
      <c r="AD154" s="217"/>
      <c r="AE154" s="163"/>
      <c r="AF154" s="163"/>
      <c r="AG154" s="163"/>
      <c r="AH154" s="163"/>
      <c r="AI154" s="166"/>
      <c r="AJ154" s="172"/>
      <c r="AK154" s="163"/>
      <c r="AL154" s="163"/>
      <c r="AM154" s="163"/>
      <c r="AN154" s="163"/>
      <c r="AO154" s="166"/>
    </row>
    <row r="155" spans="23:41">
      <c r="W155" s="212"/>
      <c r="X155" s="218">
        <f>('INTRODUCIR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DATOS'!$D$17)+'INTRODUCIR DATOS'!$D$15+'INTRODUCIR DATOS'!$D$16+(('INTRODUCIR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DATOS'!$D$17)+'INTRODUCIR DATOS'!$D$16)*21/100</f>
        <v>1.0285</v>
      </c>
      <c r="Y155" s="165">
        <f>IF(X155=0,"",'INTRODUCIR DATOS'!$D$14-X155)</f>
        <v>113.12150000000001</v>
      </c>
      <c r="Z155" s="165">
        <f>IF(X155=0,"",('INTRODUCIR DATOS'!$D$14-X155)/'INTRODUCIR DATOS'!$D$14)</f>
        <v>0.99098992553657472</v>
      </c>
      <c r="AA155" s="163"/>
      <c r="AB155" s="163"/>
      <c r="AC155" s="205"/>
      <c r="AD155" s="218"/>
      <c r="AE155" s="165"/>
      <c r="AF155" s="165"/>
      <c r="AG155" s="163"/>
      <c r="AH155" s="163"/>
      <c r="AI155" s="166"/>
      <c r="AJ155" s="173"/>
      <c r="AK155" s="165"/>
      <c r="AL155" s="165"/>
      <c r="AM155" s="163"/>
      <c r="AN155" s="163"/>
      <c r="AO155" s="166"/>
    </row>
    <row r="156" spans="23:41">
      <c r="W156" s="212" t="s">
        <v>79</v>
      </c>
      <c r="X156" s="217">
        <f>'PRECIOS CYE'!H24</f>
        <v>0</v>
      </c>
      <c r="Y156" s="163">
        <f>'PRECIOS CYE'!I24</f>
        <v>0</v>
      </c>
      <c r="Z156" s="163">
        <f>'PRECIOS CYE'!J24</f>
        <v>0</v>
      </c>
      <c r="AA156" s="163"/>
      <c r="AB156" s="163"/>
      <c r="AC156" s="205"/>
      <c r="AD156" s="217"/>
      <c r="AE156" s="163"/>
      <c r="AF156" s="163"/>
      <c r="AG156" s="163"/>
      <c r="AH156" s="163"/>
      <c r="AI156" s="166"/>
      <c r="AJ156" s="172"/>
      <c r="AK156" s="163"/>
      <c r="AL156" s="163"/>
      <c r="AM156" s="163"/>
      <c r="AN156" s="163"/>
      <c r="AO156" s="166"/>
    </row>
    <row r="157" spans="23:41">
      <c r="W157" s="212" t="s">
        <v>65</v>
      </c>
      <c r="X157" s="217">
        <f>'PRECIOS CYE'!H8</f>
        <v>0</v>
      </c>
      <c r="Y157" s="163">
        <f>'PRECIOS CYE'!I8</f>
        <v>0</v>
      </c>
      <c r="Z157" s="163">
        <f>'PRECIOS CYE'!J8</f>
        <v>0</v>
      </c>
      <c r="AA157" s="163"/>
      <c r="AB157" s="163"/>
      <c r="AC157" s="205"/>
      <c r="AD157" s="217"/>
      <c r="AE157" s="163"/>
      <c r="AF157" s="163"/>
      <c r="AG157" s="163"/>
      <c r="AH157" s="163"/>
      <c r="AI157" s="166"/>
      <c r="AJ157" s="172"/>
      <c r="AK157" s="163"/>
      <c r="AL157" s="163"/>
      <c r="AM157" s="163"/>
      <c r="AN157" s="163"/>
      <c r="AO157" s="166"/>
    </row>
    <row r="158" spans="23:41">
      <c r="W158" s="212"/>
      <c r="X158" s="218">
        <f>('INTRODUCIR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DATOS'!$D$17)+'INTRODUCIR DATOS'!$D$15+'INTRODUCIR DATOS'!$D$16+(('INTRODUCIR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DATOS'!$D$17)+'INTRODUCIR DATOS'!$D$16)*21/100</f>
        <v>1.0285</v>
      </c>
      <c r="Y158" s="165">
        <f>IF(X158=0,"",'INTRODUCIR DATOS'!$D$14-X158)</f>
        <v>113.12150000000001</v>
      </c>
      <c r="Z158" s="165">
        <f>IF(X158=0,"",('INTRODUCIR DATOS'!$D$14-X158)/'INTRODUCIR DATOS'!$D$14)</f>
        <v>0.99098992553657472</v>
      </c>
      <c r="AA158" s="163"/>
      <c r="AB158" s="163"/>
      <c r="AC158" s="205"/>
      <c r="AD158" s="218"/>
      <c r="AE158" s="165"/>
      <c r="AF158" s="165"/>
      <c r="AG158" s="163"/>
      <c r="AH158" s="163"/>
      <c r="AI158" s="166"/>
      <c r="AJ158" s="173"/>
      <c r="AK158" s="165"/>
      <c r="AL158" s="165"/>
      <c r="AM158" s="163"/>
      <c r="AN158" s="163"/>
      <c r="AO158" s="166"/>
    </row>
    <row r="159" spans="23:41">
      <c r="W159" s="212" t="s">
        <v>79</v>
      </c>
      <c r="X159" s="217">
        <f>'PRECIOS CYE'!H25</f>
        <v>0</v>
      </c>
      <c r="Y159" s="163">
        <f>'PRECIOS CYE'!I25</f>
        <v>0</v>
      </c>
      <c r="Z159" s="163">
        <f>'PRECIOS CYE'!J25</f>
        <v>0</v>
      </c>
      <c r="AA159" s="163"/>
      <c r="AB159" s="163"/>
      <c r="AC159" s="205"/>
      <c r="AD159" s="217"/>
      <c r="AE159" s="163"/>
      <c r="AF159" s="163"/>
      <c r="AG159" s="163"/>
      <c r="AH159" s="163"/>
      <c r="AI159" s="166"/>
      <c r="AJ159" s="172"/>
      <c r="AK159" s="163"/>
      <c r="AL159" s="163"/>
      <c r="AM159" s="163"/>
      <c r="AN159" s="163"/>
      <c r="AO159" s="166"/>
    </row>
    <row r="160" spans="23:41">
      <c r="W160" s="212" t="s">
        <v>199</v>
      </c>
      <c r="X160" s="217">
        <f>'PRECIOS CYE'!H8</f>
        <v>0</v>
      </c>
      <c r="Y160" s="163">
        <f>'PRECIOS CYE'!I8</f>
        <v>0</v>
      </c>
      <c r="Z160" s="163">
        <f>'PRECIOS CYE'!J8</f>
        <v>0</v>
      </c>
      <c r="AA160" s="163"/>
      <c r="AB160" s="163"/>
      <c r="AC160" s="205"/>
      <c r="AD160" s="217"/>
      <c r="AE160" s="163"/>
      <c r="AF160" s="163"/>
      <c r="AG160" s="163"/>
      <c r="AH160" s="163"/>
      <c r="AI160" s="166"/>
      <c r="AJ160" s="172"/>
      <c r="AK160" s="163"/>
      <c r="AL160" s="163"/>
      <c r="AM160" s="163"/>
      <c r="AN160" s="163"/>
      <c r="AO160" s="166"/>
    </row>
    <row r="161" spans="23:41">
      <c r="W161" s="212"/>
      <c r="X161" s="218">
        <f>('INTRODUCIR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DATOS'!$D$17)+'INTRODUCIR DATOS'!$D$15+'INTRODUCIR DATOS'!$D$16+(('INTRODUCIR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DATOS'!$D$17)+'INTRODUCIR DATOS'!$D$16)*21/100</f>
        <v>1.0285</v>
      </c>
      <c r="Y161" s="165">
        <f>IF(X161=0,"",'INTRODUCIR DATOS'!$D$14-X161)</f>
        <v>113.12150000000001</v>
      </c>
      <c r="Z161" s="165">
        <f>IF(X161=0,"",('INTRODUCIR DATOS'!$D$14-X161)/'INTRODUCIR DATOS'!$D$14)</f>
        <v>0.99098992553657472</v>
      </c>
      <c r="AA161" s="163"/>
      <c r="AB161" s="163"/>
      <c r="AC161" s="205"/>
      <c r="AD161" s="218"/>
      <c r="AE161" s="165"/>
      <c r="AF161" s="165"/>
      <c r="AG161" s="163"/>
      <c r="AH161" s="163"/>
      <c r="AI161" s="166"/>
      <c r="AJ161" s="173"/>
      <c r="AK161" s="165"/>
      <c r="AL161" s="165"/>
      <c r="AM161" s="163"/>
      <c r="AN161" s="163"/>
      <c r="AO161" s="166"/>
    </row>
    <row r="162" spans="23:41">
      <c r="W162" s="212" t="s">
        <v>79</v>
      </c>
      <c r="X162" s="217">
        <f>'PRECIOS CYE'!H26</f>
        <v>0</v>
      </c>
      <c r="Y162" s="163">
        <f>'PRECIOS CYE'!I26</f>
        <v>0</v>
      </c>
      <c r="Z162" s="163">
        <f>'PRECIOS CYE'!J26</f>
        <v>0</v>
      </c>
      <c r="AA162" s="163"/>
      <c r="AB162" s="163"/>
      <c r="AC162" s="205"/>
      <c r="AD162" s="217"/>
      <c r="AE162" s="163"/>
      <c r="AF162" s="163"/>
      <c r="AG162" s="163"/>
      <c r="AH162" s="163"/>
      <c r="AI162" s="166"/>
      <c r="AJ162" s="172"/>
      <c r="AK162" s="163"/>
      <c r="AL162" s="163"/>
      <c r="AM162" s="163"/>
      <c r="AN162" s="163"/>
      <c r="AO162" s="166"/>
    </row>
    <row r="163" spans="23:41">
      <c r="W163" s="212" t="s">
        <v>200</v>
      </c>
      <c r="X163" s="217">
        <f>'PRECIOS CYE'!H8</f>
        <v>0</v>
      </c>
      <c r="Y163" s="163">
        <f>'PRECIOS CYE'!I8</f>
        <v>0</v>
      </c>
      <c r="Z163" s="163">
        <f>'PRECIOS CYE'!J8</f>
        <v>0</v>
      </c>
      <c r="AA163" s="163"/>
      <c r="AB163" s="163"/>
      <c r="AC163" s="205"/>
      <c r="AD163" s="217"/>
      <c r="AE163" s="163"/>
      <c r="AF163" s="163"/>
      <c r="AG163" s="163"/>
      <c r="AH163" s="163"/>
      <c r="AI163" s="166"/>
      <c r="AJ163" s="172"/>
      <c r="AK163" s="163"/>
      <c r="AL163" s="163"/>
      <c r="AM163" s="163"/>
      <c r="AN163" s="163"/>
      <c r="AO163" s="166"/>
    </row>
    <row r="164" spans="23:41">
      <c r="W164" s="212"/>
      <c r="X164" s="218">
        <f>('INTRODUCIR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DATOS'!$D$17)+'INTRODUCIR DATOS'!$D$15+'INTRODUCIR DATOS'!$D$16+(('INTRODUCIR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DATOS'!$D$17)+'INTRODUCIR DATOS'!$D$16)*21/100</f>
        <v>1.0285</v>
      </c>
      <c r="Y164" s="165">
        <f>IF(X164=0,"",'INTRODUCIR DATOS'!$D$14-X164)</f>
        <v>113.12150000000001</v>
      </c>
      <c r="Z164" s="165">
        <f>IF(X164=0,"",('INTRODUCIR DATOS'!$D$14-X164)/'INTRODUCIR DATOS'!$D$14)</f>
        <v>0.99098992553657472</v>
      </c>
      <c r="AA164" s="163"/>
      <c r="AB164" s="163"/>
      <c r="AC164" s="205"/>
      <c r="AD164" s="218"/>
      <c r="AE164" s="165"/>
      <c r="AF164" s="165"/>
      <c r="AG164" s="163"/>
      <c r="AH164" s="163"/>
      <c r="AI164" s="166"/>
      <c r="AJ164" s="173"/>
      <c r="AK164" s="165"/>
      <c r="AL164" s="165"/>
      <c r="AM164" s="163"/>
      <c r="AN164" s="163"/>
      <c r="AO164" s="166"/>
    </row>
    <row r="165" spans="23:41">
      <c r="W165" s="212" t="s">
        <v>37</v>
      </c>
      <c r="X165" s="218">
        <f>'PRECIOS CYE'!H18</f>
        <v>0</v>
      </c>
      <c r="Y165" s="164">
        <f>'PRECIOS CYE'!I18</f>
        <v>0</v>
      </c>
      <c r="Z165" s="164">
        <f>'PRECIOS CYE'!J18</f>
        <v>0</v>
      </c>
      <c r="AA165" s="164"/>
      <c r="AB165" s="164"/>
      <c r="AC165" s="219"/>
      <c r="AD165" s="218">
        <f>'PRECIOS CYE'!N18</f>
        <v>0</v>
      </c>
      <c r="AE165" s="164">
        <f>'PRECIOS CYE'!O18</f>
        <v>0</v>
      </c>
      <c r="AF165" s="164">
        <f>'PRECIOS CYE'!P18</f>
        <v>0</v>
      </c>
      <c r="AG165" s="164">
        <f>'PRECIOS CYE'!Q18</f>
        <v>0</v>
      </c>
      <c r="AH165" s="164">
        <f>'PRECIOS CYE'!R18</f>
        <v>0</v>
      </c>
      <c r="AI165" s="167">
        <f>'PRECIOS CYE'!S18</f>
        <v>0</v>
      </c>
      <c r="AJ165" s="173">
        <f>'PRECIOS CYE'!T18</f>
        <v>0</v>
      </c>
      <c r="AK165" s="164">
        <f>'PRECIOS CYE'!U18</f>
        <v>0</v>
      </c>
      <c r="AL165" s="164">
        <f>'PRECIOS CYE'!V18</f>
        <v>0</v>
      </c>
      <c r="AM165" s="164">
        <f>'PRECIOS CYE'!W18</f>
        <v>0</v>
      </c>
      <c r="AN165" s="164">
        <f>'PRECIOS CYE'!X18</f>
        <v>0</v>
      </c>
      <c r="AO165" s="167">
        <f>'PRECIOS CYE'!Y18</f>
        <v>0</v>
      </c>
    </row>
    <row r="166" spans="23:41">
      <c r="W166" s="212" t="s">
        <v>41</v>
      </c>
      <c r="X166" s="218">
        <f>'PRECIOS CYE'!H9</f>
        <v>0</v>
      </c>
      <c r="Y166" s="164">
        <f>'PRECIOS CYE'!I9</f>
        <v>0</v>
      </c>
      <c r="Z166" s="164">
        <f>'PRECIOS CYE'!J9</f>
        <v>0</v>
      </c>
      <c r="AA166" s="164"/>
      <c r="AB166" s="164"/>
      <c r="AC166" s="219"/>
      <c r="AD166" s="218">
        <f>'PRECIOS CYE'!N9</f>
        <v>0</v>
      </c>
      <c r="AE166" s="164">
        <f>'PRECIOS CYE'!O9</f>
        <v>0</v>
      </c>
      <c r="AF166" s="164">
        <f>'PRECIOS CYE'!P9</f>
        <v>0</v>
      </c>
      <c r="AG166" s="164">
        <f>'PRECIOS CYE'!Q9</f>
        <v>0</v>
      </c>
      <c r="AH166" s="164">
        <f>'PRECIOS CYE'!R9</f>
        <v>0</v>
      </c>
      <c r="AI166" s="167">
        <f>'PRECIOS CYE'!S9</f>
        <v>0</v>
      </c>
      <c r="AJ166" s="173">
        <f>'PRECIOS CYE'!T9</f>
        <v>0</v>
      </c>
      <c r="AK166" s="164">
        <f>'PRECIOS CYE'!U9</f>
        <v>0</v>
      </c>
      <c r="AL166" s="164">
        <f>'PRECIOS CYE'!V9</f>
        <v>0</v>
      </c>
      <c r="AM166" s="164">
        <f>'PRECIOS CYE'!W9</f>
        <v>0</v>
      </c>
      <c r="AN166" s="164">
        <f>'PRECIOS CYE'!X9</f>
        <v>0</v>
      </c>
      <c r="AO166" s="167">
        <f>'PRECIOS CYE'!Y9</f>
        <v>0</v>
      </c>
    </row>
    <row r="167" spans="23:41">
      <c r="W167" s="212"/>
      <c r="X167" s="218">
        <f>('INTRODUCIR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DATOS'!$D$17)+'INTRODUCIR DATOS'!$D$15+'INTRODUCIR DATOS'!$D$16+(('INTRODUCIR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DATOS'!$D$17)+'INTRODUCIR DATOS'!$D$16)*21/100</f>
        <v>1.0285</v>
      </c>
      <c r="Y167" s="165">
        <f>IF(X167=0,"",'INTRODUCIR DATOS'!$D$14-X167)</f>
        <v>113.12150000000001</v>
      </c>
      <c r="Z167" s="165">
        <f>IF(X167=0,"",('INTRODUCIR DATOS'!$D$14-X167)/'INTRODUCIR DATOS'!$D$14)</f>
        <v>0.99098992553657472</v>
      </c>
      <c r="AA167" s="163"/>
      <c r="AB167" s="163"/>
      <c r="AC167" s="205"/>
      <c r="AD167" s="218">
        <f>('INTRODUCIR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DATOS'!$D$17)+'INTRODUCIR DATOS'!$D$15+'INTRODUCIR DATOS'!$D$16+(('INTRODUCIR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DATOS'!$D$17)+'INTRODUCIR DATOS'!$D$16)*21/100</f>
        <v>1.0285</v>
      </c>
      <c r="AE167" s="165">
        <f>IF(AD167=0,"",'INTRODUCIR DATOS'!$D$14-AD167)</f>
        <v>113.12150000000001</v>
      </c>
      <c r="AF167" s="165">
        <f>IF(AD167=0,"",('INTRODUCIR DATOS'!$D$14-AD167)/'INTRODUCIR DATOS'!$D$14)</f>
        <v>0.99098992553657472</v>
      </c>
      <c r="AG167" s="163"/>
      <c r="AH167" s="163"/>
      <c r="AI167" s="166"/>
      <c r="AJ167" s="218">
        <f>('INTRODUCIR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DATOS'!$D$17)+'INTRODUCIR DATOS'!$D$15+'INTRODUCIR DATOS'!$D$16+(('INTRODUCIR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DATOS'!$D$17)+'INTRODUCIR DATOS'!$D$16)*21/100</f>
        <v>1.0285</v>
      </c>
      <c r="AK167" s="165">
        <f>IF(AJ167=0,"",'INTRODUCIR DATOS'!$D$14-AJ167)</f>
        <v>113.12150000000001</v>
      </c>
      <c r="AL167" s="165">
        <f>IF(AJ167=0,"",('INTRODUCIR DATOS'!$D$14-AJ167)/'INTRODUCIR DATOS'!$D$14)</f>
        <v>0.99098992553657472</v>
      </c>
      <c r="AM167" s="163"/>
      <c r="AN167" s="163"/>
      <c r="AO167" s="166"/>
    </row>
    <row r="168" spans="23:41">
      <c r="W168" s="212" t="s">
        <v>37</v>
      </c>
      <c r="X168" s="217">
        <f>'PRECIOS CYE'!H19</f>
        <v>0</v>
      </c>
      <c r="Y168" s="163">
        <f>'PRECIOS CYE'!I19</f>
        <v>0</v>
      </c>
      <c r="Z168" s="163">
        <f>'PRECIOS CYE'!J19</f>
        <v>0</v>
      </c>
      <c r="AA168" s="163"/>
      <c r="AB168" s="163"/>
      <c r="AC168" s="205"/>
      <c r="AD168" s="217">
        <f>'PRECIOS CYE'!N19</f>
        <v>0</v>
      </c>
      <c r="AE168" s="163">
        <f>'PRECIOS CYE'!O19</f>
        <v>0</v>
      </c>
      <c r="AF168" s="163">
        <f>'PRECIOS CYE'!P19</f>
        <v>0</v>
      </c>
      <c r="AG168" s="163">
        <f>'PRECIOS CYE'!Q19</f>
        <v>0</v>
      </c>
      <c r="AH168" s="163">
        <f>'PRECIOS CYE'!R19</f>
        <v>0</v>
      </c>
      <c r="AI168" s="166">
        <f>'PRECIOS CYE'!S19</f>
        <v>0</v>
      </c>
      <c r="AJ168" s="172">
        <f>'PRECIOS CYE'!T19</f>
        <v>0</v>
      </c>
      <c r="AK168" s="163">
        <f>'PRECIOS CYE'!U19</f>
        <v>0</v>
      </c>
      <c r="AL168" s="163">
        <f>'PRECIOS CYE'!V19</f>
        <v>0</v>
      </c>
      <c r="AM168" s="163">
        <f>'PRECIOS CYE'!W19</f>
        <v>0</v>
      </c>
      <c r="AN168" s="163">
        <f>'PRECIOS CYE'!X19</f>
        <v>0</v>
      </c>
      <c r="AO168" s="166">
        <f>'PRECIOS CYE'!Y19</f>
        <v>0</v>
      </c>
    </row>
    <row r="169" spans="23:41">
      <c r="W169" s="212" t="s">
        <v>115</v>
      </c>
      <c r="X169" s="217">
        <f>'PRECIOS CYE'!H9</f>
        <v>0</v>
      </c>
      <c r="Y169" s="163">
        <f>'PRECIOS CYE'!I9</f>
        <v>0</v>
      </c>
      <c r="Z169" s="163">
        <f>'PRECIOS CYE'!J9</f>
        <v>0</v>
      </c>
      <c r="AA169" s="163"/>
      <c r="AB169" s="163"/>
      <c r="AC169" s="205"/>
      <c r="AD169" s="217">
        <f>'PRECIOS CYE'!N9</f>
        <v>0</v>
      </c>
      <c r="AE169" s="163">
        <f>'PRECIOS CYE'!O9</f>
        <v>0</v>
      </c>
      <c r="AF169" s="163">
        <f>'PRECIOS CYE'!P9</f>
        <v>0</v>
      </c>
      <c r="AG169" s="163">
        <f>'PRECIOS CYE'!Q9</f>
        <v>0</v>
      </c>
      <c r="AH169" s="163">
        <f>'PRECIOS CYE'!R9</f>
        <v>0</v>
      </c>
      <c r="AI169" s="166">
        <f>'PRECIOS CYE'!S9</f>
        <v>0</v>
      </c>
      <c r="AJ169" s="172">
        <f>'PRECIOS CYE'!T9</f>
        <v>0</v>
      </c>
      <c r="AK169" s="163">
        <f>'PRECIOS CYE'!U9</f>
        <v>0</v>
      </c>
      <c r="AL169" s="163">
        <f>'PRECIOS CYE'!V9</f>
        <v>0</v>
      </c>
      <c r="AM169" s="163">
        <f>'PRECIOS CYE'!W9</f>
        <v>0</v>
      </c>
      <c r="AN169" s="163">
        <f>'PRECIOS CYE'!X9</f>
        <v>0</v>
      </c>
      <c r="AO169" s="166">
        <f>'PRECIOS CYE'!Y9</f>
        <v>0</v>
      </c>
    </row>
    <row r="170" spans="23:41">
      <c r="W170" s="212"/>
      <c r="X170" s="218">
        <f>('INTRODUCIR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DATOS'!$D$17)+'INTRODUCIR DATOS'!$D$15+'INTRODUCIR DATOS'!$D$16+(('INTRODUCIR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DATOS'!$D$17)+'INTRODUCIR DATOS'!$D$16)*21/100</f>
        <v>1.0285</v>
      </c>
      <c r="Y170" s="165">
        <f>IF(X170=0,"",'INTRODUCIR DATOS'!$D$14-X170)</f>
        <v>113.12150000000001</v>
      </c>
      <c r="Z170" s="165">
        <f>IF(X170=0,"",('INTRODUCIR DATOS'!$D$14-X170)/'INTRODUCIR DATOS'!$D$14)</f>
        <v>0.99098992553657472</v>
      </c>
      <c r="AA170" s="163"/>
      <c r="AB170" s="163"/>
      <c r="AC170" s="205"/>
      <c r="AD170" s="218">
        <f>('INTRODUCIR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DATOS'!$D$17)+'INTRODUCIR DATOS'!$D$15+'INTRODUCIR DATOS'!$D$16+(('INTRODUCIR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DATOS'!$D$17)+'INTRODUCIR DATOS'!$D$16)*21/100</f>
        <v>1.0285</v>
      </c>
      <c r="AE170" s="165">
        <f>IF(AD170=0,"",'INTRODUCIR DATOS'!$D$14-AD170)</f>
        <v>113.12150000000001</v>
      </c>
      <c r="AF170" s="165">
        <f>IF(AD170=0,"",('INTRODUCIR DATOS'!$D$14-AD170)/'INTRODUCIR DATOS'!$D$14)</f>
        <v>0.99098992553657472</v>
      </c>
      <c r="AG170" s="163"/>
      <c r="AH170" s="163"/>
      <c r="AI170" s="166"/>
      <c r="AJ170" s="218">
        <f>('INTRODUCIR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DATOS'!$D$17)+'INTRODUCIR DATOS'!$D$15+'INTRODUCIR DATOS'!$D$16+(('INTRODUCIR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DATOS'!$D$17)+'INTRODUCIR DATOS'!$D$16)*21/100</f>
        <v>1.0285</v>
      </c>
      <c r="AK170" s="165">
        <f>IF(AJ170=0,"",'INTRODUCIR DATOS'!$D$14-AJ170)</f>
        <v>113.12150000000001</v>
      </c>
      <c r="AL170" s="165">
        <f>IF(AJ170=0,"",('INTRODUCIR DATOS'!$D$14-AJ170)/'INTRODUCIR DATOS'!$D$14)</f>
        <v>0.99098992553657472</v>
      </c>
      <c r="AM170" s="163"/>
      <c r="AN170" s="163"/>
      <c r="AO170" s="166"/>
    </row>
    <row r="171" spans="23:41">
      <c r="W171" s="212" t="s">
        <v>37</v>
      </c>
      <c r="X171" s="217">
        <f>'PRECIOS CYE'!H20</f>
        <v>0</v>
      </c>
      <c r="Y171" s="163">
        <f>'PRECIOS CYE'!I20</f>
        <v>0</v>
      </c>
      <c r="Z171" s="163">
        <f>'PRECIOS CYE'!J20</f>
        <v>0</v>
      </c>
      <c r="AA171" s="163"/>
      <c r="AB171" s="163"/>
      <c r="AC171" s="205"/>
      <c r="AD171" s="217">
        <f>'PRECIOS CYE'!N20</f>
        <v>0</v>
      </c>
      <c r="AE171" s="163">
        <f>'PRECIOS CYE'!O20</f>
        <v>0</v>
      </c>
      <c r="AF171" s="163">
        <f>'PRECIOS CYE'!P20</f>
        <v>0</v>
      </c>
      <c r="AG171" s="163">
        <f>'PRECIOS CYE'!Q20</f>
        <v>0</v>
      </c>
      <c r="AH171" s="163">
        <f>'PRECIOS CYE'!R20</f>
        <v>0</v>
      </c>
      <c r="AI171" s="166">
        <f>'PRECIOS CYE'!S20</f>
        <v>0</v>
      </c>
      <c r="AJ171" s="172">
        <f>'PRECIOS CYE'!T20</f>
        <v>0</v>
      </c>
      <c r="AK171" s="163">
        <f>'PRECIOS CYE'!U20</f>
        <v>0</v>
      </c>
      <c r="AL171" s="163">
        <f>'PRECIOS CYE'!V20</f>
        <v>0</v>
      </c>
      <c r="AM171" s="163">
        <f>'PRECIOS CYE'!W20</f>
        <v>0</v>
      </c>
      <c r="AN171" s="163">
        <f>'PRECIOS CYE'!X20</f>
        <v>0</v>
      </c>
      <c r="AO171" s="166">
        <f>'PRECIOS CYE'!Y20</f>
        <v>0</v>
      </c>
    </row>
    <row r="172" spans="23:41">
      <c r="W172" s="212" t="s">
        <v>116</v>
      </c>
      <c r="X172" s="217">
        <f>'PRECIOS CYE'!H9</f>
        <v>0</v>
      </c>
      <c r="Y172" s="163">
        <f>'PRECIOS CYE'!I9</f>
        <v>0</v>
      </c>
      <c r="Z172" s="163">
        <f>'PRECIOS CYE'!J9</f>
        <v>0</v>
      </c>
      <c r="AA172" s="163"/>
      <c r="AB172" s="163"/>
      <c r="AC172" s="205"/>
      <c r="AD172" s="217">
        <f>'PRECIOS CYE'!N9</f>
        <v>0</v>
      </c>
      <c r="AE172" s="163">
        <f>'PRECIOS CYE'!O9</f>
        <v>0</v>
      </c>
      <c r="AF172" s="163">
        <f>'PRECIOS CYE'!P9</f>
        <v>0</v>
      </c>
      <c r="AG172" s="163">
        <f>'PRECIOS CYE'!Q9</f>
        <v>0</v>
      </c>
      <c r="AH172" s="163">
        <f>'PRECIOS CYE'!R9</f>
        <v>0</v>
      </c>
      <c r="AI172" s="166">
        <f>'PRECIOS CYE'!S9</f>
        <v>0</v>
      </c>
      <c r="AJ172" s="172">
        <f>'PRECIOS CYE'!T9</f>
        <v>0</v>
      </c>
      <c r="AK172" s="163">
        <f>'PRECIOS CYE'!U9</f>
        <v>0</v>
      </c>
      <c r="AL172" s="163">
        <f>'PRECIOS CYE'!V9</f>
        <v>0</v>
      </c>
      <c r="AM172" s="163">
        <f>'PRECIOS CYE'!W9</f>
        <v>0</v>
      </c>
      <c r="AN172" s="163">
        <f>'PRECIOS CYE'!X9</f>
        <v>0</v>
      </c>
      <c r="AO172" s="166">
        <f>'PRECIOS CYE'!Y9</f>
        <v>0</v>
      </c>
    </row>
    <row r="173" spans="23:41">
      <c r="W173" s="212"/>
      <c r="X173" s="218">
        <f>('INTRODUCIR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DATOS'!$D$17)+'INTRODUCIR DATOS'!$D$15+'INTRODUCIR DATOS'!$D$16+(('INTRODUCIR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DATOS'!$D$17)+'INTRODUCIR DATOS'!$D$16)*21/100</f>
        <v>1.0285</v>
      </c>
      <c r="Y173" s="165">
        <f>IF(X173=0,"",'INTRODUCIR DATOS'!$D$14-X173)</f>
        <v>113.12150000000001</v>
      </c>
      <c r="Z173" s="165">
        <f>IF(X173=0,"",('INTRODUCIR DATOS'!$D$14-X173)/'INTRODUCIR DATOS'!$D$14)</f>
        <v>0.99098992553657472</v>
      </c>
      <c r="AA173" s="163"/>
      <c r="AB173" s="163"/>
      <c r="AC173" s="205"/>
      <c r="AD173" s="218">
        <f>('INTRODUCIR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DATOS'!$D$17)+'INTRODUCIR DATOS'!$D$15+'INTRODUCIR DATOS'!$D$16+(('INTRODUCIR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DATOS'!$D$17)+'INTRODUCIR DATOS'!$D$16)*21/100</f>
        <v>1.0285</v>
      </c>
      <c r="AE173" s="165">
        <f>IF(AD173=0,"",'INTRODUCIR DATOS'!$D$14-AD173)</f>
        <v>113.12150000000001</v>
      </c>
      <c r="AF173" s="165">
        <f>IF(AD173=0,"",('INTRODUCIR DATOS'!$D$14-AD173)/'INTRODUCIR DATOS'!$D$14)</f>
        <v>0.99098992553657472</v>
      </c>
      <c r="AG173" s="163"/>
      <c r="AH173" s="163"/>
      <c r="AI173" s="166"/>
      <c r="AJ173" s="218">
        <f>('INTRODUCIR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DATOS'!$D$17)+'INTRODUCIR DATOS'!$D$15+'INTRODUCIR DATOS'!$D$16+(('INTRODUCIR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DATOS'!$D$17)+'INTRODUCIR DATOS'!$D$16)*21/100</f>
        <v>1.0285</v>
      </c>
      <c r="AK173" s="165">
        <f>IF(AJ173=0,"",'INTRODUCIR DATOS'!$D$14-AJ173)</f>
        <v>113.12150000000001</v>
      </c>
      <c r="AL173" s="165">
        <f>IF(AJ173=0,"",('INTRODUCIR DATOS'!$D$14-AJ173)/'INTRODUCIR DATOS'!$D$14)</f>
        <v>0.99098992553657472</v>
      </c>
      <c r="AM173" s="163"/>
      <c r="AN173" s="163"/>
      <c r="AO173" s="166"/>
    </row>
    <row r="174" spans="23:41">
      <c r="W174" s="212" t="s">
        <v>37</v>
      </c>
      <c r="X174" s="217">
        <f>'PRECIOS CYE'!H21</f>
        <v>0</v>
      </c>
      <c r="Y174" s="163">
        <f>'PRECIOS CYE'!I21</f>
        <v>0</v>
      </c>
      <c r="Z174" s="163">
        <f>'PRECIOS CYE'!J21</f>
        <v>0</v>
      </c>
      <c r="AA174" s="163"/>
      <c r="AB174" s="163"/>
      <c r="AC174" s="205"/>
      <c r="AD174" s="217">
        <f>'PRECIOS CYE'!N21</f>
        <v>0</v>
      </c>
      <c r="AE174" s="163">
        <f>'PRECIOS CYE'!O21</f>
        <v>0</v>
      </c>
      <c r="AF174" s="163">
        <f>'PRECIOS CYE'!P21</f>
        <v>0</v>
      </c>
      <c r="AG174" s="163">
        <f>'PRECIOS CYE'!Q21</f>
        <v>0</v>
      </c>
      <c r="AH174" s="163">
        <f>'PRECIOS CYE'!R21</f>
        <v>0</v>
      </c>
      <c r="AI174" s="166">
        <f>'PRECIOS CYE'!S21</f>
        <v>0</v>
      </c>
      <c r="AJ174" s="172">
        <f>'PRECIOS CYE'!T21</f>
        <v>0</v>
      </c>
      <c r="AK174" s="163">
        <f>'PRECIOS CYE'!U21</f>
        <v>0</v>
      </c>
      <c r="AL174" s="163">
        <f>'PRECIOS CYE'!V21</f>
        <v>0</v>
      </c>
      <c r="AM174" s="163">
        <f>'PRECIOS CYE'!W21</f>
        <v>0</v>
      </c>
      <c r="AN174" s="163">
        <f>'PRECIOS CYE'!X21</f>
        <v>0</v>
      </c>
      <c r="AO174" s="166">
        <f>'PRECIOS CYE'!Y21</f>
        <v>0</v>
      </c>
    </row>
    <row r="175" spans="23:41">
      <c r="W175" s="212" t="s">
        <v>60</v>
      </c>
      <c r="X175" s="217">
        <f>'PRECIOS CYE'!H9</f>
        <v>0</v>
      </c>
      <c r="Y175" s="163">
        <f>'PRECIOS CYE'!I9</f>
        <v>0</v>
      </c>
      <c r="Z175" s="163">
        <f>'PRECIOS CYE'!J9</f>
        <v>0</v>
      </c>
      <c r="AA175" s="163"/>
      <c r="AB175" s="163"/>
      <c r="AC175" s="205"/>
      <c r="AD175" s="217">
        <f>'PRECIOS CYE'!N9</f>
        <v>0</v>
      </c>
      <c r="AE175" s="163">
        <f>'PRECIOS CYE'!O9</f>
        <v>0</v>
      </c>
      <c r="AF175" s="163">
        <f>'PRECIOS CYE'!P9</f>
        <v>0</v>
      </c>
      <c r="AG175" s="163">
        <f>'PRECIOS CYE'!Q9</f>
        <v>0</v>
      </c>
      <c r="AH175" s="163">
        <f>'PRECIOS CYE'!R9</f>
        <v>0</v>
      </c>
      <c r="AI175" s="166">
        <f>'PRECIOS CYE'!S9</f>
        <v>0</v>
      </c>
      <c r="AJ175" s="172">
        <f>'PRECIOS CYE'!T9</f>
        <v>0</v>
      </c>
      <c r="AK175" s="163">
        <f>'PRECIOS CYE'!U9</f>
        <v>0</v>
      </c>
      <c r="AL175" s="163">
        <f>'PRECIOS CYE'!V9</f>
        <v>0</v>
      </c>
      <c r="AM175" s="163">
        <f>'PRECIOS CYE'!W9</f>
        <v>0</v>
      </c>
      <c r="AN175" s="163">
        <f>'PRECIOS CYE'!X9</f>
        <v>0</v>
      </c>
      <c r="AO175" s="166">
        <f>'PRECIOS CYE'!Y9</f>
        <v>0</v>
      </c>
    </row>
    <row r="176" spans="23:41">
      <c r="W176" s="212"/>
      <c r="X176" s="218">
        <f>('INTRODUCIR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DATOS'!$D$17)+'INTRODUCIR DATOS'!$D$15+'INTRODUCIR DATOS'!$D$16+(('INTRODUCIR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DATOS'!$D$17)+'INTRODUCIR DATOS'!$D$16)*21/100</f>
        <v>1.0285</v>
      </c>
      <c r="Y176" s="165">
        <f>IF(X176=0,"",'INTRODUCIR DATOS'!$D$14-X176)</f>
        <v>113.12150000000001</v>
      </c>
      <c r="Z176" s="165">
        <f>IF(X176=0,"",('INTRODUCIR DATOS'!$D$14-X176)/'INTRODUCIR DATOS'!$D$14)</f>
        <v>0.99098992553657472</v>
      </c>
      <c r="AA176" s="163"/>
      <c r="AB176" s="163"/>
      <c r="AC176" s="205"/>
      <c r="AD176" s="218">
        <f>('INTRODUCIR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DATOS'!$D$17)+'INTRODUCIR DATOS'!$D$15+'INTRODUCIR DATOS'!$D$16+(('INTRODUCIR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DATOS'!$D$17)+'INTRODUCIR DATOS'!$D$16)*21/100</f>
        <v>1.0285</v>
      </c>
      <c r="AE176" s="165">
        <f>IF(AD176=0,"",'INTRODUCIR DATOS'!$D$14-AD176)</f>
        <v>113.12150000000001</v>
      </c>
      <c r="AF176" s="165">
        <f>IF(AD176=0,"",('INTRODUCIR DATOS'!$D$14-AD176)/'INTRODUCIR DATOS'!$D$14)</f>
        <v>0.99098992553657472</v>
      </c>
      <c r="AG176" s="163"/>
      <c r="AH176" s="163"/>
      <c r="AI176" s="166"/>
      <c r="AJ176" s="218">
        <f>('INTRODUCIR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DATOS'!$D$17)+'INTRODUCIR DATOS'!$D$15+'INTRODUCIR DATOS'!$D$16+(('INTRODUCIR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DATOS'!$D$17)+'INTRODUCIR DATOS'!$D$16)*21/100</f>
        <v>1.0285</v>
      </c>
      <c r="AK176" s="165">
        <f>IF(AJ176=0,"",'INTRODUCIR DATOS'!$D$14-AJ176)</f>
        <v>113.12150000000001</v>
      </c>
      <c r="AL176" s="165">
        <f>IF(AJ176=0,"",('INTRODUCIR DATOS'!$D$14-AJ176)/'INTRODUCIR DATOS'!$D$14)</f>
        <v>0.99098992553657472</v>
      </c>
      <c r="AM176" s="163"/>
      <c r="AN176" s="163"/>
      <c r="AO176" s="166"/>
    </row>
    <row r="177" spans="23:41">
      <c r="W177" s="212" t="s">
        <v>37</v>
      </c>
      <c r="X177" s="217">
        <f>'PRECIOS CYE'!H22</f>
        <v>0</v>
      </c>
      <c r="Y177" s="163">
        <f>'PRECIOS CYE'!I22</f>
        <v>0</v>
      </c>
      <c r="Z177" s="163">
        <f>'PRECIOS CYE'!J22</f>
        <v>0</v>
      </c>
      <c r="AA177" s="163"/>
      <c r="AB177" s="163"/>
      <c r="AC177" s="205"/>
      <c r="AD177" s="217">
        <f>'PRECIOS CYE'!N22</f>
        <v>0</v>
      </c>
      <c r="AE177" s="163">
        <f>'PRECIOS CYE'!O22</f>
        <v>0</v>
      </c>
      <c r="AF177" s="163">
        <f>'PRECIOS CYE'!P22</f>
        <v>0</v>
      </c>
      <c r="AG177" s="163">
        <f>'PRECIOS CYE'!Q22</f>
        <v>0</v>
      </c>
      <c r="AH177" s="163">
        <f>'PRECIOS CYE'!R22</f>
        <v>0</v>
      </c>
      <c r="AI177" s="166">
        <f>'PRECIOS CYE'!S22</f>
        <v>0</v>
      </c>
      <c r="AJ177" s="172">
        <f>'PRECIOS CYE'!T22</f>
        <v>0</v>
      </c>
      <c r="AK177" s="163">
        <f>'PRECIOS CYE'!U22</f>
        <v>0</v>
      </c>
      <c r="AL177" s="163">
        <f>'PRECIOS CYE'!V22</f>
        <v>0</v>
      </c>
      <c r="AM177" s="163">
        <f>'PRECIOS CYE'!W22</f>
        <v>0</v>
      </c>
      <c r="AN177" s="163">
        <f>'PRECIOS CYE'!X22</f>
        <v>0</v>
      </c>
      <c r="AO177" s="166">
        <f>'PRECIOS CYE'!Y22</f>
        <v>0</v>
      </c>
    </row>
    <row r="178" spans="23:41">
      <c r="W178" s="212" t="s">
        <v>62</v>
      </c>
      <c r="X178" s="217">
        <f>'PRECIOS CYE'!H9</f>
        <v>0</v>
      </c>
      <c r="Y178" s="163">
        <f>'PRECIOS CYE'!I9</f>
        <v>0</v>
      </c>
      <c r="Z178" s="163">
        <f>'PRECIOS CYE'!J9</f>
        <v>0</v>
      </c>
      <c r="AA178" s="163"/>
      <c r="AB178" s="163"/>
      <c r="AC178" s="205"/>
      <c r="AD178" s="217">
        <f>'PRECIOS CYE'!N9</f>
        <v>0</v>
      </c>
      <c r="AE178" s="163">
        <f>'PRECIOS CYE'!O9</f>
        <v>0</v>
      </c>
      <c r="AF178" s="163">
        <f>'PRECIOS CYE'!P9</f>
        <v>0</v>
      </c>
      <c r="AG178" s="163">
        <f>'PRECIOS CYE'!Q9</f>
        <v>0</v>
      </c>
      <c r="AH178" s="163">
        <f>'PRECIOS CYE'!R9</f>
        <v>0</v>
      </c>
      <c r="AI178" s="166">
        <f>'PRECIOS CYE'!S9</f>
        <v>0</v>
      </c>
      <c r="AJ178" s="172">
        <f>'PRECIOS CYE'!T9</f>
        <v>0</v>
      </c>
      <c r="AK178" s="163">
        <f>'PRECIOS CYE'!U9</f>
        <v>0</v>
      </c>
      <c r="AL178" s="163">
        <f>'PRECIOS CYE'!V9</f>
        <v>0</v>
      </c>
      <c r="AM178" s="163">
        <f>'PRECIOS CYE'!W9</f>
        <v>0</v>
      </c>
      <c r="AN178" s="163">
        <f>'PRECIOS CYE'!X9</f>
        <v>0</v>
      </c>
      <c r="AO178" s="166">
        <f>'PRECIOS CYE'!Y9</f>
        <v>0</v>
      </c>
    </row>
    <row r="179" spans="23:41">
      <c r="W179" s="212"/>
      <c r="X179" s="218">
        <f>('INTRODUCIR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DATOS'!$D$17)+'INTRODUCIR DATOS'!$D$15+'INTRODUCIR DATOS'!$D$16+(('INTRODUCIR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DATOS'!$D$17)+'INTRODUCIR DATOS'!$D$16)*21/100</f>
        <v>1.0285</v>
      </c>
      <c r="Y179" s="165">
        <f>IF(X179=0,"",'INTRODUCIR DATOS'!$D$14-X179)</f>
        <v>113.12150000000001</v>
      </c>
      <c r="Z179" s="165">
        <f>IF(X179=0,"",('INTRODUCIR DATOS'!$D$14-X179)/'INTRODUCIR DATOS'!$D$14)</f>
        <v>0.99098992553657472</v>
      </c>
      <c r="AA179" s="163"/>
      <c r="AB179" s="163"/>
      <c r="AC179" s="205"/>
      <c r="AD179" s="218">
        <f>('INTRODUCIR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DATOS'!$D$17)+'INTRODUCIR DATOS'!$D$15+'INTRODUCIR DATOS'!$D$16+(('INTRODUCIR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DATOS'!$D$17)+'INTRODUCIR DATOS'!$D$16)*21/100</f>
        <v>1.0285</v>
      </c>
      <c r="AE179" s="165">
        <f>IF(AD179=0,"",'INTRODUCIR DATOS'!$D$14-AD179)</f>
        <v>113.12150000000001</v>
      </c>
      <c r="AF179" s="165">
        <f>IF(AD179=0,"",('INTRODUCIR DATOS'!$D$14-AD179)/'INTRODUCIR DATOS'!$D$14)</f>
        <v>0.99098992553657472</v>
      </c>
      <c r="AG179" s="163"/>
      <c r="AH179" s="163"/>
      <c r="AI179" s="166"/>
      <c r="AJ179" s="218">
        <f>('INTRODUCIR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DATOS'!$D$17)+'INTRODUCIR DATOS'!$D$15+'INTRODUCIR DATOS'!$D$16+(('INTRODUCIR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DATOS'!$D$17)+'INTRODUCIR DATOS'!$D$16)*21/100</f>
        <v>1.0285</v>
      </c>
      <c r="AK179" s="165">
        <f>IF(AJ179=0,"",'INTRODUCIR DATOS'!$D$14-AJ179)</f>
        <v>113.12150000000001</v>
      </c>
      <c r="AL179" s="165">
        <f>IF(AJ179=0,"",('INTRODUCIR DATOS'!$D$14-AJ179)/'INTRODUCIR DATOS'!$D$14)</f>
        <v>0.99098992553657472</v>
      </c>
      <c r="AM179" s="163"/>
      <c r="AN179" s="163"/>
      <c r="AO179" s="166"/>
    </row>
    <row r="180" spans="23:41">
      <c r="W180" s="212" t="s">
        <v>37</v>
      </c>
      <c r="X180" s="217">
        <f>'PRECIOS CYE'!H23</f>
        <v>0</v>
      </c>
      <c r="Y180" s="163">
        <f>'PRECIOS CYE'!I23</f>
        <v>0</v>
      </c>
      <c r="Z180" s="163">
        <f>'PRECIOS CYE'!J23</f>
        <v>0</v>
      </c>
      <c r="AA180" s="163"/>
      <c r="AB180" s="163"/>
      <c r="AC180" s="205"/>
      <c r="AD180" s="217"/>
      <c r="AE180" s="163"/>
      <c r="AF180" s="163"/>
      <c r="AG180" s="163"/>
      <c r="AH180" s="163"/>
      <c r="AI180" s="166"/>
      <c r="AJ180" s="172"/>
      <c r="AK180" s="163"/>
      <c r="AL180" s="163"/>
      <c r="AM180" s="163"/>
      <c r="AN180" s="163"/>
      <c r="AO180" s="166"/>
    </row>
    <row r="181" spans="23:41">
      <c r="W181" s="212" t="s">
        <v>63</v>
      </c>
      <c r="X181" s="217">
        <f>'PRECIOS CYE'!H9</f>
        <v>0</v>
      </c>
      <c r="Y181" s="163">
        <f>'PRECIOS CYE'!I9</f>
        <v>0</v>
      </c>
      <c r="Z181" s="163">
        <f>'PRECIOS CYE'!J9</f>
        <v>0</v>
      </c>
      <c r="AA181" s="163"/>
      <c r="AB181" s="163"/>
      <c r="AC181" s="205"/>
      <c r="AD181" s="217"/>
      <c r="AE181" s="163"/>
      <c r="AF181" s="163"/>
      <c r="AG181" s="163"/>
      <c r="AH181" s="163"/>
      <c r="AI181" s="166"/>
      <c r="AJ181" s="172"/>
      <c r="AK181" s="163"/>
      <c r="AL181" s="163"/>
      <c r="AM181" s="163"/>
      <c r="AN181" s="163"/>
      <c r="AO181" s="166"/>
    </row>
    <row r="182" spans="23:41">
      <c r="W182" s="212"/>
      <c r="X182" s="218">
        <f>('INTRODUCIR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DATOS'!$D$17)+'INTRODUCIR DATOS'!$D$15+'INTRODUCIR DATOS'!$D$16+(('INTRODUCIR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DATOS'!$D$17)+'INTRODUCIR DATOS'!$D$16)*21/100</f>
        <v>1.0285</v>
      </c>
      <c r="Y182" s="165">
        <f>IF(X182=0,"",'INTRODUCIR DATOS'!$D$14-X182)</f>
        <v>113.12150000000001</v>
      </c>
      <c r="Z182" s="165">
        <f>IF(X182=0,"",('INTRODUCIR DATOS'!$D$14-X182)/'INTRODUCIR DATOS'!$D$14)</f>
        <v>0.99098992553657472</v>
      </c>
      <c r="AA182" s="163"/>
      <c r="AB182" s="163"/>
      <c r="AC182" s="205"/>
      <c r="AD182" s="218"/>
      <c r="AE182" s="165"/>
      <c r="AF182" s="165"/>
      <c r="AG182" s="163"/>
      <c r="AH182" s="163"/>
      <c r="AI182" s="166"/>
      <c r="AJ182" s="173"/>
      <c r="AK182" s="165"/>
      <c r="AL182" s="165"/>
      <c r="AM182" s="163"/>
      <c r="AN182" s="163"/>
      <c r="AO182" s="166"/>
    </row>
    <row r="183" spans="23:41">
      <c r="W183" s="212" t="s">
        <v>37</v>
      </c>
      <c r="X183" s="217">
        <f>'PRECIOS CYE'!H24</f>
        <v>0</v>
      </c>
      <c r="Y183" s="163">
        <f>'PRECIOS CYE'!I24</f>
        <v>0</v>
      </c>
      <c r="Z183" s="163">
        <f>'PRECIOS CYE'!J24</f>
        <v>0</v>
      </c>
      <c r="AA183" s="163"/>
      <c r="AB183" s="163"/>
      <c r="AC183" s="205"/>
      <c r="AD183" s="217"/>
      <c r="AE183" s="163"/>
      <c r="AF183" s="163"/>
      <c r="AG183" s="163"/>
      <c r="AH183" s="163"/>
      <c r="AI183" s="166"/>
      <c r="AJ183" s="172"/>
      <c r="AK183" s="163"/>
      <c r="AL183" s="163"/>
      <c r="AM183" s="163"/>
      <c r="AN183" s="163"/>
      <c r="AO183" s="166"/>
    </row>
    <row r="184" spans="23:41">
      <c r="W184" s="212" t="s">
        <v>65</v>
      </c>
      <c r="X184" s="217">
        <f>'PRECIOS CYE'!H9</f>
        <v>0</v>
      </c>
      <c r="Y184" s="163">
        <f>'PRECIOS CYE'!I9</f>
        <v>0</v>
      </c>
      <c r="Z184" s="163">
        <f>'PRECIOS CYE'!J9</f>
        <v>0</v>
      </c>
      <c r="AA184" s="163"/>
      <c r="AB184" s="163"/>
      <c r="AC184" s="205"/>
      <c r="AD184" s="217"/>
      <c r="AE184" s="163"/>
      <c r="AF184" s="163"/>
      <c r="AG184" s="163"/>
      <c r="AH184" s="163"/>
      <c r="AI184" s="166"/>
      <c r="AJ184" s="172"/>
      <c r="AK184" s="163"/>
      <c r="AL184" s="163"/>
      <c r="AM184" s="163"/>
      <c r="AN184" s="163"/>
      <c r="AO184" s="166"/>
    </row>
    <row r="185" spans="23:41">
      <c r="W185" s="212"/>
      <c r="X185" s="218">
        <f>('INTRODUCIR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DATOS'!$D$17)+'INTRODUCIR DATOS'!$D$15+'INTRODUCIR DATOS'!$D$16+(('INTRODUCIR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DATOS'!$D$17)+'INTRODUCIR DATOS'!$D$16)*21/100</f>
        <v>1.0285</v>
      </c>
      <c r="Y185" s="165">
        <f>IF(X185=0,"",'INTRODUCIR DATOS'!$D$14-X185)</f>
        <v>113.12150000000001</v>
      </c>
      <c r="Z185" s="165">
        <f>IF(X185=0,"",('INTRODUCIR DATOS'!$D$14-X185)/'INTRODUCIR DATOS'!$D$14)</f>
        <v>0.99098992553657472</v>
      </c>
      <c r="AA185" s="163"/>
      <c r="AB185" s="163"/>
      <c r="AC185" s="205"/>
      <c r="AD185" s="218"/>
      <c r="AE185" s="165"/>
      <c r="AF185" s="165"/>
      <c r="AG185" s="163"/>
      <c r="AH185" s="163"/>
      <c r="AI185" s="166"/>
      <c r="AJ185" s="173"/>
      <c r="AK185" s="165"/>
      <c r="AL185" s="165"/>
      <c r="AM185" s="163"/>
      <c r="AN185" s="163"/>
      <c r="AO185" s="166"/>
    </row>
    <row r="186" spans="23:41">
      <c r="W186" s="212" t="s">
        <v>37</v>
      </c>
      <c r="X186" s="217">
        <f>'PRECIOS CYE'!H25</f>
        <v>0</v>
      </c>
      <c r="Y186" s="163">
        <f>'PRECIOS CYE'!I25</f>
        <v>0</v>
      </c>
      <c r="Z186" s="163">
        <f>'PRECIOS CYE'!J25</f>
        <v>0</v>
      </c>
      <c r="AA186" s="163"/>
      <c r="AB186" s="163"/>
      <c r="AC186" s="205"/>
      <c r="AD186" s="217"/>
      <c r="AE186" s="163"/>
      <c r="AF186" s="163"/>
      <c r="AG186" s="163"/>
      <c r="AH186" s="163"/>
      <c r="AI186" s="166"/>
      <c r="AJ186" s="172"/>
      <c r="AK186" s="163"/>
      <c r="AL186" s="163"/>
      <c r="AM186" s="163"/>
      <c r="AN186" s="163"/>
      <c r="AO186" s="166"/>
    </row>
    <row r="187" spans="23:41">
      <c r="W187" s="212" t="s">
        <v>199</v>
      </c>
      <c r="X187" s="217">
        <f>'PRECIOS CYE'!H9</f>
        <v>0</v>
      </c>
      <c r="Y187" s="163">
        <f>'PRECIOS CYE'!I9</f>
        <v>0</v>
      </c>
      <c r="Z187" s="163">
        <f>'PRECIOS CYE'!J9</f>
        <v>0</v>
      </c>
      <c r="AA187" s="163"/>
      <c r="AB187" s="163"/>
      <c r="AC187" s="205"/>
      <c r="AD187" s="217"/>
      <c r="AE187" s="163"/>
      <c r="AF187" s="163"/>
      <c r="AG187" s="163"/>
      <c r="AH187" s="163"/>
      <c r="AI187" s="166"/>
      <c r="AJ187" s="172"/>
      <c r="AK187" s="163"/>
      <c r="AL187" s="163"/>
      <c r="AM187" s="163"/>
      <c r="AN187" s="163"/>
      <c r="AO187" s="166"/>
    </row>
    <row r="188" spans="23:41">
      <c r="W188" s="212"/>
      <c r="X188" s="218">
        <f>('INTRODUCIR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DATOS'!$D$17)+'INTRODUCIR DATOS'!$D$15+'INTRODUCIR DATOS'!$D$16+(('INTRODUCIR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DATOS'!$D$17)+'INTRODUCIR DATOS'!$D$16)*21/100</f>
        <v>1.0285</v>
      </c>
      <c r="Y188" s="165">
        <f>IF(X188=0,"",'INTRODUCIR DATOS'!$D$14-X188)</f>
        <v>113.12150000000001</v>
      </c>
      <c r="Z188" s="165">
        <f>IF(X188=0,"",('INTRODUCIR DATOS'!$D$14-X188)/'INTRODUCIR DATOS'!$D$14)</f>
        <v>0.99098992553657472</v>
      </c>
      <c r="AA188" s="163"/>
      <c r="AB188" s="163"/>
      <c r="AC188" s="205"/>
      <c r="AD188" s="218"/>
      <c r="AE188" s="165"/>
      <c r="AF188" s="165"/>
      <c r="AG188" s="163"/>
      <c r="AH188" s="163"/>
      <c r="AI188" s="166"/>
      <c r="AJ188" s="173"/>
      <c r="AK188" s="165"/>
      <c r="AL188" s="165"/>
      <c r="AM188" s="163"/>
      <c r="AN188" s="163"/>
      <c r="AO188" s="166"/>
    </row>
    <row r="189" spans="23:41">
      <c r="W189" s="212" t="s">
        <v>37</v>
      </c>
      <c r="X189" s="217">
        <f>'PRECIOS CYE'!H26</f>
        <v>0</v>
      </c>
      <c r="Y189" s="163">
        <f>'PRECIOS CYE'!I26</f>
        <v>0</v>
      </c>
      <c r="Z189" s="163">
        <f>'PRECIOS CYE'!J26</f>
        <v>0</v>
      </c>
      <c r="AA189" s="163"/>
      <c r="AB189" s="163"/>
      <c r="AC189" s="205"/>
      <c r="AD189" s="217"/>
      <c r="AE189" s="163"/>
      <c r="AF189" s="163"/>
      <c r="AG189" s="163"/>
      <c r="AH189" s="163"/>
      <c r="AI189" s="166"/>
      <c r="AJ189" s="172"/>
      <c r="AK189" s="163"/>
      <c r="AL189" s="163"/>
      <c r="AM189" s="163"/>
      <c r="AN189" s="163"/>
      <c r="AO189" s="166"/>
    </row>
    <row r="190" spans="23:41">
      <c r="W190" s="212" t="s">
        <v>200</v>
      </c>
      <c r="X190" s="217">
        <f>'PRECIOS CYE'!H9</f>
        <v>0</v>
      </c>
      <c r="Y190" s="163">
        <f>'PRECIOS CYE'!I9</f>
        <v>0</v>
      </c>
      <c r="Z190" s="163">
        <f>'PRECIOS CYE'!J9</f>
        <v>0</v>
      </c>
      <c r="AA190" s="163"/>
      <c r="AB190" s="163"/>
      <c r="AC190" s="205"/>
      <c r="AD190" s="217"/>
      <c r="AE190" s="163"/>
      <c r="AF190" s="163"/>
      <c r="AG190" s="163"/>
      <c r="AH190" s="163"/>
      <c r="AI190" s="166"/>
      <c r="AJ190" s="172"/>
      <c r="AK190" s="163"/>
      <c r="AL190" s="163"/>
      <c r="AM190" s="163"/>
      <c r="AN190" s="163"/>
      <c r="AO190" s="166"/>
    </row>
    <row r="191" spans="23:41">
      <c r="W191" s="212"/>
      <c r="X191" s="218">
        <f>('INTRODUCIR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DATOS'!$D$17)+'INTRODUCIR DATOS'!$D$15+'INTRODUCIR DATOS'!$D$16+(('INTRODUCIR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DATOS'!$D$17)+'INTRODUCIR DATOS'!$D$16)*21/100</f>
        <v>1.0285</v>
      </c>
      <c r="Y191" s="165">
        <f>IF(X191=0,"",'INTRODUCIR DATOS'!$D$14-X191)</f>
        <v>113.12150000000001</v>
      </c>
      <c r="Z191" s="165">
        <f>IF(X191=0,"",('INTRODUCIR DATOS'!$D$14-X191)/'INTRODUCIR DATOS'!$D$14)</f>
        <v>0.99098992553657472</v>
      </c>
      <c r="AA191" s="163"/>
      <c r="AB191" s="163"/>
      <c r="AC191" s="205"/>
      <c r="AD191" s="218"/>
      <c r="AE191" s="165"/>
      <c r="AF191" s="165"/>
      <c r="AG191" s="163"/>
      <c r="AH191" s="163"/>
      <c r="AI191" s="166"/>
      <c r="AJ191" s="173"/>
      <c r="AK191" s="165"/>
      <c r="AL191" s="165"/>
      <c r="AM191" s="163"/>
      <c r="AN191" s="163"/>
      <c r="AO191" s="166"/>
    </row>
    <row r="192" spans="23:41">
      <c r="W192" s="212" t="s">
        <v>208</v>
      </c>
      <c r="X192" s="218">
        <f>'PRECIOS CYE'!H18</f>
        <v>0</v>
      </c>
      <c r="Y192" s="164">
        <f>'PRECIOS CYE'!I18</f>
        <v>0</v>
      </c>
      <c r="Z192" s="164">
        <f>'PRECIOS CYE'!J18</f>
        <v>0</v>
      </c>
      <c r="AA192" s="164"/>
      <c r="AB192" s="164"/>
      <c r="AC192" s="219"/>
      <c r="AD192" s="218">
        <f>'PRECIOS CYE'!N18</f>
        <v>0</v>
      </c>
      <c r="AE192" s="164">
        <f>'PRECIOS CYE'!O18</f>
        <v>0</v>
      </c>
      <c r="AF192" s="164">
        <f>'PRECIOS CYE'!P18</f>
        <v>0</v>
      </c>
      <c r="AG192" s="164">
        <f>'PRECIOS CYE'!Q18</f>
        <v>0</v>
      </c>
      <c r="AH192" s="164">
        <f>'PRECIOS CYE'!R18</f>
        <v>0</v>
      </c>
      <c r="AI192" s="167">
        <f>'PRECIOS CYE'!S18</f>
        <v>0</v>
      </c>
      <c r="AJ192" s="173">
        <f>'PRECIOS CYE'!T18</f>
        <v>0</v>
      </c>
      <c r="AK192" s="164">
        <f>'PRECIOS CYE'!U18</f>
        <v>0</v>
      </c>
      <c r="AL192" s="164">
        <f>'PRECIOS CYE'!V18</f>
        <v>0</v>
      </c>
      <c r="AM192" s="164">
        <f>'PRECIOS CYE'!W18</f>
        <v>0</v>
      </c>
      <c r="AN192" s="164">
        <f>'PRECIOS CYE'!X18</f>
        <v>0</v>
      </c>
      <c r="AO192" s="167">
        <f>'PRECIOS CYE'!Y18</f>
        <v>0</v>
      </c>
    </row>
    <row r="193" spans="23:41">
      <c r="W193" s="212" t="s">
        <v>41</v>
      </c>
      <c r="X193" s="218">
        <f>'PRECIOS CYE'!H10</f>
        <v>0</v>
      </c>
      <c r="Y193" s="164">
        <f>'PRECIOS CYE'!I10</f>
        <v>0</v>
      </c>
      <c r="Z193" s="164">
        <f>'PRECIOS CYE'!J10</f>
        <v>0</v>
      </c>
      <c r="AA193" s="164"/>
      <c r="AB193" s="164"/>
      <c r="AC193" s="219"/>
      <c r="AD193" s="218">
        <f>'PRECIOS CYE'!N10</f>
        <v>0</v>
      </c>
      <c r="AE193" s="164">
        <f>'PRECIOS CYE'!O10</f>
        <v>0</v>
      </c>
      <c r="AF193" s="164">
        <f>'PRECIOS CYE'!P10</f>
        <v>0</v>
      </c>
      <c r="AG193" s="164">
        <f>'PRECIOS CYE'!Q10</f>
        <v>0</v>
      </c>
      <c r="AH193" s="164">
        <f>'PRECIOS CYE'!R10</f>
        <v>0</v>
      </c>
      <c r="AI193" s="167">
        <f>'PRECIOS CYE'!S10</f>
        <v>0</v>
      </c>
      <c r="AJ193" s="173">
        <f>'PRECIOS CYE'!T10</f>
        <v>0</v>
      </c>
      <c r="AK193" s="164">
        <f>'PRECIOS CYE'!U10</f>
        <v>0</v>
      </c>
      <c r="AL193" s="164">
        <f>'PRECIOS CYE'!V10</f>
        <v>0</v>
      </c>
      <c r="AM193" s="164">
        <f>'PRECIOS CYE'!W10</f>
        <v>0</v>
      </c>
      <c r="AN193" s="164">
        <f>'PRECIOS CYE'!X10</f>
        <v>0</v>
      </c>
      <c r="AO193" s="167">
        <f>'PRECIOS CYE'!Y10</f>
        <v>0</v>
      </c>
    </row>
    <row r="194" spans="23:41">
      <c r="W194" s="212"/>
      <c r="X194" s="218">
        <f>('INTRODUCIR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DATOS'!$D$17)+'INTRODUCIR DATOS'!$D$15+'INTRODUCIR DATOS'!$D$16+(('INTRODUCIR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DATOS'!$D$17)+'INTRODUCIR DATOS'!$D$16)*21/100</f>
        <v>1.0285</v>
      </c>
      <c r="Y194" s="165">
        <f>IF(X194=0,"",'INTRODUCIR DATOS'!$D$14-X194)</f>
        <v>113.12150000000001</v>
      </c>
      <c r="Z194" s="165">
        <f>IF(X194=0,"",('INTRODUCIR DATOS'!$D$14-X194)/'INTRODUCIR DATOS'!$D$14)</f>
        <v>0.99098992553657472</v>
      </c>
      <c r="AA194" s="163"/>
      <c r="AB194" s="163"/>
      <c r="AC194" s="205"/>
      <c r="AD194" s="218">
        <f>('INTRODUCIR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DATOS'!$D$17)+'INTRODUCIR DATOS'!$D$15+'INTRODUCIR DATOS'!$D$16+(('INTRODUCIR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DATOS'!$D$17)+'INTRODUCIR DATOS'!$D$16)*21/100</f>
        <v>1.0285</v>
      </c>
      <c r="AE194" s="165">
        <f>IF(AD194=0,"",'INTRODUCIR DATOS'!$D$14-AD194)</f>
        <v>113.12150000000001</v>
      </c>
      <c r="AF194" s="165">
        <f>IF(AD194=0,"",('INTRODUCIR DATOS'!$D$14-AD194)/'INTRODUCIR DATOS'!$D$14)</f>
        <v>0.99098992553657472</v>
      </c>
      <c r="AG194" s="163"/>
      <c r="AH194" s="163"/>
      <c r="AI194" s="166"/>
      <c r="AJ194" s="218">
        <f>('INTRODUCIR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DATOS'!$D$17)+'INTRODUCIR DATOS'!$D$15+'INTRODUCIR DATOS'!$D$16+(('INTRODUCIR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DATOS'!$D$17)+'INTRODUCIR DATOS'!$D$16)*21/100</f>
        <v>1.0285</v>
      </c>
      <c r="AK194" s="165">
        <f>IF(AJ194=0,"",'INTRODUCIR DATOS'!$D$14-AJ194)</f>
        <v>113.12150000000001</v>
      </c>
      <c r="AL194" s="165">
        <f>IF(AJ194=0,"",('INTRODUCIR DATOS'!$D$14-AJ194)/'INTRODUCIR DATOS'!$D$14)</f>
        <v>0.99098992553657472</v>
      </c>
      <c r="AM194" s="163"/>
      <c r="AN194" s="163"/>
      <c r="AO194" s="166"/>
    </row>
    <row r="195" spans="23:41">
      <c r="W195" s="212" t="s">
        <v>208</v>
      </c>
      <c r="X195" s="217">
        <f>'PRECIOS CYE'!H19</f>
        <v>0</v>
      </c>
      <c r="Y195" s="163">
        <f>'PRECIOS CYE'!I19</f>
        <v>0</v>
      </c>
      <c r="Z195" s="163">
        <f>'PRECIOS CYE'!J19</f>
        <v>0</v>
      </c>
      <c r="AA195" s="163"/>
      <c r="AB195" s="163"/>
      <c r="AC195" s="205"/>
      <c r="AD195" s="217">
        <f>'PRECIOS CYE'!N19</f>
        <v>0</v>
      </c>
      <c r="AE195" s="163">
        <f>'PRECIOS CYE'!O19</f>
        <v>0</v>
      </c>
      <c r="AF195" s="163">
        <f>'PRECIOS CYE'!P19</f>
        <v>0</v>
      </c>
      <c r="AG195" s="163">
        <f>'PRECIOS CYE'!Q19</f>
        <v>0</v>
      </c>
      <c r="AH195" s="163">
        <f>'PRECIOS CYE'!R19</f>
        <v>0</v>
      </c>
      <c r="AI195" s="166">
        <f>'PRECIOS CYE'!S19</f>
        <v>0</v>
      </c>
      <c r="AJ195" s="172">
        <f>'PRECIOS CYE'!T19</f>
        <v>0</v>
      </c>
      <c r="AK195" s="163">
        <f>'PRECIOS CYE'!U19</f>
        <v>0</v>
      </c>
      <c r="AL195" s="163">
        <f>'PRECIOS CYE'!V19</f>
        <v>0</v>
      </c>
      <c r="AM195" s="163">
        <f>'PRECIOS CYE'!W19</f>
        <v>0</v>
      </c>
      <c r="AN195" s="163">
        <f>'PRECIOS CYE'!X19</f>
        <v>0</v>
      </c>
      <c r="AO195" s="166">
        <f>'PRECIOS CYE'!Y19</f>
        <v>0</v>
      </c>
    </row>
    <row r="196" spans="23:41">
      <c r="W196" s="212" t="s">
        <v>115</v>
      </c>
      <c r="X196" s="217">
        <f>'PRECIOS CYE'!H10</f>
        <v>0</v>
      </c>
      <c r="Y196" s="163">
        <f>'PRECIOS CYE'!I10</f>
        <v>0</v>
      </c>
      <c r="Z196" s="163">
        <f>'PRECIOS CYE'!J10</f>
        <v>0</v>
      </c>
      <c r="AA196" s="163"/>
      <c r="AB196" s="163"/>
      <c r="AC196" s="205"/>
      <c r="AD196" s="217">
        <f>'PRECIOS CYE'!N10</f>
        <v>0</v>
      </c>
      <c r="AE196" s="163">
        <f>'PRECIOS CYE'!O10</f>
        <v>0</v>
      </c>
      <c r="AF196" s="163">
        <f>'PRECIOS CYE'!P10</f>
        <v>0</v>
      </c>
      <c r="AG196" s="163">
        <f>'PRECIOS CYE'!Q10</f>
        <v>0</v>
      </c>
      <c r="AH196" s="163">
        <f>'PRECIOS CYE'!R10</f>
        <v>0</v>
      </c>
      <c r="AI196" s="166">
        <f>'PRECIOS CYE'!S10</f>
        <v>0</v>
      </c>
      <c r="AJ196" s="172">
        <f>'PRECIOS CYE'!T10</f>
        <v>0</v>
      </c>
      <c r="AK196" s="163">
        <f>'PRECIOS CYE'!U10</f>
        <v>0</v>
      </c>
      <c r="AL196" s="163">
        <f>'PRECIOS CYE'!V10</f>
        <v>0</v>
      </c>
      <c r="AM196" s="163">
        <f>'PRECIOS CYE'!W10</f>
        <v>0</v>
      </c>
      <c r="AN196" s="163">
        <f>'PRECIOS CYE'!X10</f>
        <v>0</v>
      </c>
      <c r="AO196" s="166">
        <f>'PRECIOS CYE'!Y10</f>
        <v>0</v>
      </c>
    </row>
    <row r="197" spans="23:41">
      <c r="W197" s="212"/>
      <c r="X197" s="218">
        <f>('INTRODUCIR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DATOS'!$D$17)+'INTRODUCIR DATOS'!$D$15+'INTRODUCIR DATOS'!$D$16+(('INTRODUCIR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DATOS'!$D$17)+'INTRODUCIR DATOS'!$D$16)*21/100</f>
        <v>1.0285</v>
      </c>
      <c r="Y197" s="165">
        <f>IF(X197=0,"",'INTRODUCIR DATOS'!$D$14-X197)</f>
        <v>113.12150000000001</v>
      </c>
      <c r="Z197" s="165">
        <f>IF(X197=0,"",('INTRODUCIR DATOS'!$D$14-X197)/'INTRODUCIR DATOS'!$D$14)</f>
        <v>0.99098992553657472</v>
      </c>
      <c r="AA197" s="163"/>
      <c r="AB197" s="163"/>
      <c r="AC197" s="205"/>
      <c r="AD197" s="218">
        <f>('INTRODUCIR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DATOS'!$D$17)+'INTRODUCIR DATOS'!$D$15+'INTRODUCIR DATOS'!$D$16+(('INTRODUCIR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DATOS'!$D$17)+'INTRODUCIR DATOS'!$D$16)*21/100</f>
        <v>1.0285</v>
      </c>
      <c r="AE197" s="165">
        <f>IF(AD197=0,"",'INTRODUCIR DATOS'!$D$14-AD197)</f>
        <v>113.12150000000001</v>
      </c>
      <c r="AF197" s="165">
        <f>IF(AD197=0,"",('INTRODUCIR DATOS'!$D$14-AD197)/'INTRODUCIR DATOS'!$D$14)</f>
        <v>0.99098992553657472</v>
      </c>
      <c r="AG197" s="163"/>
      <c r="AH197" s="163"/>
      <c r="AI197" s="166"/>
      <c r="AJ197" s="218">
        <f>('INTRODUCIR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DATOS'!$D$17)+'INTRODUCIR DATOS'!$D$15+'INTRODUCIR DATOS'!$D$16+(('INTRODUCIR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DATOS'!$D$17)+'INTRODUCIR DATOS'!$D$16)*21/100</f>
        <v>1.0285</v>
      </c>
      <c r="AK197" s="165">
        <f>IF(AJ197=0,"",'INTRODUCIR DATOS'!$D$14-AJ197)</f>
        <v>113.12150000000001</v>
      </c>
      <c r="AL197" s="165">
        <f>IF(AJ197=0,"",('INTRODUCIR DATOS'!$D$14-AJ197)/'INTRODUCIR DATOS'!$D$14)</f>
        <v>0.99098992553657472</v>
      </c>
      <c r="AM197" s="163"/>
      <c r="AN197" s="163"/>
      <c r="AO197" s="166"/>
    </row>
    <row r="198" spans="23:41">
      <c r="W198" s="212" t="s">
        <v>208</v>
      </c>
      <c r="X198" s="217">
        <f>'PRECIOS CYE'!H20</f>
        <v>0</v>
      </c>
      <c r="Y198" s="163">
        <f>'PRECIOS CYE'!I20</f>
        <v>0</v>
      </c>
      <c r="Z198" s="163">
        <f>'PRECIOS CYE'!J20</f>
        <v>0</v>
      </c>
      <c r="AA198" s="163"/>
      <c r="AB198" s="163"/>
      <c r="AC198" s="205"/>
      <c r="AD198" s="217">
        <f>'PRECIOS CYE'!N20</f>
        <v>0</v>
      </c>
      <c r="AE198" s="163">
        <f>'PRECIOS CYE'!O20</f>
        <v>0</v>
      </c>
      <c r="AF198" s="163">
        <f>'PRECIOS CYE'!P20</f>
        <v>0</v>
      </c>
      <c r="AG198" s="163">
        <f>'PRECIOS CYE'!Q20</f>
        <v>0</v>
      </c>
      <c r="AH198" s="163">
        <f>'PRECIOS CYE'!R20</f>
        <v>0</v>
      </c>
      <c r="AI198" s="166">
        <f>'PRECIOS CYE'!S20</f>
        <v>0</v>
      </c>
      <c r="AJ198" s="172">
        <f>'PRECIOS CYE'!T20</f>
        <v>0</v>
      </c>
      <c r="AK198" s="163">
        <f>'PRECIOS CYE'!U20</f>
        <v>0</v>
      </c>
      <c r="AL198" s="163">
        <f>'PRECIOS CYE'!V20</f>
        <v>0</v>
      </c>
      <c r="AM198" s="163">
        <f>'PRECIOS CYE'!W20</f>
        <v>0</v>
      </c>
      <c r="AN198" s="163">
        <f>'PRECIOS CYE'!X20</f>
        <v>0</v>
      </c>
      <c r="AO198" s="166">
        <f>'PRECIOS CYE'!Y20</f>
        <v>0</v>
      </c>
    </row>
    <row r="199" spans="23:41">
      <c r="W199" s="212" t="s">
        <v>116</v>
      </c>
      <c r="X199" s="217">
        <f>'PRECIOS CYE'!H10</f>
        <v>0</v>
      </c>
      <c r="Y199" s="163">
        <f>'PRECIOS CYE'!I10</f>
        <v>0</v>
      </c>
      <c r="Z199" s="163">
        <f>'PRECIOS CYE'!J10</f>
        <v>0</v>
      </c>
      <c r="AA199" s="163"/>
      <c r="AB199" s="163"/>
      <c r="AC199" s="205"/>
      <c r="AD199" s="217">
        <f>'PRECIOS CYE'!N10</f>
        <v>0</v>
      </c>
      <c r="AE199" s="163">
        <f>'PRECIOS CYE'!O10</f>
        <v>0</v>
      </c>
      <c r="AF199" s="163">
        <f>'PRECIOS CYE'!P10</f>
        <v>0</v>
      </c>
      <c r="AG199" s="163">
        <f>'PRECIOS CYE'!Q10</f>
        <v>0</v>
      </c>
      <c r="AH199" s="163">
        <f>'PRECIOS CYE'!R10</f>
        <v>0</v>
      </c>
      <c r="AI199" s="166">
        <f>'PRECIOS CYE'!S10</f>
        <v>0</v>
      </c>
      <c r="AJ199" s="172">
        <f>'PRECIOS CYE'!T10</f>
        <v>0</v>
      </c>
      <c r="AK199" s="163">
        <f>'PRECIOS CYE'!U10</f>
        <v>0</v>
      </c>
      <c r="AL199" s="163">
        <f>'PRECIOS CYE'!V10</f>
        <v>0</v>
      </c>
      <c r="AM199" s="163">
        <f>'PRECIOS CYE'!W10</f>
        <v>0</v>
      </c>
      <c r="AN199" s="163">
        <f>'PRECIOS CYE'!X10</f>
        <v>0</v>
      </c>
      <c r="AO199" s="166">
        <f>'PRECIOS CYE'!Y10</f>
        <v>0</v>
      </c>
    </row>
    <row r="200" spans="23:41">
      <c r="W200" s="212"/>
      <c r="X200" s="218">
        <f>('INTRODUCIR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DATOS'!$D$17)+'INTRODUCIR DATOS'!$D$15+'INTRODUCIR DATOS'!$D$16+(('INTRODUCIR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DATOS'!$D$17)+'INTRODUCIR DATOS'!$D$16)*21/100</f>
        <v>1.0285</v>
      </c>
      <c r="Y200" s="165">
        <f>IF(X200=0,"",'INTRODUCIR DATOS'!$D$14-X200)</f>
        <v>113.12150000000001</v>
      </c>
      <c r="Z200" s="165">
        <f>IF(X200=0,"",('INTRODUCIR DATOS'!$D$14-X200)/'INTRODUCIR DATOS'!$D$14)</f>
        <v>0.99098992553657472</v>
      </c>
      <c r="AA200" s="163"/>
      <c r="AB200" s="163"/>
      <c r="AC200" s="205"/>
      <c r="AD200" s="218">
        <f>('INTRODUCIR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DATOS'!$D$17)+'INTRODUCIR DATOS'!$D$15+'INTRODUCIR DATOS'!$D$16+(('INTRODUCIR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DATOS'!$D$17)+'INTRODUCIR DATOS'!$D$16)*21/100</f>
        <v>1.0285</v>
      </c>
      <c r="AE200" s="165">
        <f>IF(AD200=0,"",'INTRODUCIR DATOS'!$D$14-AD200)</f>
        <v>113.12150000000001</v>
      </c>
      <c r="AF200" s="165">
        <f>IF(AD200=0,"",('INTRODUCIR DATOS'!$D$14-AD200)/'INTRODUCIR DATOS'!$D$14)</f>
        <v>0.99098992553657472</v>
      </c>
      <c r="AG200" s="163"/>
      <c r="AH200" s="163"/>
      <c r="AI200" s="166"/>
      <c r="AJ200" s="218">
        <f>('INTRODUCIR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DATOS'!$D$17)+'INTRODUCIR DATOS'!$D$15+'INTRODUCIR DATOS'!$D$16+(('INTRODUCIR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DATOS'!$D$17)+'INTRODUCIR DATOS'!$D$16)*21/100</f>
        <v>1.0285</v>
      </c>
      <c r="AK200" s="165">
        <f>IF(AJ200=0,"",'INTRODUCIR DATOS'!$D$14-AJ200)</f>
        <v>113.12150000000001</v>
      </c>
      <c r="AL200" s="165">
        <f>IF(AJ200=0,"",('INTRODUCIR DATOS'!$D$14-AJ200)/'INTRODUCIR DATOS'!$D$14)</f>
        <v>0.99098992553657472</v>
      </c>
      <c r="AM200" s="163"/>
      <c r="AN200" s="163"/>
      <c r="AO200" s="166"/>
    </row>
    <row r="201" spans="23:41">
      <c r="W201" s="212" t="s">
        <v>208</v>
      </c>
      <c r="X201" s="217">
        <f>'PRECIOS CYE'!H21</f>
        <v>0</v>
      </c>
      <c r="Y201" s="163">
        <f>'PRECIOS CYE'!I21</f>
        <v>0</v>
      </c>
      <c r="Z201" s="163">
        <f>'PRECIOS CYE'!J21</f>
        <v>0</v>
      </c>
      <c r="AA201" s="163"/>
      <c r="AB201" s="163"/>
      <c r="AC201" s="205"/>
      <c r="AD201" s="217">
        <f>'PRECIOS CYE'!N21</f>
        <v>0</v>
      </c>
      <c r="AE201" s="163">
        <f>'PRECIOS CYE'!O21</f>
        <v>0</v>
      </c>
      <c r="AF201" s="163">
        <f>'PRECIOS CYE'!P21</f>
        <v>0</v>
      </c>
      <c r="AG201" s="163">
        <f>'PRECIOS CYE'!Q21</f>
        <v>0</v>
      </c>
      <c r="AH201" s="163">
        <f>'PRECIOS CYE'!R21</f>
        <v>0</v>
      </c>
      <c r="AI201" s="166">
        <f>'PRECIOS CYE'!S21</f>
        <v>0</v>
      </c>
      <c r="AJ201" s="172">
        <f>'PRECIOS CYE'!T21</f>
        <v>0</v>
      </c>
      <c r="AK201" s="163">
        <f>'PRECIOS CYE'!U21</f>
        <v>0</v>
      </c>
      <c r="AL201" s="163">
        <f>'PRECIOS CYE'!V21</f>
        <v>0</v>
      </c>
      <c r="AM201" s="163">
        <f>'PRECIOS CYE'!W21</f>
        <v>0</v>
      </c>
      <c r="AN201" s="163">
        <f>'PRECIOS CYE'!X21</f>
        <v>0</v>
      </c>
      <c r="AO201" s="166">
        <f>'PRECIOS CYE'!Y21</f>
        <v>0</v>
      </c>
    </row>
    <row r="202" spans="23:41">
      <c r="W202" s="212" t="s">
        <v>60</v>
      </c>
      <c r="X202" s="217">
        <f>'PRECIOS CYE'!H10</f>
        <v>0</v>
      </c>
      <c r="Y202" s="163">
        <f>'PRECIOS CYE'!I10</f>
        <v>0</v>
      </c>
      <c r="Z202" s="163">
        <f>'PRECIOS CYE'!J10</f>
        <v>0</v>
      </c>
      <c r="AA202" s="163"/>
      <c r="AB202" s="163"/>
      <c r="AC202" s="205"/>
      <c r="AD202" s="217">
        <f>'PRECIOS CYE'!N10</f>
        <v>0</v>
      </c>
      <c r="AE202" s="163">
        <f>'PRECIOS CYE'!O10</f>
        <v>0</v>
      </c>
      <c r="AF202" s="163">
        <f>'PRECIOS CYE'!P10</f>
        <v>0</v>
      </c>
      <c r="AG202" s="163">
        <f>'PRECIOS CYE'!Q10</f>
        <v>0</v>
      </c>
      <c r="AH202" s="163">
        <f>'PRECIOS CYE'!R10</f>
        <v>0</v>
      </c>
      <c r="AI202" s="166">
        <f>'PRECIOS CYE'!S10</f>
        <v>0</v>
      </c>
      <c r="AJ202" s="172">
        <f>'PRECIOS CYE'!T10</f>
        <v>0</v>
      </c>
      <c r="AK202" s="163">
        <f>'PRECIOS CYE'!U10</f>
        <v>0</v>
      </c>
      <c r="AL202" s="163">
        <f>'PRECIOS CYE'!V10</f>
        <v>0</v>
      </c>
      <c r="AM202" s="163">
        <f>'PRECIOS CYE'!W10</f>
        <v>0</v>
      </c>
      <c r="AN202" s="163">
        <f>'PRECIOS CYE'!X10</f>
        <v>0</v>
      </c>
      <c r="AO202" s="166">
        <f>'PRECIOS CYE'!Y10</f>
        <v>0</v>
      </c>
    </row>
    <row r="203" spans="23:41">
      <c r="W203" s="212"/>
      <c r="X203" s="218">
        <f>('INTRODUCIR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DATOS'!$D$17)+'INTRODUCIR DATOS'!$D$15+'INTRODUCIR DATOS'!$D$16+(('INTRODUCIR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DATOS'!$D$17)+'INTRODUCIR DATOS'!$D$16)*21/100</f>
        <v>1.0285</v>
      </c>
      <c r="Y203" s="165">
        <f>IF(X203=0,"",'INTRODUCIR DATOS'!$D$14-X203)</f>
        <v>113.12150000000001</v>
      </c>
      <c r="Z203" s="165">
        <f>IF(X203=0,"",('INTRODUCIR DATOS'!$D$14-X203)/'INTRODUCIR DATOS'!$D$14)</f>
        <v>0.99098992553657472</v>
      </c>
      <c r="AA203" s="163"/>
      <c r="AB203" s="163"/>
      <c r="AC203" s="205"/>
      <c r="AD203" s="218">
        <f>('INTRODUCIR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DATOS'!$D$17)+'INTRODUCIR DATOS'!$D$15+'INTRODUCIR DATOS'!$D$16+(('INTRODUCIR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DATOS'!$D$17)+'INTRODUCIR DATOS'!$D$16)*21/100</f>
        <v>1.0285</v>
      </c>
      <c r="AE203" s="165">
        <f>IF(AD203=0,"",'INTRODUCIR DATOS'!$D$14-AD203)</f>
        <v>113.12150000000001</v>
      </c>
      <c r="AF203" s="165">
        <f>IF(AD203=0,"",('INTRODUCIR DATOS'!$D$14-AD203)/'INTRODUCIR DATOS'!$D$14)</f>
        <v>0.99098992553657472</v>
      </c>
      <c r="AG203" s="163"/>
      <c r="AH203" s="163"/>
      <c r="AI203" s="166"/>
      <c r="AJ203" s="218">
        <f>('INTRODUCIR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DATOS'!$D$17)+'INTRODUCIR DATOS'!$D$15+'INTRODUCIR DATOS'!$D$16+(('INTRODUCIR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DATOS'!$D$17)+'INTRODUCIR DATOS'!$D$16)*21/100</f>
        <v>1.0285</v>
      </c>
      <c r="AK203" s="165">
        <f>IF(AJ203=0,"",'INTRODUCIR DATOS'!$D$14-AJ203)</f>
        <v>113.12150000000001</v>
      </c>
      <c r="AL203" s="165">
        <f>IF(AJ203=0,"",('INTRODUCIR DATOS'!$D$14-AJ203)/'INTRODUCIR DATOS'!$D$14)</f>
        <v>0.99098992553657472</v>
      </c>
      <c r="AM203" s="163"/>
      <c r="AN203" s="163"/>
      <c r="AO203" s="166"/>
    </row>
    <row r="204" spans="23:41">
      <c r="W204" s="212" t="s">
        <v>208</v>
      </c>
      <c r="X204" s="217">
        <f>'PRECIOS CYE'!H22</f>
        <v>0</v>
      </c>
      <c r="Y204" s="163">
        <f>'PRECIOS CYE'!I22</f>
        <v>0</v>
      </c>
      <c r="Z204" s="163">
        <f>'PRECIOS CYE'!J22</f>
        <v>0</v>
      </c>
      <c r="AA204" s="163"/>
      <c r="AB204" s="163"/>
      <c r="AC204" s="205"/>
      <c r="AD204" s="217">
        <f>'PRECIOS CYE'!N22</f>
        <v>0</v>
      </c>
      <c r="AE204" s="163">
        <f>'PRECIOS CYE'!O22</f>
        <v>0</v>
      </c>
      <c r="AF204" s="163">
        <f>'PRECIOS CYE'!P22</f>
        <v>0</v>
      </c>
      <c r="AG204" s="163">
        <f>'PRECIOS CYE'!Q22</f>
        <v>0</v>
      </c>
      <c r="AH204" s="163">
        <f>'PRECIOS CYE'!R22</f>
        <v>0</v>
      </c>
      <c r="AI204" s="166">
        <f>'PRECIOS CYE'!S22</f>
        <v>0</v>
      </c>
      <c r="AJ204" s="172">
        <f>'PRECIOS CYE'!T22</f>
        <v>0</v>
      </c>
      <c r="AK204" s="163">
        <f>'PRECIOS CYE'!U22</f>
        <v>0</v>
      </c>
      <c r="AL204" s="163">
        <f>'PRECIOS CYE'!V22</f>
        <v>0</v>
      </c>
      <c r="AM204" s="163">
        <f>'PRECIOS CYE'!W22</f>
        <v>0</v>
      </c>
      <c r="AN204" s="163">
        <f>'PRECIOS CYE'!X22</f>
        <v>0</v>
      </c>
      <c r="AO204" s="166">
        <f>'PRECIOS CYE'!Y22</f>
        <v>0</v>
      </c>
    </row>
    <row r="205" spans="23:41">
      <c r="W205" s="212" t="s">
        <v>62</v>
      </c>
      <c r="X205" s="217">
        <f>'PRECIOS CYE'!H10</f>
        <v>0</v>
      </c>
      <c r="Y205" s="163">
        <f>'PRECIOS CYE'!I10</f>
        <v>0</v>
      </c>
      <c r="Z205" s="163">
        <f>'PRECIOS CYE'!J10</f>
        <v>0</v>
      </c>
      <c r="AA205" s="163"/>
      <c r="AB205" s="163"/>
      <c r="AC205" s="205"/>
      <c r="AD205" s="217">
        <f>'PRECIOS CYE'!N10</f>
        <v>0</v>
      </c>
      <c r="AE205" s="163">
        <f>'PRECIOS CYE'!O10</f>
        <v>0</v>
      </c>
      <c r="AF205" s="163">
        <f>'PRECIOS CYE'!P10</f>
        <v>0</v>
      </c>
      <c r="AG205" s="163">
        <f>'PRECIOS CYE'!Q10</f>
        <v>0</v>
      </c>
      <c r="AH205" s="163">
        <f>'PRECIOS CYE'!R10</f>
        <v>0</v>
      </c>
      <c r="AI205" s="166">
        <f>'PRECIOS CYE'!S10</f>
        <v>0</v>
      </c>
      <c r="AJ205" s="172">
        <f>'PRECIOS CYE'!T10</f>
        <v>0</v>
      </c>
      <c r="AK205" s="163">
        <f>'PRECIOS CYE'!U10</f>
        <v>0</v>
      </c>
      <c r="AL205" s="163">
        <f>'PRECIOS CYE'!V10</f>
        <v>0</v>
      </c>
      <c r="AM205" s="163">
        <f>'PRECIOS CYE'!W10</f>
        <v>0</v>
      </c>
      <c r="AN205" s="163">
        <f>'PRECIOS CYE'!X10</f>
        <v>0</v>
      </c>
      <c r="AO205" s="166">
        <f>'PRECIOS CYE'!Y10</f>
        <v>0</v>
      </c>
    </row>
    <row r="206" spans="23:41">
      <c r="W206" s="212"/>
      <c r="X206" s="218">
        <f>('INTRODUCIR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DATOS'!$D$17)+'INTRODUCIR DATOS'!$D$15+'INTRODUCIR DATOS'!$D$16+(('INTRODUCIR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DATOS'!$D$17)+'INTRODUCIR DATOS'!$D$16)*21/100</f>
        <v>1.0285</v>
      </c>
      <c r="Y206" s="165">
        <f>IF(X206=0,"",'INTRODUCIR DATOS'!$D$14-X206)</f>
        <v>113.12150000000001</v>
      </c>
      <c r="Z206" s="165">
        <f>IF(X206=0,"",('INTRODUCIR DATOS'!$D$14-X206)/'INTRODUCIR DATOS'!$D$14)</f>
        <v>0.99098992553657472</v>
      </c>
      <c r="AA206" s="163"/>
      <c r="AB206" s="163"/>
      <c r="AC206" s="205"/>
      <c r="AD206" s="218">
        <f>('INTRODUCIR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DATOS'!$D$17)+'INTRODUCIR DATOS'!$D$15+'INTRODUCIR DATOS'!$D$16+(('INTRODUCIR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DATOS'!$D$17)+'INTRODUCIR DATOS'!$D$16)*21/100</f>
        <v>1.0285</v>
      </c>
      <c r="AE206" s="165">
        <f>IF(AD206=0,"",'INTRODUCIR DATOS'!$D$14-AD206)</f>
        <v>113.12150000000001</v>
      </c>
      <c r="AF206" s="165">
        <f>IF(AD206=0,"",('INTRODUCIR DATOS'!$D$14-AD206)/'INTRODUCIR DATOS'!$D$14)</f>
        <v>0.99098992553657472</v>
      </c>
      <c r="AG206" s="163"/>
      <c r="AH206" s="163"/>
      <c r="AI206" s="166"/>
      <c r="AJ206" s="218">
        <f>('INTRODUCIR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DATOS'!$D$17)+'INTRODUCIR DATOS'!$D$15+'INTRODUCIR DATOS'!$D$16+(('INTRODUCIR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DATOS'!$D$17)+'INTRODUCIR DATOS'!$D$16)*21/100</f>
        <v>1.0285</v>
      </c>
      <c r="AK206" s="165">
        <f>IF(AJ206=0,"",'INTRODUCIR DATOS'!$D$14-AJ206)</f>
        <v>113.12150000000001</v>
      </c>
      <c r="AL206" s="165">
        <f>IF(AJ206=0,"",('INTRODUCIR DATOS'!$D$14-AJ206)/'INTRODUCIR DATOS'!$D$14)</f>
        <v>0.99098992553657472</v>
      </c>
      <c r="AM206" s="163"/>
      <c r="AN206" s="163"/>
      <c r="AO206" s="166"/>
    </row>
    <row r="207" spans="23:41">
      <c r="W207" s="212" t="s">
        <v>208</v>
      </c>
      <c r="X207" s="217">
        <f>'PRECIOS CYE'!H23</f>
        <v>0</v>
      </c>
      <c r="Y207" s="163">
        <f>'PRECIOS CYE'!I23</f>
        <v>0</v>
      </c>
      <c r="Z207" s="163">
        <f>'PRECIOS CYE'!J23</f>
        <v>0</v>
      </c>
      <c r="AA207" s="163"/>
      <c r="AB207" s="163"/>
      <c r="AC207" s="205"/>
      <c r="AD207" s="217"/>
      <c r="AE207" s="163"/>
      <c r="AF207" s="163"/>
      <c r="AG207" s="163"/>
      <c r="AH207" s="163"/>
      <c r="AI207" s="166"/>
      <c r="AJ207" s="172"/>
      <c r="AK207" s="163"/>
      <c r="AL207" s="163"/>
      <c r="AM207" s="163"/>
      <c r="AN207" s="163"/>
      <c r="AO207" s="166"/>
    </row>
    <row r="208" spans="23:41">
      <c r="W208" s="212" t="s">
        <v>63</v>
      </c>
      <c r="X208" s="217">
        <f>'PRECIOS CYE'!H10</f>
        <v>0</v>
      </c>
      <c r="Y208" s="163">
        <f>'PRECIOS CYE'!I10</f>
        <v>0</v>
      </c>
      <c r="Z208" s="163">
        <f>'PRECIOS CYE'!J10</f>
        <v>0</v>
      </c>
      <c r="AA208" s="163"/>
      <c r="AB208" s="163"/>
      <c r="AC208" s="205"/>
      <c r="AD208" s="217"/>
      <c r="AE208" s="163"/>
      <c r="AF208" s="163"/>
      <c r="AG208" s="163"/>
      <c r="AH208" s="163"/>
      <c r="AI208" s="166"/>
      <c r="AJ208" s="172"/>
      <c r="AK208" s="163"/>
      <c r="AL208" s="163"/>
      <c r="AM208" s="163"/>
      <c r="AN208" s="163"/>
      <c r="AO208" s="166"/>
    </row>
    <row r="209" spans="23:41">
      <c r="W209" s="212"/>
      <c r="X209" s="218">
        <f>('INTRODUCIR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DATOS'!$D$17)+'INTRODUCIR DATOS'!$D$15+'INTRODUCIR DATOS'!$D$16+(('INTRODUCIR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DATOS'!$D$17)+'INTRODUCIR DATOS'!$D$16)*21/100</f>
        <v>1.0285</v>
      </c>
      <c r="Y209" s="165">
        <f>IF(X209=0,"",'INTRODUCIR DATOS'!$D$14-X209)</f>
        <v>113.12150000000001</v>
      </c>
      <c r="Z209" s="165">
        <f>IF(X209=0,"",('INTRODUCIR DATOS'!$D$14-X209)/'INTRODUCIR DATOS'!$D$14)</f>
        <v>0.99098992553657472</v>
      </c>
      <c r="AA209" s="163"/>
      <c r="AB209" s="163"/>
      <c r="AC209" s="205"/>
      <c r="AD209" s="218"/>
      <c r="AE209" s="165"/>
      <c r="AF209" s="165"/>
      <c r="AG209" s="163"/>
      <c r="AH209" s="163"/>
      <c r="AI209" s="166"/>
      <c r="AJ209" s="173"/>
      <c r="AK209" s="165"/>
      <c r="AL209" s="165"/>
      <c r="AM209" s="163"/>
      <c r="AN209" s="163"/>
      <c r="AO209" s="166"/>
    </row>
    <row r="210" spans="23:41">
      <c r="W210" s="212" t="s">
        <v>208</v>
      </c>
      <c r="X210" s="217">
        <f>'PRECIOS CYE'!H24</f>
        <v>0</v>
      </c>
      <c r="Y210" s="163">
        <f>'PRECIOS CYE'!I24</f>
        <v>0</v>
      </c>
      <c r="Z210" s="163">
        <f>'PRECIOS CYE'!J24</f>
        <v>0</v>
      </c>
      <c r="AA210" s="163"/>
      <c r="AB210" s="163"/>
      <c r="AC210" s="205"/>
      <c r="AD210" s="217"/>
      <c r="AE210" s="163"/>
      <c r="AF210" s="163"/>
      <c r="AG210" s="163"/>
      <c r="AH210" s="163"/>
      <c r="AI210" s="166"/>
      <c r="AJ210" s="172"/>
      <c r="AK210" s="163"/>
      <c r="AL210" s="163"/>
      <c r="AM210" s="163"/>
      <c r="AN210" s="163"/>
      <c r="AO210" s="166"/>
    </row>
    <row r="211" spans="23:41">
      <c r="W211" s="212" t="s">
        <v>65</v>
      </c>
      <c r="X211" s="217">
        <f>'PRECIOS CYE'!H10</f>
        <v>0</v>
      </c>
      <c r="Y211" s="163">
        <f>'PRECIOS CYE'!I10</f>
        <v>0</v>
      </c>
      <c r="Z211" s="163">
        <f>'PRECIOS CYE'!J10</f>
        <v>0</v>
      </c>
      <c r="AA211" s="163"/>
      <c r="AB211" s="163"/>
      <c r="AC211" s="205"/>
      <c r="AD211" s="217"/>
      <c r="AE211" s="163"/>
      <c r="AF211" s="163"/>
      <c r="AG211" s="163"/>
      <c r="AH211" s="163"/>
      <c r="AI211" s="166"/>
      <c r="AJ211" s="172"/>
      <c r="AK211" s="163"/>
      <c r="AL211" s="163"/>
      <c r="AM211" s="163"/>
      <c r="AN211" s="163"/>
      <c r="AO211" s="166"/>
    </row>
    <row r="212" spans="23:41">
      <c r="W212" s="212"/>
      <c r="X212" s="218">
        <f>('INTRODUCIR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DATOS'!$D$17)+'INTRODUCIR DATOS'!$D$15+'INTRODUCIR DATOS'!$D$16+(('INTRODUCIR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DATOS'!$D$17)+'INTRODUCIR DATOS'!$D$16)*21/100</f>
        <v>1.0285</v>
      </c>
      <c r="Y212" s="165">
        <f>IF(X212=0,"",'INTRODUCIR DATOS'!$D$14-X212)</f>
        <v>113.12150000000001</v>
      </c>
      <c r="Z212" s="165">
        <f>IF(X212=0,"",('INTRODUCIR DATOS'!$D$14-X212)/'INTRODUCIR DATOS'!$D$14)</f>
        <v>0.99098992553657472</v>
      </c>
      <c r="AA212" s="163"/>
      <c r="AB212" s="163"/>
      <c r="AC212" s="205"/>
      <c r="AD212" s="218"/>
      <c r="AE212" s="165"/>
      <c r="AF212" s="165"/>
      <c r="AG212" s="163"/>
      <c r="AH212" s="163"/>
      <c r="AI212" s="166"/>
      <c r="AJ212" s="173"/>
      <c r="AK212" s="165"/>
      <c r="AL212" s="165"/>
      <c r="AM212" s="163"/>
      <c r="AN212" s="163"/>
      <c r="AO212" s="166"/>
    </row>
    <row r="213" spans="23:41">
      <c r="W213" s="212" t="s">
        <v>208</v>
      </c>
      <c r="X213" s="217">
        <f>'PRECIOS CYE'!H25</f>
        <v>0</v>
      </c>
      <c r="Y213" s="163">
        <f>'PRECIOS CYE'!I25</f>
        <v>0</v>
      </c>
      <c r="Z213" s="163">
        <f>'PRECIOS CYE'!J25</f>
        <v>0</v>
      </c>
      <c r="AA213" s="163"/>
      <c r="AB213" s="163"/>
      <c r="AC213" s="205"/>
      <c r="AD213" s="217"/>
      <c r="AE213" s="163"/>
      <c r="AF213" s="163"/>
      <c r="AG213" s="163"/>
      <c r="AH213" s="163"/>
      <c r="AI213" s="166"/>
      <c r="AJ213" s="172"/>
      <c r="AK213" s="163"/>
      <c r="AL213" s="163"/>
      <c r="AM213" s="163"/>
      <c r="AN213" s="163"/>
      <c r="AO213" s="166"/>
    </row>
    <row r="214" spans="23:41">
      <c r="W214" s="212" t="s">
        <v>199</v>
      </c>
      <c r="X214" s="217">
        <f>'PRECIOS CYE'!H10</f>
        <v>0</v>
      </c>
      <c r="Y214" s="163">
        <f>'PRECIOS CYE'!I10</f>
        <v>0</v>
      </c>
      <c r="Z214" s="163">
        <f>'PRECIOS CYE'!J10</f>
        <v>0</v>
      </c>
      <c r="AA214" s="163"/>
      <c r="AB214" s="163"/>
      <c r="AC214" s="205"/>
      <c r="AD214" s="217"/>
      <c r="AE214" s="163"/>
      <c r="AF214" s="163"/>
      <c r="AG214" s="163"/>
      <c r="AH214" s="163"/>
      <c r="AI214" s="166"/>
      <c r="AJ214" s="172"/>
      <c r="AK214" s="163"/>
      <c r="AL214" s="163"/>
      <c r="AM214" s="163"/>
      <c r="AN214" s="163"/>
      <c r="AO214" s="166"/>
    </row>
    <row r="215" spans="23:41">
      <c r="W215" s="212"/>
      <c r="X215" s="218">
        <f>('INTRODUCIR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DATOS'!$D$17)+'INTRODUCIR DATOS'!$D$15+'INTRODUCIR DATOS'!$D$16+(('INTRODUCIR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DATOS'!$D$17)+'INTRODUCIR DATOS'!$D$16)*21/100</f>
        <v>1.0285</v>
      </c>
      <c r="Y215" s="165">
        <f>IF(X215=0,"",'INTRODUCIR DATOS'!$D$14-X215)</f>
        <v>113.12150000000001</v>
      </c>
      <c r="Z215" s="165">
        <f>IF(X215=0,"",('INTRODUCIR DATOS'!$D$14-X215)/'INTRODUCIR DATOS'!$D$14)</f>
        <v>0.99098992553657472</v>
      </c>
      <c r="AA215" s="163"/>
      <c r="AB215" s="163"/>
      <c r="AC215" s="205"/>
      <c r="AD215" s="218"/>
      <c r="AE215" s="165"/>
      <c r="AF215" s="165"/>
      <c r="AG215" s="163"/>
      <c r="AH215" s="163"/>
      <c r="AI215" s="166"/>
      <c r="AJ215" s="173"/>
      <c r="AK215" s="165"/>
      <c r="AL215" s="165"/>
      <c r="AM215" s="163"/>
      <c r="AN215" s="163"/>
      <c r="AO215" s="166"/>
    </row>
    <row r="216" spans="23:41">
      <c r="W216" s="212" t="s">
        <v>208</v>
      </c>
      <c r="X216" s="217">
        <f>'PRECIOS CYE'!H26</f>
        <v>0</v>
      </c>
      <c r="Y216" s="163">
        <f>'PRECIOS CYE'!I26</f>
        <v>0</v>
      </c>
      <c r="Z216" s="163">
        <f>'PRECIOS CYE'!J26</f>
        <v>0</v>
      </c>
      <c r="AA216" s="163"/>
      <c r="AB216" s="163"/>
      <c r="AC216" s="205"/>
      <c r="AD216" s="217"/>
      <c r="AE216" s="163"/>
      <c r="AF216" s="163"/>
      <c r="AG216" s="163"/>
      <c r="AH216" s="163"/>
      <c r="AI216" s="166"/>
      <c r="AJ216" s="172"/>
      <c r="AK216" s="163"/>
      <c r="AL216" s="163"/>
      <c r="AM216" s="163"/>
      <c r="AN216" s="163"/>
      <c r="AO216" s="166"/>
    </row>
    <row r="217" spans="23:41">
      <c r="W217" s="212" t="s">
        <v>200</v>
      </c>
      <c r="X217" s="217">
        <f>'PRECIOS CYE'!H10</f>
        <v>0</v>
      </c>
      <c r="Y217" s="163">
        <f>'PRECIOS CYE'!I10</f>
        <v>0</v>
      </c>
      <c r="Z217" s="163">
        <f>'PRECIOS CYE'!J10</f>
        <v>0</v>
      </c>
      <c r="AA217" s="163"/>
      <c r="AB217" s="163"/>
      <c r="AC217" s="205"/>
      <c r="AD217" s="217"/>
      <c r="AE217" s="163"/>
      <c r="AF217" s="163"/>
      <c r="AG217" s="163"/>
      <c r="AH217" s="163"/>
      <c r="AI217" s="166"/>
      <c r="AJ217" s="172"/>
      <c r="AK217" s="163"/>
      <c r="AL217" s="163"/>
      <c r="AM217" s="163"/>
      <c r="AN217" s="163"/>
      <c r="AO217" s="166"/>
    </row>
    <row r="218" spans="23:41">
      <c r="W218" s="212"/>
      <c r="X218" s="218">
        <f>('INTRODUCIR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DATOS'!$D$17)+'INTRODUCIR DATOS'!$D$15+'INTRODUCIR DATOS'!$D$16+(('INTRODUCIR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DATOS'!$D$17)+'INTRODUCIR DATOS'!$D$16)*21/100</f>
        <v>1.0285</v>
      </c>
      <c r="Y218" s="165">
        <f>IF(X218=0,"",'INTRODUCIR DATOS'!$D$14-X218)</f>
        <v>113.12150000000001</v>
      </c>
      <c r="Z218" s="165">
        <f>IF(X218=0,"",('INTRODUCIR DATOS'!$D$14-X218)/'INTRODUCIR DATOS'!$D$14)</f>
        <v>0.99098992553657472</v>
      </c>
      <c r="AA218" s="163"/>
      <c r="AB218" s="163"/>
      <c r="AC218" s="205"/>
      <c r="AD218" s="218"/>
      <c r="AE218" s="165"/>
      <c r="AF218" s="165"/>
      <c r="AG218" s="163"/>
      <c r="AH218" s="163"/>
      <c r="AI218" s="166"/>
      <c r="AJ218" s="173"/>
      <c r="AK218" s="165"/>
      <c r="AL218" s="165"/>
      <c r="AM218" s="163"/>
      <c r="AN218" s="163"/>
      <c r="AO218" s="166"/>
    </row>
    <row r="219" spans="23:41">
      <c r="W219" s="212" t="s">
        <v>209</v>
      </c>
      <c r="X219" s="218">
        <f>'PRECIOS CYE'!H18</f>
        <v>0</v>
      </c>
      <c r="Y219" s="164">
        <f>'PRECIOS CYE'!I18</f>
        <v>0</v>
      </c>
      <c r="Z219" s="164">
        <f>'PRECIOS CYE'!J18</f>
        <v>0</v>
      </c>
      <c r="AA219" s="164"/>
      <c r="AB219" s="164"/>
      <c r="AC219" s="219"/>
      <c r="AD219" s="218">
        <f>'PRECIOS CYE'!N18</f>
        <v>0</v>
      </c>
      <c r="AE219" s="164">
        <f>'PRECIOS CYE'!O18</f>
        <v>0</v>
      </c>
      <c r="AF219" s="164">
        <f>'PRECIOS CYE'!P18</f>
        <v>0</v>
      </c>
      <c r="AG219" s="164">
        <f>'PRECIOS CYE'!Q18</f>
        <v>0</v>
      </c>
      <c r="AH219" s="164">
        <f>'PRECIOS CYE'!R18</f>
        <v>0</v>
      </c>
      <c r="AI219" s="167">
        <f>'PRECIOS CYE'!S18</f>
        <v>0</v>
      </c>
      <c r="AJ219" s="173">
        <f>'PRECIOS CYE'!T18</f>
        <v>0</v>
      </c>
      <c r="AK219" s="164">
        <f>'PRECIOS CYE'!U18</f>
        <v>0</v>
      </c>
      <c r="AL219" s="164">
        <f>'PRECIOS CYE'!V18</f>
        <v>0</v>
      </c>
      <c r="AM219" s="164">
        <f>'PRECIOS CYE'!W18</f>
        <v>0</v>
      </c>
      <c r="AN219" s="164">
        <f>'PRECIOS CYE'!X18</f>
        <v>0</v>
      </c>
      <c r="AO219" s="167">
        <f>'PRECIOS CYE'!Y18</f>
        <v>0</v>
      </c>
    </row>
    <row r="220" spans="23:41">
      <c r="W220" s="212" t="s">
        <v>41</v>
      </c>
      <c r="X220" s="218">
        <f>'PRECIOS CYE'!H11</f>
        <v>0</v>
      </c>
      <c r="Y220" s="164">
        <f>'PRECIOS CYE'!I11</f>
        <v>0</v>
      </c>
      <c r="Z220" s="164">
        <f>'PRECIOS CYE'!J11</f>
        <v>0</v>
      </c>
      <c r="AA220" s="164"/>
      <c r="AB220" s="164"/>
      <c r="AC220" s="219"/>
      <c r="AD220" s="218">
        <f>'PRECIOS CYE'!N11</f>
        <v>0</v>
      </c>
      <c r="AE220" s="164">
        <f>'PRECIOS CYE'!O11</f>
        <v>0</v>
      </c>
      <c r="AF220" s="164">
        <f>'PRECIOS CYE'!P11</f>
        <v>0</v>
      </c>
      <c r="AG220" s="164">
        <f>'PRECIOS CYE'!Q11</f>
        <v>0</v>
      </c>
      <c r="AH220" s="164">
        <f>'PRECIOS CYE'!R11</f>
        <v>0</v>
      </c>
      <c r="AI220" s="167">
        <f>'PRECIOS CYE'!S11</f>
        <v>0</v>
      </c>
      <c r="AJ220" s="173">
        <f>'PRECIOS CYE'!T11</f>
        <v>0</v>
      </c>
      <c r="AK220" s="164">
        <f>'PRECIOS CYE'!U11</f>
        <v>0</v>
      </c>
      <c r="AL220" s="164">
        <f>'PRECIOS CYE'!V11</f>
        <v>0</v>
      </c>
      <c r="AM220" s="164">
        <f>'PRECIOS CYE'!W11</f>
        <v>0</v>
      </c>
      <c r="AN220" s="164">
        <f>'PRECIOS CYE'!X11</f>
        <v>0</v>
      </c>
      <c r="AO220" s="167">
        <f>'PRECIOS CYE'!Y11</f>
        <v>0</v>
      </c>
    </row>
    <row r="221" spans="23:41">
      <c r="W221" s="212"/>
      <c r="X221" s="218">
        <f>('INTRODUCIR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DATOS'!$D$17)+'INTRODUCIR DATOS'!$D$15+'INTRODUCIR DATOS'!$D$16+(('INTRODUCIR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DATOS'!$D$17)+'INTRODUCIR DATOS'!$D$16)*21/100</f>
        <v>1.0285</v>
      </c>
      <c r="Y221" s="165">
        <f>IF(X221=0,"",'INTRODUCIR DATOS'!$D$14-X221)</f>
        <v>113.12150000000001</v>
      </c>
      <c r="Z221" s="165">
        <f>IF(X221=0,"",('INTRODUCIR DATOS'!$D$14-X221)/'INTRODUCIR DATOS'!$D$14)</f>
        <v>0.99098992553657472</v>
      </c>
      <c r="AA221" s="163"/>
      <c r="AB221" s="163"/>
      <c r="AC221" s="205"/>
      <c r="AD221" s="218">
        <f>('INTRODUCIR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DATOS'!$D$17)+'INTRODUCIR DATOS'!$D$15+'INTRODUCIR DATOS'!$D$16+(('INTRODUCIR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DATOS'!$D$17)+'INTRODUCIR DATOS'!$D$16)*21/100</f>
        <v>1.0285</v>
      </c>
      <c r="AE221" s="165">
        <f>IF(AD221=0,"",'INTRODUCIR DATOS'!$D$14-AD221)</f>
        <v>113.12150000000001</v>
      </c>
      <c r="AF221" s="165">
        <f>IF(AD221=0,"",('INTRODUCIR DATOS'!$D$14-AD221)/'INTRODUCIR DATOS'!$D$14)</f>
        <v>0.99098992553657472</v>
      </c>
      <c r="AG221" s="163"/>
      <c r="AH221" s="163"/>
      <c r="AI221" s="166"/>
      <c r="AJ221" s="218">
        <f>('INTRODUCIR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DATOS'!$D$17)+'INTRODUCIR DATOS'!$D$15+'INTRODUCIR DATOS'!$D$16+(('INTRODUCIR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DATOS'!$D$17)+'INTRODUCIR DATOS'!$D$16)*21/100</f>
        <v>1.0285</v>
      </c>
      <c r="AK221" s="165">
        <f>IF(AJ221=0,"",'INTRODUCIR DATOS'!$D$14-AJ221)</f>
        <v>113.12150000000001</v>
      </c>
      <c r="AL221" s="165">
        <f>IF(AJ221=0,"",('INTRODUCIR DATOS'!$D$14-AJ221)/'INTRODUCIR DATOS'!$D$14)</f>
        <v>0.99098992553657472</v>
      </c>
      <c r="AM221" s="163"/>
      <c r="AN221" s="163"/>
      <c r="AO221" s="166"/>
    </row>
    <row r="222" spans="23:41">
      <c r="W222" s="212" t="s">
        <v>209</v>
      </c>
      <c r="X222" s="217">
        <f>'PRECIOS CYE'!H19</f>
        <v>0</v>
      </c>
      <c r="Y222" s="163">
        <f>'PRECIOS CYE'!I19</f>
        <v>0</v>
      </c>
      <c r="Z222" s="163">
        <f>'PRECIOS CYE'!J19</f>
        <v>0</v>
      </c>
      <c r="AA222" s="163"/>
      <c r="AB222" s="163"/>
      <c r="AC222" s="205"/>
      <c r="AD222" s="217">
        <f>'PRECIOS CYE'!N19</f>
        <v>0</v>
      </c>
      <c r="AE222" s="163">
        <f>'PRECIOS CYE'!O19</f>
        <v>0</v>
      </c>
      <c r="AF222" s="163">
        <f>'PRECIOS CYE'!P19</f>
        <v>0</v>
      </c>
      <c r="AG222" s="163">
        <f>'PRECIOS CYE'!Q19</f>
        <v>0</v>
      </c>
      <c r="AH222" s="163">
        <f>'PRECIOS CYE'!R19</f>
        <v>0</v>
      </c>
      <c r="AI222" s="166">
        <f>'PRECIOS CYE'!S19</f>
        <v>0</v>
      </c>
      <c r="AJ222" s="172">
        <f>'PRECIOS CYE'!T19</f>
        <v>0</v>
      </c>
      <c r="AK222" s="163">
        <f>'PRECIOS CYE'!U19</f>
        <v>0</v>
      </c>
      <c r="AL222" s="163">
        <f>'PRECIOS CYE'!V19</f>
        <v>0</v>
      </c>
      <c r="AM222" s="163">
        <f>'PRECIOS CYE'!W19</f>
        <v>0</v>
      </c>
      <c r="AN222" s="163">
        <f>'PRECIOS CYE'!X19</f>
        <v>0</v>
      </c>
      <c r="AO222" s="166">
        <f>'PRECIOS CYE'!Y19</f>
        <v>0</v>
      </c>
    </row>
    <row r="223" spans="23:41">
      <c r="W223" s="212" t="s">
        <v>115</v>
      </c>
      <c r="X223" s="217">
        <f>'PRECIOS CYE'!H11</f>
        <v>0</v>
      </c>
      <c r="Y223" s="163">
        <f>'PRECIOS CYE'!I11</f>
        <v>0</v>
      </c>
      <c r="Z223" s="163">
        <f>'PRECIOS CYE'!J11</f>
        <v>0</v>
      </c>
      <c r="AA223" s="163"/>
      <c r="AB223" s="163"/>
      <c r="AC223" s="205"/>
      <c r="AD223" s="217">
        <f>'PRECIOS CYE'!N11</f>
        <v>0</v>
      </c>
      <c r="AE223" s="163">
        <f>'PRECIOS CYE'!O11</f>
        <v>0</v>
      </c>
      <c r="AF223" s="163">
        <f>'PRECIOS CYE'!P11</f>
        <v>0</v>
      </c>
      <c r="AG223" s="163">
        <f>'PRECIOS CYE'!Q11</f>
        <v>0</v>
      </c>
      <c r="AH223" s="163">
        <f>'PRECIOS CYE'!R11</f>
        <v>0</v>
      </c>
      <c r="AI223" s="166">
        <f>'PRECIOS CYE'!S11</f>
        <v>0</v>
      </c>
      <c r="AJ223" s="172">
        <f>'PRECIOS CYE'!T11</f>
        <v>0</v>
      </c>
      <c r="AK223" s="163">
        <f>'PRECIOS CYE'!U11</f>
        <v>0</v>
      </c>
      <c r="AL223" s="163">
        <f>'PRECIOS CYE'!V11</f>
        <v>0</v>
      </c>
      <c r="AM223" s="163">
        <f>'PRECIOS CYE'!W11</f>
        <v>0</v>
      </c>
      <c r="AN223" s="163">
        <f>'PRECIOS CYE'!X11</f>
        <v>0</v>
      </c>
      <c r="AO223" s="166">
        <f>'PRECIOS CYE'!Y11</f>
        <v>0</v>
      </c>
    </row>
    <row r="224" spans="23:41">
      <c r="W224" s="212"/>
      <c r="X224" s="218">
        <f>('INTRODUCIR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DATOS'!$D$17)+'INTRODUCIR DATOS'!$D$15+'INTRODUCIR DATOS'!$D$16+(('INTRODUCIR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DATOS'!$D$17)+'INTRODUCIR DATOS'!$D$16)*21/100</f>
        <v>1.0285</v>
      </c>
      <c r="Y224" s="165">
        <f>IF(X224=0,"",'INTRODUCIR DATOS'!$D$14-X224)</f>
        <v>113.12150000000001</v>
      </c>
      <c r="Z224" s="165">
        <f>IF(X224=0,"",('INTRODUCIR DATOS'!$D$14-X224)/'INTRODUCIR DATOS'!$D$14)</f>
        <v>0.99098992553657472</v>
      </c>
      <c r="AA224" s="163"/>
      <c r="AB224" s="163"/>
      <c r="AC224" s="205"/>
      <c r="AD224" s="218">
        <f>('INTRODUCIR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DATOS'!$D$17)+'INTRODUCIR DATOS'!$D$15+'INTRODUCIR DATOS'!$D$16+(('INTRODUCIR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DATOS'!$D$17)+'INTRODUCIR DATOS'!$D$16)*21/100</f>
        <v>1.0285</v>
      </c>
      <c r="AE224" s="165">
        <f>IF(AD224=0,"",'INTRODUCIR DATOS'!$D$14-AD224)</f>
        <v>113.12150000000001</v>
      </c>
      <c r="AF224" s="165">
        <f>IF(AD224=0,"",('INTRODUCIR DATOS'!$D$14-AD224)/'INTRODUCIR DATOS'!$D$14)</f>
        <v>0.99098992553657472</v>
      </c>
      <c r="AG224" s="163"/>
      <c r="AH224" s="163"/>
      <c r="AI224" s="166"/>
      <c r="AJ224" s="218">
        <f>('INTRODUCIR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DATOS'!$D$17)+'INTRODUCIR DATOS'!$D$15+'INTRODUCIR DATOS'!$D$16+(('INTRODUCIR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DATOS'!$D$17)+'INTRODUCIR DATOS'!$D$16)*21/100</f>
        <v>1.0285</v>
      </c>
      <c r="AK224" s="165">
        <f>IF(AJ224=0,"",'INTRODUCIR DATOS'!$D$14-AJ224)</f>
        <v>113.12150000000001</v>
      </c>
      <c r="AL224" s="165">
        <f>IF(AJ224=0,"",('INTRODUCIR DATOS'!$D$14-AJ224)/'INTRODUCIR DATOS'!$D$14)</f>
        <v>0.99098992553657472</v>
      </c>
      <c r="AM224" s="163"/>
      <c r="AN224" s="163"/>
      <c r="AO224" s="166"/>
    </row>
    <row r="225" spans="23:41">
      <c r="W225" s="212" t="s">
        <v>209</v>
      </c>
      <c r="X225" s="217">
        <f>'PRECIOS CYE'!H20</f>
        <v>0</v>
      </c>
      <c r="Y225" s="163">
        <f>'PRECIOS CYE'!I20</f>
        <v>0</v>
      </c>
      <c r="Z225" s="163">
        <f>'PRECIOS CYE'!J20</f>
        <v>0</v>
      </c>
      <c r="AA225" s="163"/>
      <c r="AB225" s="163"/>
      <c r="AC225" s="205"/>
      <c r="AD225" s="217">
        <f>'PRECIOS CYE'!N20</f>
        <v>0</v>
      </c>
      <c r="AE225" s="163">
        <f>'PRECIOS CYE'!O20</f>
        <v>0</v>
      </c>
      <c r="AF225" s="163">
        <f>'PRECIOS CYE'!P20</f>
        <v>0</v>
      </c>
      <c r="AG225" s="163">
        <f>'PRECIOS CYE'!Q20</f>
        <v>0</v>
      </c>
      <c r="AH225" s="163">
        <f>'PRECIOS CYE'!R20</f>
        <v>0</v>
      </c>
      <c r="AI225" s="166">
        <f>'PRECIOS CYE'!S20</f>
        <v>0</v>
      </c>
      <c r="AJ225" s="172">
        <f>'PRECIOS CYE'!T20</f>
        <v>0</v>
      </c>
      <c r="AK225" s="163">
        <f>'PRECIOS CYE'!U20</f>
        <v>0</v>
      </c>
      <c r="AL225" s="163">
        <f>'PRECIOS CYE'!V20</f>
        <v>0</v>
      </c>
      <c r="AM225" s="163">
        <f>'PRECIOS CYE'!W20</f>
        <v>0</v>
      </c>
      <c r="AN225" s="163">
        <f>'PRECIOS CYE'!X20</f>
        <v>0</v>
      </c>
      <c r="AO225" s="166">
        <f>'PRECIOS CYE'!Y20</f>
        <v>0</v>
      </c>
    </row>
    <row r="226" spans="23:41">
      <c r="W226" s="212" t="s">
        <v>116</v>
      </c>
      <c r="X226" s="217">
        <f>'PRECIOS CYE'!H11</f>
        <v>0</v>
      </c>
      <c r="Y226" s="163">
        <f>'PRECIOS CYE'!I11</f>
        <v>0</v>
      </c>
      <c r="Z226" s="163">
        <f>'PRECIOS CYE'!J11</f>
        <v>0</v>
      </c>
      <c r="AA226" s="163"/>
      <c r="AB226" s="163"/>
      <c r="AC226" s="205"/>
      <c r="AD226" s="217">
        <f>'PRECIOS CYE'!N11</f>
        <v>0</v>
      </c>
      <c r="AE226" s="163">
        <f>'PRECIOS CYE'!O11</f>
        <v>0</v>
      </c>
      <c r="AF226" s="163">
        <f>'PRECIOS CYE'!P11</f>
        <v>0</v>
      </c>
      <c r="AG226" s="163">
        <f>'PRECIOS CYE'!Q11</f>
        <v>0</v>
      </c>
      <c r="AH226" s="163">
        <f>'PRECIOS CYE'!R11</f>
        <v>0</v>
      </c>
      <c r="AI226" s="166">
        <f>'PRECIOS CYE'!S11</f>
        <v>0</v>
      </c>
      <c r="AJ226" s="172">
        <f>'PRECIOS CYE'!T11</f>
        <v>0</v>
      </c>
      <c r="AK226" s="163">
        <f>'PRECIOS CYE'!U11</f>
        <v>0</v>
      </c>
      <c r="AL226" s="163">
        <f>'PRECIOS CYE'!V11</f>
        <v>0</v>
      </c>
      <c r="AM226" s="163">
        <f>'PRECIOS CYE'!W11</f>
        <v>0</v>
      </c>
      <c r="AN226" s="163">
        <f>'PRECIOS CYE'!X11</f>
        <v>0</v>
      </c>
      <c r="AO226" s="166">
        <f>'PRECIOS CYE'!Y11</f>
        <v>0</v>
      </c>
    </row>
    <row r="227" spans="23:41">
      <c r="W227" s="212"/>
      <c r="X227" s="218">
        <f>('INTRODUCIR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DATOS'!$D$17)+'INTRODUCIR DATOS'!$D$15+'INTRODUCIR DATOS'!$D$16+(('INTRODUCIR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DATOS'!$D$17)+'INTRODUCIR DATOS'!$D$16)*21/100</f>
        <v>1.0285</v>
      </c>
      <c r="Y227" s="165">
        <f>IF(X227=0,"",'INTRODUCIR DATOS'!$D$14-X227)</f>
        <v>113.12150000000001</v>
      </c>
      <c r="Z227" s="165">
        <f>IF(X227=0,"",('INTRODUCIR DATOS'!$D$14-X227)/'INTRODUCIR DATOS'!$D$14)</f>
        <v>0.99098992553657472</v>
      </c>
      <c r="AA227" s="163"/>
      <c r="AB227" s="163"/>
      <c r="AC227" s="205"/>
      <c r="AD227" s="218">
        <f>('INTRODUCIR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DATOS'!$D$17)+'INTRODUCIR DATOS'!$D$15+'INTRODUCIR DATOS'!$D$16+(('INTRODUCIR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DATOS'!$D$17)+'INTRODUCIR DATOS'!$D$16)*21/100</f>
        <v>1.0285</v>
      </c>
      <c r="AE227" s="165">
        <f>IF(AD227=0,"",'INTRODUCIR DATOS'!$D$14-AD227)</f>
        <v>113.12150000000001</v>
      </c>
      <c r="AF227" s="165">
        <f>IF(AD227=0,"",('INTRODUCIR DATOS'!$D$14-AD227)/'INTRODUCIR DATOS'!$D$14)</f>
        <v>0.99098992553657472</v>
      </c>
      <c r="AG227" s="163"/>
      <c r="AH227" s="163"/>
      <c r="AI227" s="166"/>
      <c r="AJ227" s="218">
        <f>('INTRODUCIR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DATOS'!$D$17)+'INTRODUCIR DATOS'!$D$15+'INTRODUCIR DATOS'!$D$16+(('INTRODUCIR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DATOS'!$D$17)+'INTRODUCIR DATOS'!$D$16)*21/100</f>
        <v>1.0285</v>
      </c>
      <c r="AK227" s="165">
        <f>IF(AJ227=0,"",'INTRODUCIR DATOS'!$D$14-AJ227)</f>
        <v>113.12150000000001</v>
      </c>
      <c r="AL227" s="165">
        <f>IF(AJ227=0,"",('INTRODUCIR DATOS'!$D$14-AJ227)/'INTRODUCIR DATOS'!$D$14)</f>
        <v>0.99098992553657472</v>
      </c>
      <c r="AM227" s="163"/>
      <c r="AN227" s="163"/>
      <c r="AO227" s="166"/>
    </row>
    <row r="228" spans="23:41">
      <c r="W228" s="212" t="s">
        <v>209</v>
      </c>
      <c r="X228" s="217">
        <f>'PRECIOS CYE'!H21</f>
        <v>0</v>
      </c>
      <c r="Y228" s="163">
        <f>'PRECIOS CYE'!I21</f>
        <v>0</v>
      </c>
      <c r="Z228" s="163">
        <f>'PRECIOS CYE'!J21</f>
        <v>0</v>
      </c>
      <c r="AA228" s="163"/>
      <c r="AB228" s="163"/>
      <c r="AC228" s="205"/>
      <c r="AD228" s="217">
        <f>'PRECIOS CYE'!N21</f>
        <v>0</v>
      </c>
      <c r="AE228" s="163">
        <f>'PRECIOS CYE'!O21</f>
        <v>0</v>
      </c>
      <c r="AF228" s="163">
        <f>'PRECIOS CYE'!P21</f>
        <v>0</v>
      </c>
      <c r="AG228" s="163">
        <f>'PRECIOS CYE'!Q21</f>
        <v>0</v>
      </c>
      <c r="AH228" s="163">
        <f>'PRECIOS CYE'!R21</f>
        <v>0</v>
      </c>
      <c r="AI228" s="166">
        <f>'PRECIOS CYE'!S21</f>
        <v>0</v>
      </c>
      <c r="AJ228" s="172">
        <f>'PRECIOS CYE'!T21</f>
        <v>0</v>
      </c>
      <c r="AK228" s="163">
        <f>'PRECIOS CYE'!U21</f>
        <v>0</v>
      </c>
      <c r="AL228" s="163">
        <f>'PRECIOS CYE'!V21</f>
        <v>0</v>
      </c>
      <c r="AM228" s="163">
        <f>'PRECIOS CYE'!W21</f>
        <v>0</v>
      </c>
      <c r="AN228" s="163">
        <f>'PRECIOS CYE'!X21</f>
        <v>0</v>
      </c>
      <c r="AO228" s="166">
        <f>'PRECIOS CYE'!Y21</f>
        <v>0</v>
      </c>
    </row>
    <row r="229" spans="23:41">
      <c r="W229" s="212" t="s">
        <v>60</v>
      </c>
      <c r="X229" s="217">
        <f>'PRECIOS CYE'!H11</f>
        <v>0</v>
      </c>
      <c r="Y229" s="163">
        <f>'PRECIOS CYE'!I11</f>
        <v>0</v>
      </c>
      <c r="Z229" s="163">
        <f>'PRECIOS CYE'!J11</f>
        <v>0</v>
      </c>
      <c r="AA229" s="163"/>
      <c r="AB229" s="163"/>
      <c r="AC229" s="205"/>
      <c r="AD229" s="217">
        <f>'PRECIOS CYE'!N11</f>
        <v>0</v>
      </c>
      <c r="AE229" s="163">
        <f>'PRECIOS CYE'!O11</f>
        <v>0</v>
      </c>
      <c r="AF229" s="163">
        <f>'PRECIOS CYE'!P11</f>
        <v>0</v>
      </c>
      <c r="AG229" s="163">
        <f>'PRECIOS CYE'!Q11</f>
        <v>0</v>
      </c>
      <c r="AH229" s="163">
        <f>'PRECIOS CYE'!R11</f>
        <v>0</v>
      </c>
      <c r="AI229" s="166">
        <f>'PRECIOS CYE'!S11</f>
        <v>0</v>
      </c>
      <c r="AJ229" s="172">
        <f>'PRECIOS CYE'!T11</f>
        <v>0</v>
      </c>
      <c r="AK229" s="163">
        <f>'PRECIOS CYE'!U11</f>
        <v>0</v>
      </c>
      <c r="AL229" s="163">
        <f>'PRECIOS CYE'!V11</f>
        <v>0</v>
      </c>
      <c r="AM229" s="163">
        <f>'PRECIOS CYE'!W11</f>
        <v>0</v>
      </c>
      <c r="AN229" s="163">
        <f>'PRECIOS CYE'!X11</f>
        <v>0</v>
      </c>
      <c r="AO229" s="166">
        <f>'PRECIOS CYE'!Y11</f>
        <v>0</v>
      </c>
    </row>
    <row r="230" spans="23:41">
      <c r="W230" s="212"/>
      <c r="X230" s="218">
        <f>('INTRODUCIR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DATOS'!$D$17)+'INTRODUCIR DATOS'!$D$15+'INTRODUCIR DATOS'!$D$16+(('INTRODUCIR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DATOS'!$D$17)+'INTRODUCIR DATOS'!$D$16)*21/100</f>
        <v>1.0285</v>
      </c>
      <c r="Y230" s="165">
        <f>IF(X230=0,"",'INTRODUCIR DATOS'!$D$14-X230)</f>
        <v>113.12150000000001</v>
      </c>
      <c r="Z230" s="165">
        <f>IF(X230=0,"",('INTRODUCIR DATOS'!$D$14-X230)/'INTRODUCIR DATOS'!$D$14)</f>
        <v>0.99098992553657472</v>
      </c>
      <c r="AA230" s="163"/>
      <c r="AB230" s="163"/>
      <c r="AC230" s="205"/>
      <c r="AD230" s="218">
        <f>('INTRODUCIR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DATOS'!$D$17)+'INTRODUCIR DATOS'!$D$15+'INTRODUCIR DATOS'!$D$16+(('INTRODUCIR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DATOS'!$D$17)+'INTRODUCIR DATOS'!$D$16)*21/100</f>
        <v>1.0285</v>
      </c>
      <c r="AE230" s="165">
        <f>IF(AD230=0,"",'INTRODUCIR DATOS'!$D$14-AD230)</f>
        <v>113.12150000000001</v>
      </c>
      <c r="AF230" s="165">
        <f>IF(AD230=0,"",('INTRODUCIR DATOS'!$D$14-AD230)/'INTRODUCIR DATOS'!$D$14)</f>
        <v>0.99098992553657472</v>
      </c>
      <c r="AG230" s="163"/>
      <c r="AH230" s="163"/>
      <c r="AI230" s="166"/>
      <c r="AJ230" s="218">
        <f>('INTRODUCIR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DATOS'!$D$17)+'INTRODUCIR DATOS'!$D$15+'INTRODUCIR DATOS'!$D$16+(('INTRODUCIR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DATOS'!$D$17)+'INTRODUCIR DATOS'!$D$16)*21/100</f>
        <v>1.0285</v>
      </c>
      <c r="AK230" s="165">
        <f>IF(AJ230=0,"",'INTRODUCIR DATOS'!$D$14-AJ230)</f>
        <v>113.12150000000001</v>
      </c>
      <c r="AL230" s="165">
        <f>IF(AJ230=0,"",('INTRODUCIR DATOS'!$D$14-AJ230)/'INTRODUCIR DATOS'!$D$14)</f>
        <v>0.99098992553657472</v>
      </c>
      <c r="AM230" s="163"/>
      <c r="AN230" s="163"/>
      <c r="AO230" s="166"/>
    </row>
    <row r="231" spans="23:41">
      <c r="W231" s="212" t="s">
        <v>209</v>
      </c>
      <c r="X231" s="217">
        <f>'PRECIOS CYE'!H22</f>
        <v>0</v>
      </c>
      <c r="Y231" s="163">
        <f>'PRECIOS CYE'!I22</f>
        <v>0</v>
      </c>
      <c r="Z231" s="163">
        <f>'PRECIOS CYE'!J22</f>
        <v>0</v>
      </c>
      <c r="AA231" s="163"/>
      <c r="AB231" s="163"/>
      <c r="AC231" s="205"/>
      <c r="AD231" s="217">
        <f>'PRECIOS CYE'!N22</f>
        <v>0</v>
      </c>
      <c r="AE231" s="163">
        <f>'PRECIOS CYE'!O22</f>
        <v>0</v>
      </c>
      <c r="AF231" s="163">
        <f>'PRECIOS CYE'!P22</f>
        <v>0</v>
      </c>
      <c r="AG231" s="163">
        <f>'PRECIOS CYE'!Q22</f>
        <v>0</v>
      </c>
      <c r="AH231" s="163">
        <f>'PRECIOS CYE'!R22</f>
        <v>0</v>
      </c>
      <c r="AI231" s="166">
        <f>'PRECIOS CYE'!S22</f>
        <v>0</v>
      </c>
      <c r="AJ231" s="172">
        <f>'PRECIOS CYE'!T22</f>
        <v>0</v>
      </c>
      <c r="AK231" s="163">
        <f>'PRECIOS CYE'!U22</f>
        <v>0</v>
      </c>
      <c r="AL231" s="163">
        <f>'PRECIOS CYE'!V22</f>
        <v>0</v>
      </c>
      <c r="AM231" s="163">
        <f>'PRECIOS CYE'!W22</f>
        <v>0</v>
      </c>
      <c r="AN231" s="163">
        <f>'PRECIOS CYE'!X22</f>
        <v>0</v>
      </c>
      <c r="AO231" s="166">
        <f>'PRECIOS CYE'!Y22</f>
        <v>0</v>
      </c>
    </row>
    <row r="232" spans="23:41">
      <c r="W232" s="212" t="s">
        <v>62</v>
      </c>
      <c r="X232" s="217">
        <f>'PRECIOS CYE'!H11</f>
        <v>0</v>
      </c>
      <c r="Y232" s="163">
        <f>'PRECIOS CYE'!I11</f>
        <v>0</v>
      </c>
      <c r="Z232" s="163">
        <f>'PRECIOS CYE'!J11</f>
        <v>0</v>
      </c>
      <c r="AA232" s="163"/>
      <c r="AB232" s="163"/>
      <c r="AC232" s="205"/>
      <c r="AD232" s="217">
        <f>'PRECIOS CYE'!N11</f>
        <v>0</v>
      </c>
      <c r="AE232" s="163">
        <f>'PRECIOS CYE'!O11</f>
        <v>0</v>
      </c>
      <c r="AF232" s="163">
        <f>'PRECIOS CYE'!P11</f>
        <v>0</v>
      </c>
      <c r="AG232" s="163">
        <f>'PRECIOS CYE'!Q11</f>
        <v>0</v>
      </c>
      <c r="AH232" s="163">
        <f>'PRECIOS CYE'!R11</f>
        <v>0</v>
      </c>
      <c r="AI232" s="166">
        <f>'PRECIOS CYE'!S11</f>
        <v>0</v>
      </c>
      <c r="AJ232" s="172">
        <f>'PRECIOS CYE'!T11</f>
        <v>0</v>
      </c>
      <c r="AK232" s="163">
        <f>'PRECIOS CYE'!U11</f>
        <v>0</v>
      </c>
      <c r="AL232" s="163">
        <f>'PRECIOS CYE'!V11</f>
        <v>0</v>
      </c>
      <c r="AM232" s="163">
        <f>'PRECIOS CYE'!W11</f>
        <v>0</v>
      </c>
      <c r="AN232" s="163">
        <f>'PRECIOS CYE'!X11</f>
        <v>0</v>
      </c>
      <c r="AO232" s="166">
        <f>'PRECIOS CYE'!Y11</f>
        <v>0</v>
      </c>
    </row>
    <row r="233" spans="23:41">
      <c r="W233" s="212"/>
      <c r="X233" s="218">
        <f>('INTRODUCIR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DATOS'!$D$17)+'INTRODUCIR DATOS'!$D$15+'INTRODUCIR DATOS'!$D$16+(('INTRODUCIR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DATOS'!$D$17)+'INTRODUCIR DATOS'!$D$16)*21/100</f>
        <v>1.0285</v>
      </c>
      <c r="Y233" s="165">
        <f>IF(X233=0,"",'INTRODUCIR DATOS'!$D$14-X233)</f>
        <v>113.12150000000001</v>
      </c>
      <c r="Z233" s="165">
        <f>IF(X233=0,"",('INTRODUCIR DATOS'!$D$14-X233)/'INTRODUCIR DATOS'!$D$14)</f>
        <v>0.99098992553657472</v>
      </c>
      <c r="AA233" s="163"/>
      <c r="AB233" s="163"/>
      <c r="AC233" s="205"/>
      <c r="AD233" s="218">
        <f>('INTRODUCIR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DATOS'!$D$17)+'INTRODUCIR DATOS'!$D$15+'INTRODUCIR DATOS'!$D$16+(('INTRODUCIR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DATOS'!$D$17)+'INTRODUCIR DATOS'!$D$16)*21/100</f>
        <v>1.0285</v>
      </c>
      <c r="AE233" s="165">
        <f>IF(AD233=0,"",'INTRODUCIR DATOS'!$D$14-AD233)</f>
        <v>113.12150000000001</v>
      </c>
      <c r="AF233" s="165">
        <f>IF(AD233=0,"",('INTRODUCIR DATOS'!$D$14-AD233)/'INTRODUCIR DATOS'!$D$14)</f>
        <v>0.99098992553657472</v>
      </c>
      <c r="AG233" s="163"/>
      <c r="AH233" s="163"/>
      <c r="AI233" s="166"/>
      <c r="AJ233" s="218">
        <f>('INTRODUCIR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DATOS'!$D$17)+'INTRODUCIR DATOS'!$D$15+'INTRODUCIR DATOS'!$D$16+(('INTRODUCIR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DATOS'!$D$17)+'INTRODUCIR DATOS'!$D$16)*21/100</f>
        <v>1.0285</v>
      </c>
      <c r="AK233" s="165">
        <f>IF(AJ233=0,"",'INTRODUCIR DATOS'!$D$14-AJ233)</f>
        <v>113.12150000000001</v>
      </c>
      <c r="AL233" s="165">
        <f>IF(AJ233=0,"",('INTRODUCIR DATOS'!$D$14-AJ233)/'INTRODUCIR DATOS'!$D$14)</f>
        <v>0.99098992553657472</v>
      </c>
      <c r="AM233" s="163"/>
      <c r="AN233" s="163"/>
      <c r="AO233" s="166"/>
    </row>
    <row r="234" spans="23:41">
      <c r="W234" s="212" t="s">
        <v>209</v>
      </c>
      <c r="X234" s="217">
        <f>'PRECIOS CYE'!H23</f>
        <v>0</v>
      </c>
      <c r="Y234" s="163">
        <f>'PRECIOS CYE'!I23</f>
        <v>0</v>
      </c>
      <c r="Z234" s="163">
        <f>'PRECIOS CYE'!J23</f>
        <v>0</v>
      </c>
      <c r="AA234" s="163"/>
      <c r="AB234" s="163"/>
      <c r="AC234" s="205"/>
      <c r="AD234" s="217"/>
      <c r="AE234" s="163"/>
      <c r="AF234" s="163"/>
      <c r="AG234" s="163"/>
      <c r="AH234" s="163"/>
      <c r="AI234" s="166"/>
      <c r="AJ234" s="172"/>
      <c r="AK234" s="163"/>
      <c r="AL234" s="163"/>
      <c r="AM234" s="163"/>
      <c r="AN234" s="163"/>
      <c r="AO234" s="166"/>
    </row>
    <row r="235" spans="23:41">
      <c r="W235" s="212" t="s">
        <v>63</v>
      </c>
      <c r="X235" s="217">
        <f>'PRECIOS CYE'!H11</f>
        <v>0</v>
      </c>
      <c r="Y235" s="163">
        <f>'PRECIOS CYE'!I11</f>
        <v>0</v>
      </c>
      <c r="Z235" s="163">
        <f>'PRECIOS CYE'!J11</f>
        <v>0</v>
      </c>
      <c r="AA235" s="163"/>
      <c r="AB235" s="163"/>
      <c r="AC235" s="205"/>
      <c r="AD235" s="217"/>
      <c r="AE235" s="163"/>
      <c r="AF235" s="163"/>
      <c r="AG235" s="163"/>
      <c r="AH235" s="163"/>
      <c r="AI235" s="166"/>
      <c r="AJ235" s="172"/>
      <c r="AK235" s="163"/>
      <c r="AL235" s="163"/>
      <c r="AM235" s="163"/>
      <c r="AN235" s="163"/>
      <c r="AO235" s="166"/>
    </row>
    <row r="236" spans="23:41">
      <c r="W236" s="212"/>
      <c r="X236" s="218">
        <f>('INTRODUCIR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DATOS'!$D$17)+'INTRODUCIR DATOS'!$D$15+'INTRODUCIR DATOS'!$D$16+(('INTRODUCIR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DATOS'!$D$17)+'INTRODUCIR DATOS'!$D$16)*21/100</f>
        <v>1.0285</v>
      </c>
      <c r="Y236" s="165">
        <f>IF(X236=0,"",'INTRODUCIR DATOS'!$D$14-X236)</f>
        <v>113.12150000000001</v>
      </c>
      <c r="Z236" s="165">
        <f>IF(X236=0,"",('INTRODUCIR DATOS'!$D$14-X236)/'INTRODUCIR DATOS'!$D$14)</f>
        <v>0.99098992553657472</v>
      </c>
      <c r="AA236" s="163"/>
      <c r="AB236" s="163"/>
      <c r="AC236" s="205"/>
      <c r="AD236" s="218"/>
      <c r="AE236" s="165"/>
      <c r="AF236" s="165"/>
      <c r="AG236" s="163"/>
      <c r="AH236" s="163"/>
      <c r="AI236" s="166"/>
      <c r="AJ236" s="173"/>
      <c r="AK236" s="165"/>
      <c r="AL236" s="165"/>
      <c r="AM236" s="163"/>
      <c r="AN236" s="163"/>
      <c r="AO236" s="166"/>
    </row>
    <row r="237" spans="23:41">
      <c r="W237" s="212" t="s">
        <v>209</v>
      </c>
      <c r="X237" s="217">
        <f>'PRECIOS CYE'!H24</f>
        <v>0</v>
      </c>
      <c r="Y237" s="163">
        <f>'PRECIOS CYE'!I24</f>
        <v>0</v>
      </c>
      <c r="Z237" s="163">
        <f>'PRECIOS CYE'!J24</f>
        <v>0</v>
      </c>
      <c r="AA237" s="163"/>
      <c r="AB237" s="163"/>
      <c r="AC237" s="205"/>
      <c r="AD237" s="217"/>
      <c r="AE237" s="163"/>
      <c r="AF237" s="163"/>
      <c r="AG237" s="163"/>
      <c r="AH237" s="163"/>
      <c r="AI237" s="166"/>
      <c r="AJ237" s="172"/>
      <c r="AK237" s="163"/>
      <c r="AL237" s="163"/>
      <c r="AM237" s="163"/>
      <c r="AN237" s="163"/>
      <c r="AO237" s="166"/>
    </row>
    <row r="238" spans="23:41">
      <c r="W238" s="212" t="s">
        <v>65</v>
      </c>
      <c r="X238" s="217">
        <f>'PRECIOS CYE'!H11</f>
        <v>0</v>
      </c>
      <c r="Y238" s="163">
        <f>'PRECIOS CYE'!I11</f>
        <v>0</v>
      </c>
      <c r="Z238" s="163">
        <f>'PRECIOS CYE'!J11</f>
        <v>0</v>
      </c>
      <c r="AA238" s="163"/>
      <c r="AB238" s="163"/>
      <c r="AC238" s="205"/>
      <c r="AD238" s="217"/>
      <c r="AE238" s="163"/>
      <c r="AF238" s="163"/>
      <c r="AG238" s="163"/>
      <c r="AH238" s="163"/>
      <c r="AI238" s="166"/>
      <c r="AJ238" s="172"/>
      <c r="AK238" s="163"/>
      <c r="AL238" s="163"/>
      <c r="AM238" s="163"/>
      <c r="AN238" s="163"/>
      <c r="AO238" s="166"/>
    </row>
    <row r="239" spans="23:41">
      <c r="W239" s="212"/>
      <c r="X239" s="218">
        <f>('INTRODUCIR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DATOS'!$D$17)+'INTRODUCIR DATOS'!$D$15+'INTRODUCIR DATOS'!$D$16+(('INTRODUCIR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DATOS'!$D$17)+'INTRODUCIR DATOS'!$D$16)*21/100</f>
        <v>1.0285</v>
      </c>
      <c r="Y239" s="165">
        <f>IF(X239=0,"",'INTRODUCIR DATOS'!$D$14-X239)</f>
        <v>113.12150000000001</v>
      </c>
      <c r="Z239" s="165">
        <f>IF(X239=0,"",('INTRODUCIR DATOS'!$D$14-X239)/'INTRODUCIR DATOS'!$D$14)</f>
        <v>0.99098992553657472</v>
      </c>
      <c r="AA239" s="163"/>
      <c r="AB239" s="163"/>
      <c r="AC239" s="205"/>
      <c r="AD239" s="218"/>
      <c r="AE239" s="165"/>
      <c r="AF239" s="165"/>
      <c r="AG239" s="163"/>
      <c r="AH239" s="163"/>
      <c r="AI239" s="166"/>
      <c r="AJ239" s="173"/>
      <c r="AK239" s="165"/>
      <c r="AL239" s="165"/>
      <c r="AM239" s="163"/>
      <c r="AN239" s="163"/>
      <c r="AO239" s="166"/>
    </row>
    <row r="240" spans="23:41">
      <c r="W240" s="212" t="s">
        <v>209</v>
      </c>
      <c r="X240" s="217">
        <f>'PRECIOS CYE'!H25</f>
        <v>0</v>
      </c>
      <c r="Y240" s="163">
        <f>'PRECIOS CYE'!I25</f>
        <v>0</v>
      </c>
      <c r="Z240" s="163">
        <f>'PRECIOS CYE'!J25</f>
        <v>0</v>
      </c>
      <c r="AA240" s="163"/>
      <c r="AB240" s="163"/>
      <c r="AC240" s="205"/>
      <c r="AD240" s="217"/>
      <c r="AE240" s="163"/>
      <c r="AF240" s="163"/>
      <c r="AG240" s="163"/>
      <c r="AH240" s="163"/>
      <c r="AI240" s="166"/>
      <c r="AJ240" s="172"/>
      <c r="AK240" s="163"/>
      <c r="AL240" s="163"/>
      <c r="AM240" s="163"/>
      <c r="AN240" s="163"/>
      <c r="AO240" s="166"/>
    </row>
    <row r="241" spans="23:41">
      <c r="W241" s="212" t="s">
        <v>199</v>
      </c>
      <c r="X241" s="217">
        <f>'PRECIOS CYE'!H11</f>
        <v>0</v>
      </c>
      <c r="Y241" s="163">
        <f>'PRECIOS CYE'!I11</f>
        <v>0</v>
      </c>
      <c r="Z241" s="163">
        <f>'PRECIOS CYE'!J11</f>
        <v>0</v>
      </c>
      <c r="AA241" s="163"/>
      <c r="AB241" s="163"/>
      <c r="AC241" s="205"/>
      <c r="AD241" s="217"/>
      <c r="AE241" s="163"/>
      <c r="AF241" s="163"/>
      <c r="AG241" s="163"/>
      <c r="AH241" s="163"/>
      <c r="AI241" s="166"/>
      <c r="AJ241" s="172"/>
      <c r="AK241" s="163"/>
      <c r="AL241" s="163"/>
      <c r="AM241" s="163"/>
      <c r="AN241" s="163"/>
      <c r="AO241" s="166"/>
    </row>
    <row r="242" spans="23:41">
      <c r="W242" s="212"/>
      <c r="X242" s="218">
        <f>('INTRODUCIR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DATOS'!$D$17)+'INTRODUCIR DATOS'!$D$15+'INTRODUCIR DATOS'!$D$16+(('INTRODUCIR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DATOS'!$D$17)+'INTRODUCIR DATOS'!$D$16)*21/100</f>
        <v>1.0285</v>
      </c>
      <c r="Y242" s="165">
        <f>IF(X242=0,"",'INTRODUCIR DATOS'!$D$14-X242)</f>
        <v>113.12150000000001</v>
      </c>
      <c r="Z242" s="165">
        <f>IF(X242=0,"",('INTRODUCIR DATOS'!$D$14-X242)/'INTRODUCIR DATOS'!$D$14)</f>
        <v>0.99098992553657472</v>
      </c>
      <c r="AA242" s="163"/>
      <c r="AB242" s="163"/>
      <c r="AC242" s="205"/>
      <c r="AD242" s="218"/>
      <c r="AE242" s="165"/>
      <c r="AF242" s="165"/>
      <c r="AG242" s="163"/>
      <c r="AH242" s="163"/>
      <c r="AI242" s="166"/>
      <c r="AJ242" s="173"/>
      <c r="AK242" s="165"/>
      <c r="AL242" s="165"/>
      <c r="AM242" s="163"/>
      <c r="AN242" s="163"/>
      <c r="AO242" s="166"/>
    </row>
    <row r="243" spans="23:41">
      <c r="W243" s="212" t="s">
        <v>209</v>
      </c>
      <c r="X243" s="217">
        <f>'PRECIOS CYE'!H26</f>
        <v>0</v>
      </c>
      <c r="Y243" s="163">
        <f>'PRECIOS CYE'!I26</f>
        <v>0</v>
      </c>
      <c r="Z243" s="163">
        <f>'PRECIOS CYE'!J26</f>
        <v>0</v>
      </c>
      <c r="AA243" s="163"/>
      <c r="AB243" s="163"/>
      <c r="AC243" s="205"/>
      <c r="AD243" s="217"/>
      <c r="AE243" s="163"/>
      <c r="AF243" s="163"/>
      <c r="AG243" s="163"/>
      <c r="AH243" s="163"/>
      <c r="AI243" s="166"/>
      <c r="AJ243" s="172"/>
      <c r="AK243" s="163"/>
      <c r="AL243" s="163"/>
      <c r="AM243" s="163"/>
      <c r="AN243" s="163"/>
      <c r="AO243" s="166"/>
    </row>
    <row r="244" spans="23:41">
      <c r="W244" s="212" t="s">
        <v>200</v>
      </c>
      <c r="X244" s="217">
        <f>'PRECIOS CYE'!H11</f>
        <v>0</v>
      </c>
      <c r="Y244" s="163">
        <f>'PRECIOS CYE'!I11</f>
        <v>0</v>
      </c>
      <c r="Z244" s="163">
        <f>'PRECIOS CYE'!J11</f>
        <v>0</v>
      </c>
      <c r="AA244" s="163"/>
      <c r="AB244" s="163"/>
      <c r="AC244" s="205"/>
      <c r="AD244" s="217"/>
      <c r="AE244" s="163"/>
      <c r="AF244" s="163"/>
      <c r="AG244" s="163"/>
      <c r="AH244" s="163"/>
      <c r="AI244" s="166"/>
      <c r="AJ244" s="172"/>
      <c r="AK244" s="163"/>
      <c r="AL244" s="163"/>
      <c r="AM244" s="163"/>
      <c r="AN244" s="163"/>
      <c r="AO244" s="166"/>
    </row>
    <row r="245" spans="23:41">
      <c r="W245" s="212"/>
      <c r="X245" s="218">
        <f>('INTRODUCIR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DATOS'!$D$17)+'INTRODUCIR DATOS'!$D$15+'INTRODUCIR DATOS'!$D$16+(('INTRODUCIR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DATOS'!$D$17)+'INTRODUCIR DATOS'!$D$16)*21/100</f>
        <v>1.0285</v>
      </c>
      <c r="Y245" s="165">
        <f>IF(X245=0,"",'INTRODUCIR DATOS'!$D$14-X245)</f>
        <v>113.12150000000001</v>
      </c>
      <c r="Z245" s="165">
        <f>IF(X245=0,"",('INTRODUCIR DATOS'!$D$14-X245)/'INTRODUCIR DATOS'!$D$14)</f>
        <v>0.99098992553657472</v>
      </c>
      <c r="AA245" s="163"/>
      <c r="AB245" s="163"/>
      <c r="AC245" s="205"/>
      <c r="AD245" s="218"/>
      <c r="AE245" s="165"/>
      <c r="AF245" s="165"/>
      <c r="AG245" s="163"/>
      <c r="AH245" s="163"/>
      <c r="AI245" s="166"/>
      <c r="AJ245" s="173"/>
      <c r="AK245" s="165"/>
      <c r="AL245" s="165"/>
      <c r="AM245" s="163"/>
      <c r="AN245" s="163"/>
      <c r="AO245" s="166"/>
    </row>
    <row r="246" spans="23:41">
      <c r="W246" s="212" t="s">
        <v>210</v>
      </c>
      <c r="X246" s="218">
        <f>'PRECIOS CYE'!H18</f>
        <v>0</v>
      </c>
      <c r="Y246" s="164">
        <f>'PRECIOS CYE'!I18</f>
        <v>0</v>
      </c>
      <c r="Z246" s="164">
        <f>'PRECIOS CYE'!J18</f>
        <v>0</v>
      </c>
      <c r="AA246" s="164"/>
      <c r="AB246" s="164"/>
      <c r="AC246" s="219"/>
      <c r="AD246" s="218">
        <f>'PRECIOS CYE'!N18</f>
        <v>0</v>
      </c>
      <c r="AE246" s="164">
        <f>'PRECIOS CYE'!O18</f>
        <v>0</v>
      </c>
      <c r="AF246" s="164">
        <f>'PRECIOS CYE'!P18</f>
        <v>0</v>
      </c>
      <c r="AG246" s="164">
        <f>'PRECIOS CYE'!Q18</f>
        <v>0</v>
      </c>
      <c r="AH246" s="164">
        <f>'PRECIOS CYE'!R18</f>
        <v>0</v>
      </c>
      <c r="AI246" s="167">
        <f>'PRECIOS CYE'!S18</f>
        <v>0</v>
      </c>
      <c r="AJ246" s="173">
        <f>'PRECIOS CYE'!T18</f>
        <v>0</v>
      </c>
      <c r="AK246" s="164">
        <f>'PRECIOS CYE'!U18</f>
        <v>0</v>
      </c>
      <c r="AL246" s="164">
        <f>'PRECIOS CYE'!V18</f>
        <v>0</v>
      </c>
      <c r="AM246" s="164">
        <f>'PRECIOS CYE'!W18</f>
        <v>0</v>
      </c>
      <c r="AN246" s="164">
        <f>'PRECIOS CYE'!X18</f>
        <v>0</v>
      </c>
      <c r="AO246" s="167">
        <f>'PRECIOS CYE'!Y18</f>
        <v>0</v>
      </c>
    </row>
    <row r="247" spans="23:41">
      <c r="W247" s="212" t="s">
        <v>41</v>
      </c>
      <c r="X247" s="218">
        <f>'PRECIOS CYE'!H12</f>
        <v>0</v>
      </c>
      <c r="Y247" s="164">
        <f>'PRECIOS CYE'!I12</f>
        <v>0</v>
      </c>
      <c r="Z247" s="164">
        <f>'PRECIOS CYE'!J12</f>
        <v>0</v>
      </c>
      <c r="AA247" s="164"/>
      <c r="AB247" s="164"/>
      <c r="AC247" s="219"/>
      <c r="AD247" s="218">
        <f>'PRECIOS CYE'!N12</f>
        <v>0</v>
      </c>
      <c r="AE247" s="164">
        <f>'PRECIOS CYE'!O12</f>
        <v>0</v>
      </c>
      <c r="AF247" s="164">
        <f>'PRECIOS CYE'!P12</f>
        <v>0</v>
      </c>
      <c r="AG247" s="164">
        <f>'PRECIOS CYE'!Q12</f>
        <v>0</v>
      </c>
      <c r="AH247" s="164">
        <f>'PRECIOS CYE'!R12</f>
        <v>0</v>
      </c>
      <c r="AI247" s="167">
        <f>'PRECIOS CYE'!S12</f>
        <v>0</v>
      </c>
      <c r="AJ247" s="173">
        <f>'PRECIOS CYE'!T12</f>
        <v>0</v>
      </c>
      <c r="AK247" s="164">
        <f>'PRECIOS CYE'!U12</f>
        <v>0</v>
      </c>
      <c r="AL247" s="164">
        <f>'PRECIOS CYE'!V12</f>
        <v>0</v>
      </c>
      <c r="AM247" s="164">
        <f>'PRECIOS CYE'!W12</f>
        <v>0</v>
      </c>
      <c r="AN247" s="164">
        <f>'PRECIOS CYE'!X12</f>
        <v>0</v>
      </c>
      <c r="AO247" s="167">
        <f>'PRECIOS CYE'!Y12</f>
        <v>0</v>
      </c>
    </row>
    <row r="248" spans="23:41">
      <c r="W248" s="212"/>
      <c r="X248" s="218">
        <f>('INTRODUCIR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DATOS'!$D$17)+'INTRODUCIR DATOS'!$D$15+'INTRODUCIR DATOS'!$D$16+(('INTRODUCIR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DATOS'!$D$17)+'INTRODUCIR DATOS'!$D$16)*21/100</f>
        <v>1.0285</v>
      </c>
      <c r="Y248" s="165">
        <f>IF(X248=0,"",'INTRODUCIR DATOS'!$D$14-X248)</f>
        <v>113.12150000000001</v>
      </c>
      <c r="Z248" s="165">
        <f>IF(X248=0,"",('INTRODUCIR DATOS'!$D$14-X248)/'INTRODUCIR DATOS'!$D$14)</f>
        <v>0.99098992553657472</v>
      </c>
      <c r="AA248" s="163"/>
      <c r="AB248" s="163"/>
      <c r="AC248" s="205"/>
      <c r="AD248" s="218">
        <f>('INTRODUCIR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DATOS'!$D$17)+'INTRODUCIR DATOS'!$D$15+'INTRODUCIR DATOS'!$D$16+(('INTRODUCIR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DATOS'!$D$17)+'INTRODUCIR DATOS'!$D$16)*21/100</f>
        <v>1.0285</v>
      </c>
      <c r="AE248" s="165">
        <f>IF(AD248=0,"",'INTRODUCIR DATOS'!$D$14-AD248)</f>
        <v>113.12150000000001</v>
      </c>
      <c r="AF248" s="165">
        <f>IF(AD248=0,"",('INTRODUCIR DATOS'!$D$14-AD248)/'INTRODUCIR DATOS'!$D$14)</f>
        <v>0.99098992553657472</v>
      </c>
      <c r="AG248" s="163"/>
      <c r="AH248" s="163"/>
      <c r="AI248" s="166"/>
      <c r="AJ248" s="218">
        <f>('INTRODUCIR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DATOS'!$D$17)+'INTRODUCIR DATOS'!$D$15+'INTRODUCIR DATOS'!$D$16+(('INTRODUCIR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DATOS'!$D$17)+'INTRODUCIR DATOS'!$D$16)*21/100</f>
        <v>1.0285</v>
      </c>
      <c r="AK248" s="165">
        <f>IF(AJ248=0,"",'INTRODUCIR DATOS'!$D$14-AJ248)</f>
        <v>113.12150000000001</v>
      </c>
      <c r="AL248" s="165">
        <f>IF(AJ248=0,"",('INTRODUCIR DATOS'!$D$14-AJ248)/'INTRODUCIR DATOS'!$D$14)</f>
        <v>0.99098992553657472</v>
      </c>
      <c r="AM248" s="163"/>
      <c r="AN248" s="163"/>
      <c r="AO248" s="166"/>
    </row>
    <row r="249" spans="23:41">
      <c r="W249" s="212" t="s">
        <v>210</v>
      </c>
      <c r="X249" s="217">
        <f>'PRECIOS CYE'!H19</f>
        <v>0</v>
      </c>
      <c r="Y249" s="163">
        <f>'PRECIOS CYE'!I19</f>
        <v>0</v>
      </c>
      <c r="Z249" s="163">
        <f>'PRECIOS CYE'!J19</f>
        <v>0</v>
      </c>
      <c r="AA249" s="163"/>
      <c r="AB249" s="163"/>
      <c r="AC249" s="205"/>
      <c r="AD249" s="217">
        <f>'PRECIOS CYE'!N19</f>
        <v>0</v>
      </c>
      <c r="AE249" s="163">
        <f>'PRECIOS CYE'!O19</f>
        <v>0</v>
      </c>
      <c r="AF249" s="163">
        <f>'PRECIOS CYE'!P19</f>
        <v>0</v>
      </c>
      <c r="AG249" s="163">
        <f>'PRECIOS CYE'!Q19</f>
        <v>0</v>
      </c>
      <c r="AH249" s="163">
        <f>'PRECIOS CYE'!R19</f>
        <v>0</v>
      </c>
      <c r="AI249" s="166">
        <f>'PRECIOS CYE'!S19</f>
        <v>0</v>
      </c>
      <c r="AJ249" s="172">
        <f>'PRECIOS CYE'!T19</f>
        <v>0</v>
      </c>
      <c r="AK249" s="163">
        <f>'PRECIOS CYE'!U19</f>
        <v>0</v>
      </c>
      <c r="AL249" s="163">
        <f>'PRECIOS CYE'!V19</f>
        <v>0</v>
      </c>
      <c r="AM249" s="163">
        <f>'PRECIOS CYE'!W19</f>
        <v>0</v>
      </c>
      <c r="AN249" s="163">
        <f>'PRECIOS CYE'!X19</f>
        <v>0</v>
      </c>
      <c r="AO249" s="166">
        <f>'PRECIOS CYE'!Y19</f>
        <v>0</v>
      </c>
    </row>
    <row r="250" spans="23:41">
      <c r="W250" s="212" t="s">
        <v>115</v>
      </c>
      <c r="X250" s="217">
        <f>'PRECIOS CYE'!H12</f>
        <v>0</v>
      </c>
      <c r="Y250" s="163">
        <f>'PRECIOS CYE'!I12</f>
        <v>0</v>
      </c>
      <c r="Z250" s="163">
        <f>'PRECIOS CYE'!J12</f>
        <v>0</v>
      </c>
      <c r="AA250" s="163"/>
      <c r="AB250" s="163"/>
      <c r="AC250" s="205"/>
      <c r="AD250" s="217">
        <f>'PRECIOS CYE'!N12</f>
        <v>0</v>
      </c>
      <c r="AE250" s="163">
        <f>'PRECIOS CYE'!O12</f>
        <v>0</v>
      </c>
      <c r="AF250" s="163">
        <f>'PRECIOS CYE'!P12</f>
        <v>0</v>
      </c>
      <c r="AG250" s="163">
        <f>'PRECIOS CYE'!Q12</f>
        <v>0</v>
      </c>
      <c r="AH250" s="163">
        <f>'PRECIOS CYE'!R12</f>
        <v>0</v>
      </c>
      <c r="AI250" s="166">
        <f>'PRECIOS CYE'!S12</f>
        <v>0</v>
      </c>
      <c r="AJ250" s="172">
        <f>'PRECIOS CYE'!T12</f>
        <v>0</v>
      </c>
      <c r="AK250" s="163">
        <f>'PRECIOS CYE'!U12</f>
        <v>0</v>
      </c>
      <c r="AL250" s="163">
        <f>'PRECIOS CYE'!V12</f>
        <v>0</v>
      </c>
      <c r="AM250" s="163">
        <f>'PRECIOS CYE'!W12</f>
        <v>0</v>
      </c>
      <c r="AN250" s="163">
        <f>'PRECIOS CYE'!X12</f>
        <v>0</v>
      </c>
      <c r="AO250" s="166">
        <f>'PRECIOS CYE'!Y12</f>
        <v>0</v>
      </c>
    </row>
    <row r="251" spans="23:41">
      <c r="W251" s="212"/>
      <c r="X251" s="218">
        <f>('INTRODUCIR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DATOS'!$D$17)+'INTRODUCIR DATOS'!$D$15+'INTRODUCIR DATOS'!$D$16+(('INTRODUCIR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DATOS'!$D$17)+'INTRODUCIR DATOS'!$D$16)*21/100</f>
        <v>1.0285</v>
      </c>
      <c r="Y251" s="165">
        <f>IF(X251=0,"",'INTRODUCIR DATOS'!$D$14-X251)</f>
        <v>113.12150000000001</v>
      </c>
      <c r="Z251" s="165">
        <f>IF(X251=0,"",('INTRODUCIR DATOS'!$D$14-X251)/'INTRODUCIR DATOS'!$D$14)</f>
        <v>0.99098992553657472</v>
      </c>
      <c r="AA251" s="163"/>
      <c r="AB251" s="163"/>
      <c r="AC251" s="205"/>
      <c r="AD251" s="218">
        <f>('INTRODUCIR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DATOS'!$D$17)+'INTRODUCIR DATOS'!$D$15+'INTRODUCIR DATOS'!$D$16+(('INTRODUCIR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DATOS'!$D$17)+'INTRODUCIR DATOS'!$D$16)*21/100</f>
        <v>1.0285</v>
      </c>
      <c r="AE251" s="165">
        <f>IF(AD251=0,"",'INTRODUCIR DATOS'!$D$14-AD251)</f>
        <v>113.12150000000001</v>
      </c>
      <c r="AF251" s="165">
        <f>IF(AD251=0,"",('INTRODUCIR DATOS'!$D$14-AD251)/'INTRODUCIR DATOS'!$D$14)</f>
        <v>0.99098992553657472</v>
      </c>
      <c r="AG251" s="163"/>
      <c r="AH251" s="163"/>
      <c r="AI251" s="166"/>
      <c r="AJ251" s="218">
        <f>('INTRODUCIR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DATOS'!$D$17)+'INTRODUCIR DATOS'!$D$15+'INTRODUCIR DATOS'!$D$16+(('INTRODUCIR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DATOS'!$D$17)+'INTRODUCIR DATOS'!$D$16)*21/100</f>
        <v>1.0285</v>
      </c>
      <c r="AK251" s="165">
        <f>IF(AJ251=0,"",'INTRODUCIR DATOS'!$D$14-AJ251)</f>
        <v>113.12150000000001</v>
      </c>
      <c r="AL251" s="165">
        <f>IF(AJ251=0,"",('INTRODUCIR DATOS'!$D$14-AJ251)/'INTRODUCIR DATOS'!$D$14)</f>
        <v>0.99098992553657472</v>
      </c>
      <c r="AM251" s="163"/>
      <c r="AN251" s="163"/>
      <c r="AO251" s="166"/>
    </row>
    <row r="252" spans="23:41">
      <c r="W252" s="212" t="s">
        <v>210</v>
      </c>
      <c r="X252" s="217">
        <f>'PRECIOS CYE'!H20</f>
        <v>0</v>
      </c>
      <c r="Y252" s="163">
        <f>'PRECIOS CYE'!I20</f>
        <v>0</v>
      </c>
      <c r="Z252" s="163">
        <f>'PRECIOS CYE'!J20</f>
        <v>0</v>
      </c>
      <c r="AA252" s="163"/>
      <c r="AB252" s="163"/>
      <c r="AC252" s="205"/>
      <c r="AD252" s="217">
        <f>'PRECIOS CYE'!N20</f>
        <v>0</v>
      </c>
      <c r="AE252" s="163">
        <f>'PRECIOS CYE'!O20</f>
        <v>0</v>
      </c>
      <c r="AF252" s="163">
        <f>'PRECIOS CYE'!P20</f>
        <v>0</v>
      </c>
      <c r="AG252" s="163">
        <f>'PRECIOS CYE'!Q20</f>
        <v>0</v>
      </c>
      <c r="AH252" s="163">
        <f>'PRECIOS CYE'!R20</f>
        <v>0</v>
      </c>
      <c r="AI252" s="166">
        <f>'PRECIOS CYE'!S20</f>
        <v>0</v>
      </c>
      <c r="AJ252" s="172">
        <f>'PRECIOS CYE'!T20</f>
        <v>0</v>
      </c>
      <c r="AK252" s="163">
        <f>'PRECIOS CYE'!U20</f>
        <v>0</v>
      </c>
      <c r="AL252" s="163">
        <f>'PRECIOS CYE'!V20</f>
        <v>0</v>
      </c>
      <c r="AM252" s="163">
        <f>'PRECIOS CYE'!W20</f>
        <v>0</v>
      </c>
      <c r="AN252" s="163">
        <f>'PRECIOS CYE'!X20</f>
        <v>0</v>
      </c>
      <c r="AO252" s="166">
        <f>'PRECIOS CYE'!Y20</f>
        <v>0</v>
      </c>
    </row>
    <row r="253" spans="23:41">
      <c r="W253" s="212" t="s">
        <v>116</v>
      </c>
      <c r="X253" s="217">
        <f>'PRECIOS CYE'!H12</f>
        <v>0</v>
      </c>
      <c r="Y253" s="163">
        <f>'PRECIOS CYE'!I12</f>
        <v>0</v>
      </c>
      <c r="Z253" s="163">
        <f>'PRECIOS CYE'!J12</f>
        <v>0</v>
      </c>
      <c r="AA253" s="163"/>
      <c r="AB253" s="163"/>
      <c r="AC253" s="205"/>
      <c r="AD253" s="217">
        <f>'PRECIOS CYE'!N12</f>
        <v>0</v>
      </c>
      <c r="AE253" s="163">
        <f>'PRECIOS CYE'!O12</f>
        <v>0</v>
      </c>
      <c r="AF253" s="163">
        <f>'PRECIOS CYE'!P12</f>
        <v>0</v>
      </c>
      <c r="AG253" s="163">
        <f>'PRECIOS CYE'!Q12</f>
        <v>0</v>
      </c>
      <c r="AH253" s="163">
        <f>'PRECIOS CYE'!R12</f>
        <v>0</v>
      </c>
      <c r="AI253" s="166">
        <f>'PRECIOS CYE'!S12</f>
        <v>0</v>
      </c>
      <c r="AJ253" s="172">
        <f>'PRECIOS CYE'!T12</f>
        <v>0</v>
      </c>
      <c r="AK253" s="163">
        <f>'PRECIOS CYE'!U12</f>
        <v>0</v>
      </c>
      <c r="AL253" s="163">
        <f>'PRECIOS CYE'!V12</f>
        <v>0</v>
      </c>
      <c r="AM253" s="163">
        <f>'PRECIOS CYE'!W12</f>
        <v>0</v>
      </c>
      <c r="AN253" s="163">
        <f>'PRECIOS CYE'!X12</f>
        <v>0</v>
      </c>
      <c r="AO253" s="166">
        <f>'PRECIOS CYE'!Y12</f>
        <v>0</v>
      </c>
    </row>
    <row r="254" spans="23:41">
      <c r="W254" s="212"/>
      <c r="X254" s="218">
        <f>('INTRODUCIR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DATOS'!$D$17)+'INTRODUCIR DATOS'!$D$15+'INTRODUCIR DATOS'!$D$16+(('INTRODUCIR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DATOS'!$D$17)+'INTRODUCIR DATOS'!$D$16)*21/100</f>
        <v>1.0285</v>
      </c>
      <c r="Y254" s="165">
        <f>IF(X254=0,"",'INTRODUCIR DATOS'!$D$14-X254)</f>
        <v>113.12150000000001</v>
      </c>
      <c r="Z254" s="165">
        <f>IF(X254=0,"",('INTRODUCIR DATOS'!$D$14-X254)/'INTRODUCIR DATOS'!$D$14)</f>
        <v>0.99098992553657472</v>
      </c>
      <c r="AA254" s="163"/>
      <c r="AB254" s="163"/>
      <c r="AC254" s="205"/>
      <c r="AD254" s="218">
        <f>('INTRODUCIR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DATOS'!$D$17)+'INTRODUCIR DATOS'!$D$15+'INTRODUCIR DATOS'!$D$16+(('INTRODUCIR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DATOS'!$D$17)+'INTRODUCIR DATOS'!$D$16)*21/100</f>
        <v>1.0285</v>
      </c>
      <c r="AE254" s="165">
        <f>IF(AD254=0,"",'INTRODUCIR DATOS'!$D$14-AD254)</f>
        <v>113.12150000000001</v>
      </c>
      <c r="AF254" s="165">
        <f>IF(AD254=0,"",('INTRODUCIR DATOS'!$D$14-AD254)/'INTRODUCIR DATOS'!$D$14)</f>
        <v>0.99098992553657472</v>
      </c>
      <c r="AG254" s="163"/>
      <c r="AH254" s="163"/>
      <c r="AI254" s="166"/>
      <c r="AJ254" s="218">
        <f>('INTRODUCIR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DATOS'!$D$17)+'INTRODUCIR DATOS'!$D$15+'INTRODUCIR DATOS'!$D$16+(('INTRODUCIR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DATOS'!$D$17)+'INTRODUCIR DATOS'!$D$16)*21/100</f>
        <v>1.0285</v>
      </c>
      <c r="AK254" s="165">
        <f>IF(AJ254=0,"",'INTRODUCIR DATOS'!$D$14-AJ254)</f>
        <v>113.12150000000001</v>
      </c>
      <c r="AL254" s="165">
        <f>IF(AJ254=0,"",('INTRODUCIR DATOS'!$D$14-AJ254)/'INTRODUCIR DATOS'!$D$14)</f>
        <v>0.99098992553657472</v>
      </c>
      <c r="AM254" s="163"/>
      <c r="AN254" s="163"/>
      <c r="AO254" s="166"/>
    </row>
    <row r="255" spans="23:41">
      <c r="W255" s="212" t="s">
        <v>210</v>
      </c>
      <c r="X255" s="217">
        <f>'PRECIOS CYE'!H21</f>
        <v>0</v>
      </c>
      <c r="Y255" s="163">
        <f>'PRECIOS CYE'!I21</f>
        <v>0</v>
      </c>
      <c r="Z255" s="163">
        <f>'PRECIOS CYE'!J21</f>
        <v>0</v>
      </c>
      <c r="AA255" s="163"/>
      <c r="AB255" s="163"/>
      <c r="AC255" s="205"/>
      <c r="AD255" s="217">
        <f>'PRECIOS CYE'!N21</f>
        <v>0</v>
      </c>
      <c r="AE255" s="163">
        <f>'PRECIOS CYE'!O21</f>
        <v>0</v>
      </c>
      <c r="AF255" s="163">
        <f>'PRECIOS CYE'!P21</f>
        <v>0</v>
      </c>
      <c r="AG255" s="163">
        <f>'PRECIOS CYE'!Q21</f>
        <v>0</v>
      </c>
      <c r="AH255" s="163">
        <f>'PRECIOS CYE'!R21</f>
        <v>0</v>
      </c>
      <c r="AI255" s="166">
        <f>'PRECIOS CYE'!S21</f>
        <v>0</v>
      </c>
      <c r="AJ255" s="172">
        <f>'PRECIOS CYE'!T21</f>
        <v>0</v>
      </c>
      <c r="AK255" s="163">
        <f>'PRECIOS CYE'!U21</f>
        <v>0</v>
      </c>
      <c r="AL255" s="163">
        <f>'PRECIOS CYE'!V21</f>
        <v>0</v>
      </c>
      <c r="AM255" s="163">
        <f>'PRECIOS CYE'!W21</f>
        <v>0</v>
      </c>
      <c r="AN255" s="163">
        <f>'PRECIOS CYE'!X21</f>
        <v>0</v>
      </c>
      <c r="AO255" s="166">
        <f>'PRECIOS CYE'!Y21</f>
        <v>0</v>
      </c>
    </row>
    <row r="256" spans="23:41">
      <c r="W256" s="212" t="s">
        <v>60</v>
      </c>
      <c r="X256" s="217">
        <f>'PRECIOS CYE'!H12</f>
        <v>0</v>
      </c>
      <c r="Y256" s="163">
        <f>'PRECIOS CYE'!I12</f>
        <v>0</v>
      </c>
      <c r="Z256" s="163">
        <f>'PRECIOS CYE'!J12</f>
        <v>0</v>
      </c>
      <c r="AA256" s="163"/>
      <c r="AB256" s="163"/>
      <c r="AC256" s="205"/>
      <c r="AD256" s="217">
        <f>'PRECIOS CYE'!N12</f>
        <v>0</v>
      </c>
      <c r="AE256" s="163">
        <f>'PRECIOS CYE'!O12</f>
        <v>0</v>
      </c>
      <c r="AF256" s="163">
        <f>'PRECIOS CYE'!P12</f>
        <v>0</v>
      </c>
      <c r="AG256" s="163">
        <f>'PRECIOS CYE'!Q12</f>
        <v>0</v>
      </c>
      <c r="AH256" s="163">
        <f>'PRECIOS CYE'!R12</f>
        <v>0</v>
      </c>
      <c r="AI256" s="166">
        <f>'PRECIOS CYE'!S12</f>
        <v>0</v>
      </c>
      <c r="AJ256" s="172">
        <f>'PRECIOS CYE'!T12</f>
        <v>0</v>
      </c>
      <c r="AK256" s="163">
        <f>'PRECIOS CYE'!U12</f>
        <v>0</v>
      </c>
      <c r="AL256" s="163">
        <f>'PRECIOS CYE'!V12</f>
        <v>0</v>
      </c>
      <c r="AM256" s="163">
        <f>'PRECIOS CYE'!W12</f>
        <v>0</v>
      </c>
      <c r="AN256" s="163">
        <f>'PRECIOS CYE'!X12</f>
        <v>0</v>
      </c>
      <c r="AO256" s="166">
        <f>'PRECIOS CYE'!Y12</f>
        <v>0</v>
      </c>
    </row>
    <row r="257" spans="23:41">
      <c r="W257" s="212"/>
      <c r="X257" s="218">
        <f>('INTRODUCIR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DATOS'!$D$17)+'INTRODUCIR DATOS'!$D$15+'INTRODUCIR DATOS'!$D$16+(('INTRODUCIR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DATOS'!$D$17)+'INTRODUCIR DATOS'!$D$16)*21/100</f>
        <v>1.0285</v>
      </c>
      <c r="Y257" s="165">
        <f>IF(X257=0,"",'INTRODUCIR DATOS'!$D$14-X257)</f>
        <v>113.12150000000001</v>
      </c>
      <c r="Z257" s="165">
        <f>IF(X257=0,"",('INTRODUCIR DATOS'!$D$14-X257)/'INTRODUCIR DATOS'!$D$14)</f>
        <v>0.99098992553657472</v>
      </c>
      <c r="AA257" s="163"/>
      <c r="AB257" s="163"/>
      <c r="AC257" s="205"/>
      <c r="AD257" s="218">
        <f>('INTRODUCIR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DATOS'!$D$17)+'INTRODUCIR DATOS'!$D$15+'INTRODUCIR DATOS'!$D$16+(('INTRODUCIR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DATOS'!$D$17)+'INTRODUCIR DATOS'!$D$16)*21/100</f>
        <v>1.0285</v>
      </c>
      <c r="AE257" s="165">
        <f>IF(AD257=0,"",'INTRODUCIR DATOS'!$D$14-AD257)</f>
        <v>113.12150000000001</v>
      </c>
      <c r="AF257" s="165">
        <f>IF(AD257=0,"",('INTRODUCIR DATOS'!$D$14-AD257)/'INTRODUCIR DATOS'!$D$14)</f>
        <v>0.99098992553657472</v>
      </c>
      <c r="AG257" s="163"/>
      <c r="AH257" s="163"/>
      <c r="AI257" s="166"/>
      <c r="AJ257" s="218">
        <f>('INTRODUCIR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DATOS'!$D$17)+'INTRODUCIR DATOS'!$D$15+'INTRODUCIR DATOS'!$D$16+(('INTRODUCIR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DATOS'!$D$17)+'INTRODUCIR DATOS'!$D$16)*21/100</f>
        <v>1.0285</v>
      </c>
      <c r="AK257" s="165">
        <f>IF(AJ257=0,"",'INTRODUCIR DATOS'!$D$14-AJ257)</f>
        <v>113.12150000000001</v>
      </c>
      <c r="AL257" s="165">
        <f>IF(AJ257=0,"",('INTRODUCIR DATOS'!$D$14-AJ257)/'INTRODUCIR DATOS'!$D$14)</f>
        <v>0.99098992553657472</v>
      </c>
      <c r="AM257" s="163"/>
      <c r="AN257" s="163"/>
      <c r="AO257" s="166"/>
    </row>
    <row r="258" spans="23:41">
      <c r="W258" s="212" t="s">
        <v>210</v>
      </c>
      <c r="X258" s="217">
        <f>'PRECIOS CYE'!H22</f>
        <v>0</v>
      </c>
      <c r="Y258" s="163">
        <f>'PRECIOS CYE'!I22</f>
        <v>0</v>
      </c>
      <c r="Z258" s="163">
        <f>'PRECIOS CYE'!J22</f>
        <v>0</v>
      </c>
      <c r="AA258" s="163"/>
      <c r="AB258" s="163"/>
      <c r="AC258" s="205"/>
      <c r="AD258" s="217">
        <f>'PRECIOS CYE'!N22</f>
        <v>0</v>
      </c>
      <c r="AE258" s="163">
        <f>'PRECIOS CYE'!O22</f>
        <v>0</v>
      </c>
      <c r="AF258" s="163">
        <f>'PRECIOS CYE'!P22</f>
        <v>0</v>
      </c>
      <c r="AG258" s="163">
        <f>'PRECIOS CYE'!Q22</f>
        <v>0</v>
      </c>
      <c r="AH258" s="163">
        <f>'PRECIOS CYE'!R22</f>
        <v>0</v>
      </c>
      <c r="AI258" s="166">
        <f>'PRECIOS CYE'!S22</f>
        <v>0</v>
      </c>
      <c r="AJ258" s="172">
        <f>'PRECIOS CYE'!T22</f>
        <v>0</v>
      </c>
      <c r="AK258" s="163">
        <f>'PRECIOS CYE'!U22</f>
        <v>0</v>
      </c>
      <c r="AL258" s="163">
        <f>'PRECIOS CYE'!V22</f>
        <v>0</v>
      </c>
      <c r="AM258" s="163">
        <f>'PRECIOS CYE'!W22</f>
        <v>0</v>
      </c>
      <c r="AN258" s="163">
        <f>'PRECIOS CYE'!X22</f>
        <v>0</v>
      </c>
      <c r="AO258" s="166">
        <f>'PRECIOS CYE'!Y22</f>
        <v>0</v>
      </c>
    </row>
    <row r="259" spans="23:41">
      <c r="W259" s="212" t="s">
        <v>62</v>
      </c>
      <c r="X259" s="217">
        <f>'PRECIOS CYE'!H12</f>
        <v>0</v>
      </c>
      <c r="Y259" s="163">
        <f>'PRECIOS CYE'!I12</f>
        <v>0</v>
      </c>
      <c r="Z259" s="163">
        <f>'PRECIOS CYE'!J12</f>
        <v>0</v>
      </c>
      <c r="AA259" s="163"/>
      <c r="AB259" s="163"/>
      <c r="AC259" s="205"/>
      <c r="AD259" s="217">
        <f>'PRECIOS CYE'!N12</f>
        <v>0</v>
      </c>
      <c r="AE259" s="163">
        <f>'PRECIOS CYE'!O12</f>
        <v>0</v>
      </c>
      <c r="AF259" s="163">
        <f>'PRECIOS CYE'!P12</f>
        <v>0</v>
      </c>
      <c r="AG259" s="163">
        <f>'PRECIOS CYE'!Q12</f>
        <v>0</v>
      </c>
      <c r="AH259" s="163">
        <f>'PRECIOS CYE'!R12</f>
        <v>0</v>
      </c>
      <c r="AI259" s="166">
        <f>'PRECIOS CYE'!S12</f>
        <v>0</v>
      </c>
      <c r="AJ259" s="172">
        <f>'PRECIOS CYE'!T12</f>
        <v>0</v>
      </c>
      <c r="AK259" s="163">
        <f>'PRECIOS CYE'!U12</f>
        <v>0</v>
      </c>
      <c r="AL259" s="163">
        <f>'PRECIOS CYE'!V12</f>
        <v>0</v>
      </c>
      <c r="AM259" s="163">
        <f>'PRECIOS CYE'!W12</f>
        <v>0</v>
      </c>
      <c r="AN259" s="163">
        <f>'PRECIOS CYE'!X12</f>
        <v>0</v>
      </c>
      <c r="AO259" s="166">
        <f>'PRECIOS CYE'!Y12</f>
        <v>0</v>
      </c>
    </row>
    <row r="260" spans="23:41">
      <c r="W260" s="212"/>
      <c r="X260" s="218">
        <f>('INTRODUCIR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DATOS'!$D$17)+'INTRODUCIR DATOS'!$D$15+'INTRODUCIR DATOS'!$D$16+(('INTRODUCIR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DATOS'!$D$17)+'INTRODUCIR DATOS'!$D$16)*21/100</f>
        <v>1.0285</v>
      </c>
      <c r="Y260" s="165">
        <f>IF(X260=0,"",'INTRODUCIR DATOS'!$D$14-X260)</f>
        <v>113.12150000000001</v>
      </c>
      <c r="Z260" s="165">
        <f>IF(X260=0,"",('INTRODUCIR DATOS'!$D$14-X260)/'INTRODUCIR DATOS'!$D$14)</f>
        <v>0.99098992553657472</v>
      </c>
      <c r="AA260" s="163"/>
      <c r="AB260" s="163"/>
      <c r="AC260" s="205"/>
      <c r="AD260" s="218">
        <f>('INTRODUCIR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DATOS'!$D$17)+'INTRODUCIR DATOS'!$D$15+'INTRODUCIR DATOS'!$D$16+(('INTRODUCIR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DATOS'!$D$17)+'INTRODUCIR DATOS'!$D$16)*21/100</f>
        <v>1.0285</v>
      </c>
      <c r="AE260" s="165">
        <f>IF(AD260=0,"",'INTRODUCIR DATOS'!$D$14-AD260)</f>
        <v>113.12150000000001</v>
      </c>
      <c r="AF260" s="165">
        <f>IF(AD260=0,"",('INTRODUCIR DATOS'!$D$14-AD260)/'INTRODUCIR DATOS'!$D$14)</f>
        <v>0.99098992553657472</v>
      </c>
      <c r="AG260" s="163"/>
      <c r="AH260" s="163"/>
      <c r="AI260" s="166"/>
      <c r="AJ260" s="218">
        <f>('INTRODUCIR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DATOS'!$D$17)+'INTRODUCIR DATOS'!$D$15+'INTRODUCIR DATOS'!$D$16+(('INTRODUCIR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DATOS'!$D$17)+'INTRODUCIR DATOS'!$D$16)*21/100</f>
        <v>1.0285</v>
      </c>
      <c r="AK260" s="165">
        <f>IF(AJ260=0,"",'INTRODUCIR DATOS'!$D$14-AJ260)</f>
        <v>113.12150000000001</v>
      </c>
      <c r="AL260" s="165">
        <f>IF(AJ260=0,"",('INTRODUCIR DATOS'!$D$14-AJ260)/'INTRODUCIR DATOS'!$D$14)</f>
        <v>0.99098992553657472</v>
      </c>
      <c r="AM260" s="163"/>
      <c r="AN260" s="163"/>
      <c r="AO260" s="166"/>
    </row>
    <row r="261" spans="23:41">
      <c r="W261" s="212" t="s">
        <v>210</v>
      </c>
      <c r="X261" s="217">
        <f>'PRECIOS CYE'!H23</f>
        <v>0</v>
      </c>
      <c r="Y261" s="163">
        <f>'PRECIOS CYE'!I23</f>
        <v>0</v>
      </c>
      <c r="Z261" s="163">
        <f>'PRECIOS CYE'!J23</f>
        <v>0</v>
      </c>
      <c r="AA261" s="163"/>
      <c r="AB261" s="163"/>
      <c r="AC261" s="205"/>
      <c r="AD261" s="217"/>
      <c r="AE261" s="163"/>
      <c r="AF261" s="163"/>
      <c r="AG261" s="163"/>
      <c r="AH261" s="163"/>
      <c r="AI261" s="166"/>
      <c r="AJ261" s="172"/>
      <c r="AK261" s="163"/>
      <c r="AL261" s="163"/>
      <c r="AM261" s="163"/>
      <c r="AN261" s="163"/>
      <c r="AO261" s="166"/>
    </row>
    <row r="262" spans="23:41">
      <c r="W262" s="212" t="s">
        <v>63</v>
      </c>
      <c r="X262" s="217">
        <f>'PRECIOS CYE'!H12</f>
        <v>0</v>
      </c>
      <c r="Y262" s="163">
        <f>'PRECIOS CYE'!I12</f>
        <v>0</v>
      </c>
      <c r="Z262" s="163">
        <f>'PRECIOS CYE'!J12</f>
        <v>0</v>
      </c>
      <c r="AA262" s="163"/>
      <c r="AB262" s="163"/>
      <c r="AC262" s="205"/>
      <c r="AD262" s="217"/>
      <c r="AE262" s="163"/>
      <c r="AF262" s="163"/>
      <c r="AG262" s="163"/>
      <c r="AH262" s="163"/>
      <c r="AI262" s="166"/>
      <c r="AJ262" s="172"/>
      <c r="AK262" s="163"/>
      <c r="AL262" s="163"/>
      <c r="AM262" s="163"/>
      <c r="AN262" s="163"/>
      <c r="AO262" s="166"/>
    </row>
    <row r="263" spans="23:41">
      <c r="W263" s="212"/>
      <c r="X263" s="218">
        <f>('INTRODUCIR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DATOS'!$D$17)+'INTRODUCIR DATOS'!$D$15+'INTRODUCIR DATOS'!$D$16+(('INTRODUCIR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DATOS'!$D$17)+'INTRODUCIR DATOS'!$D$16)*21/100</f>
        <v>1.0285</v>
      </c>
      <c r="Y263" s="165">
        <f>IF(X263=0,"",'INTRODUCIR DATOS'!$D$14-X263)</f>
        <v>113.12150000000001</v>
      </c>
      <c r="Z263" s="165">
        <f>IF(X263=0,"",('INTRODUCIR DATOS'!$D$14-X263)/'INTRODUCIR DATOS'!$D$14)</f>
        <v>0.99098992553657472</v>
      </c>
      <c r="AA263" s="163"/>
      <c r="AB263" s="163"/>
      <c r="AC263" s="205"/>
      <c r="AD263" s="218"/>
      <c r="AE263" s="165"/>
      <c r="AF263" s="165"/>
      <c r="AG263" s="163"/>
      <c r="AH263" s="163"/>
      <c r="AI263" s="166"/>
      <c r="AJ263" s="173"/>
      <c r="AK263" s="165"/>
      <c r="AL263" s="165"/>
      <c r="AM263" s="163"/>
      <c r="AN263" s="163"/>
      <c r="AO263" s="166"/>
    </row>
    <row r="264" spans="23:41">
      <c r="W264" s="212" t="s">
        <v>210</v>
      </c>
      <c r="X264" s="217">
        <f>'PRECIOS CYE'!H24</f>
        <v>0</v>
      </c>
      <c r="Y264" s="163">
        <f>'PRECIOS CYE'!I24</f>
        <v>0</v>
      </c>
      <c r="Z264" s="163">
        <f>'PRECIOS CYE'!J24</f>
        <v>0</v>
      </c>
      <c r="AA264" s="163"/>
      <c r="AB264" s="163"/>
      <c r="AC264" s="205"/>
      <c r="AD264" s="217"/>
      <c r="AE264" s="163"/>
      <c r="AF264" s="163"/>
      <c r="AG264" s="163"/>
      <c r="AH264" s="163"/>
      <c r="AI264" s="166"/>
      <c r="AJ264" s="172"/>
      <c r="AK264" s="163"/>
      <c r="AL264" s="163"/>
      <c r="AM264" s="163"/>
      <c r="AN264" s="163"/>
      <c r="AO264" s="166"/>
    </row>
    <row r="265" spans="23:41">
      <c r="W265" s="212" t="s">
        <v>65</v>
      </c>
      <c r="X265" s="217">
        <f>'PRECIOS CYE'!H12</f>
        <v>0</v>
      </c>
      <c r="Y265" s="163">
        <f>'PRECIOS CYE'!I12</f>
        <v>0</v>
      </c>
      <c r="Z265" s="163">
        <f>'PRECIOS CYE'!J12</f>
        <v>0</v>
      </c>
      <c r="AA265" s="163"/>
      <c r="AB265" s="163"/>
      <c r="AC265" s="205"/>
      <c r="AD265" s="217"/>
      <c r="AE265" s="163"/>
      <c r="AF265" s="163"/>
      <c r="AG265" s="163"/>
      <c r="AH265" s="163"/>
      <c r="AI265" s="166"/>
      <c r="AJ265" s="172"/>
      <c r="AK265" s="163"/>
      <c r="AL265" s="163"/>
      <c r="AM265" s="163"/>
      <c r="AN265" s="163"/>
      <c r="AO265" s="166"/>
    </row>
    <row r="266" spans="23:41">
      <c r="W266" s="212"/>
      <c r="X266" s="218">
        <f>('INTRODUCIR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DATOS'!$D$17)+'INTRODUCIR DATOS'!$D$15+'INTRODUCIR DATOS'!$D$16+(('INTRODUCIR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DATOS'!$D$17)+'INTRODUCIR DATOS'!$D$16)*21/100</f>
        <v>1.0285</v>
      </c>
      <c r="Y266" s="165">
        <f>IF(X266=0,"",'INTRODUCIR DATOS'!$D$14-X266)</f>
        <v>113.12150000000001</v>
      </c>
      <c r="Z266" s="165">
        <f>IF(X266=0,"",('INTRODUCIR DATOS'!$D$14-X266)/'INTRODUCIR DATOS'!$D$14)</f>
        <v>0.99098992553657472</v>
      </c>
      <c r="AA266" s="163"/>
      <c r="AB266" s="163"/>
      <c r="AC266" s="205"/>
      <c r="AD266" s="218"/>
      <c r="AE266" s="165"/>
      <c r="AF266" s="165"/>
      <c r="AG266" s="163"/>
      <c r="AH266" s="163"/>
      <c r="AI266" s="166"/>
      <c r="AJ266" s="173"/>
      <c r="AK266" s="165"/>
      <c r="AL266" s="165"/>
      <c r="AM266" s="163"/>
      <c r="AN266" s="163"/>
      <c r="AO266" s="166"/>
    </row>
    <row r="267" spans="23:41">
      <c r="W267" s="212" t="s">
        <v>210</v>
      </c>
      <c r="X267" s="217">
        <f>'PRECIOS CYE'!H25</f>
        <v>0</v>
      </c>
      <c r="Y267" s="163">
        <f>'PRECIOS CYE'!I25</f>
        <v>0</v>
      </c>
      <c r="Z267" s="163">
        <f>'PRECIOS CYE'!J25</f>
        <v>0</v>
      </c>
      <c r="AA267" s="163"/>
      <c r="AB267" s="163"/>
      <c r="AC267" s="205"/>
      <c r="AD267" s="217"/>
      <c r="AE267" s="163"/>
      <c r="AF267" s="163"/>
      <c r="AG267" s="163"/>
      <c r="AH267" s="163"/>
      <c r="AI267" s="166"/>
      <c r="AJ267" s="172"/>
      <c r="AK267" s="163"/>
      <c r="AL267" s="163"/>
      <c r="AM267" s="163"/>
      <c r="AN267" s="163"/>
      <c r="AO267" s="166"/>
    </row>
    <row r="268" spans="23:41">
      <c r="W268" s="212" t="s">
        <v>199</v>
      </c>
      <c r="X268" s="217">
        <f>'PRECIOS CYE'!H12</f>
        <v>0</v>
      </c>
      <c r="Y268" s="163">
        <f>'PRECIOS CYE'!I12</f>
        <v>0</v>
      </c>
      <c r="Z268" s="163">
        <f>'PRECIOS CYE'!J12</f>
        <v>0</v>
      </c>
      <c r="AA268" s="163"/>
      <c r="AB268" s="163"/>
      <c r="AC268" s="205"/>
      <c r="AD268" s="217"/>
      <c r="AE268" s="163"/>
      <c r="AF268" s="163"/>
      <c r="AG268" s="163"/>
      <c r="AH268" s="163"/>
      <c r="AI268" s="166"/>
      <c r="AJ268" s="172"/>
      <c r="AK268" s="163"/>
      <c r="AL268" s="163"/>
      <c r="AM268" s="163"/>
      <c r="AN268" s="163"/>
      <c r="AO268" s="166"/>
    </row>
    <row r="269" spans="23:41">
      <c r="W269" s="212"/>
      <c r="X269" s="218">
        <f>('INTRODUCIR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DATOS'!$D$17)+'INTRODUCIR DATOS'!$D$15+'INTRODUCIR DATOS'!$D$16+(('INTRODUCIR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DATOS'!$D$17)+'INTRODUCIR DATOS'!$D$16)*21/100</f>
        <v>1.0285</v>
      </c>
      <c r="Y269" s="165">
        <f>IF(X269=0,"",'INTRODUCIR DATOS'!$D$14-X269)</f>
        <v>113.12150000000001</v>
      </c>
      <c r="Z269" s="165">
        <f>IF(X269=0,"",('INTRODUCIR DATOS'!$D$14-X269)/'INTRODUCIR DATOS'!$D$14)</f>
        <v>0.99098992553657472</v>
      </c>
      <c r="AA269" s="163"/>
      <c r="AB269" s="163"/>
      <c r="AC269" s="205"/>
      <c r="AD269" s="218"/>
      <c r="AE269" s="165"/>
      <c r="AF269" s="165"/>
      <c r="AG269" s="163"/>
      <c r="AH269" s="163"/>
      <c r="AI269" s="166"/>
      <c r="AJ269" s="173"/>
      <c r="AK269" s="165"/>
      <c r="AL269" s="165"/>
      <c r="AM269" s="163"/>
      <c r="AN269" s="163"/>
      <c r="AO269" s="166"/>
    </row>
    <row r="270" spans="23:41">
      <c r="W270" s="212" t="s">
        <v>210</v>
      </c>
      <c r="X270" s="217">
        <f>'PRECIOS CYE'!H26</f>
        <v>0</v>
      </c>
      <c r="Y270" s="163">
        <f>'PRECIOS CYE'!I26</f>
        <v>0</v>
      </c>
      <c r="Z270" s="163">
        <f>'PRECIOS CYE'!J26</f>
        <v>0</v>
      </c>
      <c r="AA270" s="163"/>
      <c r="AB270" s="163"/>
      <c r="AC270" s="205"/>
      <c r="AD270" s="217"/>
      <c r="AE270" s="163"/>
      <c r="AF270" s="163"/>
      <c r="AG270" s="163"/>
      <c r="AH270" s="163"/>
      <c r="AI270" s="166"/>
      <c r="AJ270" s="172"/>
      <c r="AK270" s="163"/>
      <c r="AL270" s="163"/>
      <c r="AM270" s="163"/>
      <c r="AN270" s="163"/>
      <c r="AO270" s="166"/>
    </row>
    <row r="271" spans="23:41">
      <c r="W271" s="212" t="s">
        <v>200</v>
      </c>
      <c r="X271" s="217">
        <f>'PRECIOS CYE'!H12</f>
        <v>0</v>
      </c>
      <c r="Y271" s="163">
        <f>'PRECIOS CYE'!I12</f>
        <v>0</v>
      </c>
      <c r="Z271" s="163">
        <f>'PRECIOS CYE'!J12</f>
        <v>0</v>
      </c>
      <c r="AA271" s="163"/>
      <c r="AB271" s="163"/>
      <c r="AC271" s="205"/>
      <c r="AD271" s="217"/>
      <c r="AE271" s="163"/>
      <c r="AF271" s="163"/>
      <c r="AG271" s="163"/>
      <c r="AH271" s="163"/>
      <c r="AI271" s="166"/>
      <c r="AJ271" s="172"/>
      <c r="AK271" s="163"/>
      <c r="AL271" s="163"/>
      <c r="AM271" s="163"/>
      <c r="AN271" s="163"/>
      <c r="AO271" s="166"/>
    </row>
    <row r="272" spans="23:41">
      <c r="W272" s="212"/>
      <c r="X272" s="218">
        <f>('INTRODUCIR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DATOS'!$D$17)+'INTRODUCIR DATOS'!$D$15+'INTRODUCIR DATOS'!$D$16+(('INTRODUCIR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DATOS'!$D$17)+'INTRODUCIR DATOS'!$D$16)*21/100</f>
        <v>1.0285</v>
      </c>
      <c r="Y272" s="165">
        <f>IF(X272=0,"",'INTRODUCIR DATOS'!$D$14-X272)</f>
        <v>113.12150000000001</v>
      </c>
      <c r="Z272" s="165">
        <f>IF(X272=0,"",('INTRODUCIR DATOS'!$D$14-X272)/'INTRODUCIR DATOS'!$D$14)</f>
        <v>0.99098992553657472</v>
      </c>
      <c r="AA272" s="163"/>
      <c r="AB272" s="163"/>
      <c r="AC272" s="205"/>
      <c r="AD272" s="218"/>
      <c r="AE272" s="165"/>
      <c r="AF272" s="165"/>
      <c r="AG272" s="163"/>
      <c r="AH272" s="163"/>
      <c r="AI272" s="166"/>
      <c r="AJ272" s="173"/>
      <c r="AK272" s="165"/>
      <c r="AL272" s="165"/>
      <c r="AM272" s="163"/>
      <c r="AN272" s="163"/>
      <c r="AO272" s="166"/>
    </row>
    <row r="273" spans="23:41">
      <c r="W273" s="212" t="s">
        <v>211</v>
      </c>
      <c r="X273" s="218">
        <f>'PRECIOS CYE'!H18</f>
        <v>0</v>
      </c>
      <c r="Y273" s="164">
        <f>'PRECIOS CYE'!I18</f>
        <v>0</v>
      </c>
      <c r="Z273" s="164">
        <f>'PRECIOS CYE'!J18</f>
        <v>0</v>
      </c>
      <c r="AA273" s="164"/>
      <c r="AB273" s="164"/>
      <c r="AC273" s="219"/>
      <c r="AD273" s="218">
        <f>'PRECIOS CYE'!N18</f>
        <v>0</v>
      </c>
      <c r="AE273" s="164">
        <f>'PRECIOS CYE'!O18</f>
        <v>0</v>
      </c>
      <c r="AF273" s="164">
        <f>'PRECIOS CYE'!P18</f>
        <v>0</v>
      </c>
      <c r="AG273" s="164">
        <f>'PRECIOS CYE'!Q18</f>
        <v>0</v>
      </c>
      <c r="AH273" s="164">
        <f>'PRECIOS CYE'!R18</f>
        <v>0</v>
      </c>
      <c r="AI273" s="167">
        <f>'PRECIOS CYE'!S18</f>
        <v>0</v>
      </c>
      <c r="AJ273" s="173">
        <f>'PRECIOS CYE'!T18</f>
        <v>0</v>
      </c>
      <c r="AK273" s="164">
        <f>'PRECIOS CYE'!U18</f>
        <v>0</v>
      </c>
      <c r="AL273" s="164">
        <f>'PRECIOS CYE'!V18</f>
        <v>0</v>
      </c>
      <c r="AM273" s="164">
        <f>'PRECIOS CYE'!W18</f>
        <v>0</v>
      </c>
      <c r="AN273" s="164">
        <f>'PRECIOS CYE'!X18</f>
        <v>0</v>
      </c>
      <c r="AO273" s="167">
        <f>'PRECIOS CYE'!Y18</f>
        <v>0</v>
      </c>
    </row>
    <row r="274" spans="23:41">
      <c r="W274" s="212" t="s">
        <v>41</v>
      </c>
      <c r="X274" s="218">
        <f>'PRECIOS CYE'!H13</f>
        <v>0</v>
      </c>
      <c r="Y274" s="164">
        <f>'PRECIOS CYE'!I13</f>
        <v>0</v>
      </c>
      <c r="Z274" s="164">
        <f>'PRECIOS CYE'!J13</f>
        <v>0</v>
      </c>
      <c r="AA274" s="164"/>
      <c r="AB274" s="164"/>
      <c r="AC274" s="219"/>
      <c r="AD274" s="218">
        <f>'PRECIOS CYE'!N13</f>
        <v>0</v>
      </c>
      <c r="AE274" s="164">
        <f>'PRECIOS CYE'!O13</f>
        <v>0</v>
      </c>
      <c r="AF274" s="164">
        <f>'PRECIOS CYE'!P13</f>
        <v>0</v>
      </c>
      <c r="AG274" s="164">
        <f>'PRECIOS CYE'!Q13</f>
        <v>0</v>
      </c>
      <c r="AH274" s="164">
        <f>'PRECIOS CYE'!R13</f>
        <v>0</v>
      </c>
      <c r="AI274" s="167">
        <f>'PRECIOS CYE'!S13</f>
        <v>0</v>
      </c>
      <c r="AJ274" s="173">
        <f>'PRECIOS CYE'!T13</f>
        <v>0</v>
      </c>
      <c r="AK274" s="164">
        <f>'PRECIOS CYE'!U13</f>
        <v>0</v>
      </c>
      <c r="AL274" s="164">
        <f>'PRECIOS CYE'!V13</f>
        <v>0</v>
      </c>
      <c r="AM274" s="164">
        <f>'PRECIOS CYE'!W13</f>
        <v>0</v>
      </c>
      <c r="AN274" s="164">
        <f>'PRECIOS CYE'!X13</f>
        <v>0</v>
      </c>
      <c r="AO274" s="167">
        <f>'PRECIOS CYE'!Y13</f>
        <v>0</v>
      </c>
    </row>
    <row r="275" spans="23:41">
      <c r="W275" s="212"/>
      <c r="X275" s="218">
        <f>('INTRODUCIR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DATOS'!$D$17)+'INTRODUCIR DATOS'!$D$15+'INTRODUCIR DATOS'!$D$16+(('INTRODUCIR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DATOS'!$D$17)+'INTRODUCIR DATOS'!$D$16)*21/100</f>
        <v>1.0285</v>
      </c>
      <c r="Y275" s="165">
        <f>IF(X275=0,"",'INTRODUCIR DATOS'!$D$14-X275)</f>
        <v>113.12150000000001</v>
      </c>
      <c r="Z275" s="165">
        <f>IF(X275=0,"",('INTRODUCIR DATOS'!$D$14-X275)/'INTRODUCIR DATOS'!$D$14)</f>
        <v>0.99098992553657472</v>
      </c>
      <c r="AA275" s="163"/>
      <c r="AB275" s="163"/>
      <c r="AC275" s="205"/>
      <c r="AD275" s="218">
        <f>('INTRODUCIR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DATOS'!$D$17)+'INTRODUCIR DATOS'!$D$15+'INTRODUCIR DATOS'!$D$16+(('INTRODUCIR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DATOS'!$D$17)+'INTRODUCIR DATOS'!$D$16)*21/100</f>
        <v>1.0285</v>
      </c>
      <c r="AE275" s="165">
        <f>IF(AD275=0,"",'INTRODUCIR DATOS'!$D$14-AD275)</f>
        <v>113.12150000000001</v>
      </c>
      <c r="AF275" s="165">
        <f>IF(AD275=0,"",('INTRODUCIR DATOS'!$D$14-AD275)/'INTRODUCIR DATOS'!$D$14)</f>
        <v>0.99098992553657472</v>
      </c>
      <c r="AG275" s="163"/>
      <c r="AH275" s="163"/>
      <c r="AI275" s="166"/>
      <c r="AJ275" s="218">
        <f>('INTRODUCIR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DATOS'!$D$17)+'INTRODUCIR DATOS'!$D$15+'INTRODUCIR DATOS'!$D$16+(('INTRODUCIR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DATOS'!$D$17)+'INTRODUCIR DATOS'!$D$16)*21/100</f>
        <v>1.0285</v>
      </c>
      <c r="AK275" s="165">
        <f>IF(AJ275=0,"",'INTRODUCIR DATOS'!$D$14-AJ275)</f>
        <v>113.12150000000001</v>
      </c>
      <c r="AL275" s="165">
        <f>IF(AJ275=0,"",('INTRODUCIR DATOS'!$D$14-AJ275)/'INTRODUCIR DATOS'!$D$14)</f>
        <v>0.99098992553657472</v>
      </c>
      <c r="AM275" s="163"/>
      <c r="AN275" s="163"/>
      <c r="AO275" s="166"/>
    </row>
    <row r="276" spans="23:41">
      <c r="W276" s="212" t="s">
        <v>211</v>
      </c>
      <c r="X276" s="217">
        <f>'PRECIOS CYE'!H19</f>
        <v>0</v>
      </c>
      <c r="Y276" s="163">
        <f>'PRECIOS CYE'!I19</f>
        <v>0</v>
      </c>
      <c r="Z276" s="163">
        <f>'PRECIOS CYE'!J19</f>
        <v>0</v>
      </c>
      <c r="AA276" s="163"/>
      <c r="AB276" s="163"/>
      <c r="AC276" s="205"/>
      <c r="AD276" s="217">
        <f>'PRECIOS CYE'!N19</f>
        <v>0</v>
      </c>
      <c r="AE276" s="163">
        <f>'PRECIOS CYE'!O19</f>
        <v>0</v>
      </c>
      <c r="AF276" s="163">
        <f>'PRECIOS CYE'!P19</f>
        <v>0</v>
      </c>
      <c r="AG276" s="163">
        <f>'PRECIOS CYE'!Q19</f>
        <v>0</v>
      </c>
      <c r="AH276" s="163">
        <f>'PRECIOS CYE'!R19</f>
        <v>0</v>
      </c>
      <c r="AI276" s="166">
        <f>'PRECIOS CYE'!S19</f>
        <v>0</v>
      </c>
      <c r="AJ276" s="172">
        <f>'PRECIOS CYE'!T19</f>
        <v>0</v>
      </c>
      <c r="AK276" s="163">
        <f>'PRECIOS CYE'!U19</f>
        <v>0</v>
      </c>
      <c r="AL276" s="163">
        <f>'PRECIOS CYE'!V19</f>
        <v>0</v>
      </c>
      <c r="AM276" s="163">
        <f>'PRECIOS CYE'!W19</f>
        <v>0</v>
      </c>
      <c r="AN276" s="163">
        <f>'PRECIOS CYE'!X19</f>
        <v>0</v>
      </c>
      <c r="AO276" s="166">
        <f>'PRECIOS CYE'!Y19</f>
        <v>0</v>
      </c>
    </row>
    <row r="277" spans="23:41">
      <c r="W277" s="212" t="s">
        <v>115</v>
      </c>
      <c r="X277" s="217">
        <f>'PRECIOS CYE'!H13</f>
        <v>0</v>
      </c>
      <c r="Y277" s="163">
        <f>'PRECIOS CYE'!I13</f>
        <v>0</v>
      </c>
      <c r="Z277" s="163">
        <f>'PRECIOS CYE'!J13</f>
        <v>0</v>
      </c>
      <c r="AA277" s="163"/>
      <c r="AB277" s="163"/>
      <c r="AC277" s="205"/>
      <c r="AD277" s="217">
        <f>'PRECIOS CYE'!N13</f>
        <v>0</v>
      </c>
      <c r="AE277" s="163">
        <f>'PRECIOS CYE'!O13</f>
        <v>0</v>
      </c>
      <c r="AF277" s="163">
        <f>'PRECIOS CYE'!P13</f>
        <v>0</v>
      </c>
      <c r="AG277" s="163">
        <f>'PRECIOS CYE'!Q13</f>
        <v>0</v>
      </c>
      <c r="AH277" s="163">
        <f>'PRECIOS CYE'!R13</f>
        <v>0</v>
      </c>
      <c r="AI277" s="166">
        <f>'PRECIOS CYE'!S13</f>
        <v>0</v>
      </c>
      <c r="AJ277" s="172">
        <f>'PRECIOS CYE'!T13</f>
        <v>0</v>
      </c>
      <c r="AK277" s="163">
        <f>'PRECIOS CYE'!U13</f>
        <v>0</v>
      </c>
      <c r="AL277" s="163">
        <f>'PRECIOS CYE'!V13</f>
        <v>0</v>
      </c>
      <c r="AM277" s="163">
        <f>'PRECIOS CYE'!W13</f>
        <v>0</v>
      </c>
      <c r="AN277" s="163">
        <f>'PRECIOS CYE'!X13</f>
        <v>0</v>
      </c>
      <c r="AO277" s="166">
        <f>'PRECIOS CYE'!Y13</f>
        <v>0</v>
      </c>
    </row>
    <row r="278" spans="23:41">
      <c r="W278" s="212"/>
      <c r="X278" s="218">
        <f>('INTRODUCIR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DATOS'!$D$17)+'INTRODUCIR DATOS'!$D$15+'INTRODUCIR DATOS'!$D$16+(('INTRODUCIR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DATOS'!$D$17)+'INTRODUCIR DATOS'!$D$16)*21/100</f>
        <v>1.0285</v>
      </c>
      <c r="Y278" s="165">
        <f>IF(X278=0,"",'INTRODUCIR DATOS'!$D$14-X278)</f>
        <v>113.12150000000001</v>
      </c>
      <c r="Z278" s="165">
        <f>IF(X278=0,"",('INTRODUCIR DATOS'!$D$14-X278)/'INTRODUCIR DATOS'!$D$14)</f>
        <v>0.99098992553657472</v>
      </c>
      <c r="AA278" s="163"/>
      <c r="AB278" s="163"/>
      <c r="AC278" s="205"/>
      <c r="AD278" s="218">
        <f>('INTRODUCIR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DATOS'!$D$17)+'INTRODUCIR DATOS'!$D$15+'INTRODUCIR DATOS'!$D$16+(('INTRODUCIR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DATOS'!$D$17)+'INTRODUCIR DATOS'!$D$16)*21/100</f>
        <v>1.0285</v>
      </c>
      <c r="AE278" s="165">
        <f>IF(AD278=0,"",'INTRODUCIR DATOS'!$D$14-AD278)</f>
        <v>113.12150000000001</v>
      </c>
      <c r="AF278" s="165">
        <f>IF(AD278=0,"",('INTRODUCIR DATOS'!$D$14-AD278)/'INTRODUCIR DATOS'!$D$14)</f>
        <v>0.99098992553657472</v>
      </c>
      <c r="AG278" s="163"/>
      <c r="AH278" s="163"/>
      <c r="AI278" s="166"/>
      <c r="AJ278" s="218">
        <f>('INTRODUCIR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DATOS'!$D$17)+'INTRODUCIR DATOS'!$D$15+'INTRODUCIR DATOS'!$D$16+(('INTRODUCIR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DATOS'!$D$17)+'INTRODUCIR DATOS'!$D$16)*21/100</f>
        <v>1.0285</v>
      </c>
      <c r="AK278" s="165">
        <f>IF(AJ278=0,"",'INTRODUCIR DATOS'!$D$14-AJ278)</f>
        <v>113.12150000000001</v>
      </c>
      <c r="AL278" s="165">
        <f>IF(AJ278=0,"",('INTRODUCIR DATOS'!$D$14-AJ278)/'INTRODUCIR DATOS'!$D$14)</f>
        <v>0.99098992553657472</v>
      </c>
      <c r="AM278" s="163"/>
      <c r="AN278" s="163"/>
      <c r="AO278" s="166"/>
    </row>
    <row r="279" spans="23:41">
      <c r="W279" s="212" t="s">
        <v>211</v>
      </c>
      <c r="X279" s="217">
        <f>'PRECIOS CYE'!H20</f>
        <v>0</v>
      </c>
      <c r="Y279" s="163">
        <f>'PRECIOS CYE'!I20</f>
        <v>0</v>
      </c>
      <c r="Z279" s="163">
        <f>'PRECIOS CYE'!J20</f>
        <v>0</v>
      </c>
      <c r="AA279" s="163"/>
      <c r="AB279" s="163"/>
      <c r="AC279" s="205"/>
      <c r="AD279" s="217">
        <f>'PRECIOS CYE'!N20</f>
        <v>0</v>
      </c>
      <c r="AE279" s="163">
        <f>'PRECIOS CYE'!O20</f>
        <v>0</v>
      </c>
      <c r="AF279" s="163">
        <f>'PRECIOS CYE'!P20</f>
        <v>0</v>
      </c>
      <c r="AG279" s="163">
        <f>'PRECIOS CYE'!Q20</f>
        <v>0</v>
      </c>
      <c r="AH279" s="163">
        <f>'PRECIOS CYE'!R20</f>
        <v>0</v>
      </c>
      <c r="AI279" s="166">
        <f>'PRECIOS CYE'!S20</f>
        <v>0</v>
      </c>
      <c r="AJ279" s="172">
        <f>'PRECIOS CYE'!T20</f>
        <v>0</v>
      </c>
      <c r="AK279" s="163">
        <f>'PRECIOS CYE'!U20</f>
        <v>0</v>
      </c>
      <c r="AL279" s="163">
        <f>'PRECIOS CYE'!V20</f>
        <v>0</v>
      </c>
      <c r="AM279" s="163">
        <f>'PRECIOS CYE'!W20</f>
        <v>0</v>
      </c>
      <c r="AN279" s="163">
        <f>'PRECIOS CYE'!X20</f>
        <v>0</v>
      </c>
      <c r="AO279" s="166">
        <f>'PRECIOS CYE'!Y20</f>
        <v>0</v>
      </c>
    </row>
    <row r="280" spans="23:41">
      <c r="W280" s="212" t="s">
        <v>116</v>
      </c>
      <c r="X280" s="217">
        <f>'PRECIOS CYE'!H13</f>
        <v>0</v>
      </c>
      <c r="Y280" s="163">
        <f>'PRECIOS CYE'!I13</f>
        <v>0</v>
      </c>
      <c r="Z280" s="163">
        <f>'PRECIOS CYE'!J13</f>
        <v>0</v>
      </c>
      <c r="AA280" s="163"/>
      <c r="AB280" s="163"/>
      <c r="AC280" s="205"/>
      <c r="AD280" s="217">
        <f>'PRECIOS CYE'!N13</f>
        <v>0</v>
      </c>
      <c r="AE280" s="163">
        <f>'PRECIOS CYE'!O13</f>
        <v>0</v>
      </c>
      <c r="AF280" s="163">
        <f>'PRECIOS CYE'!P13</f>
        <v>0</v>
      </c>
      <c r="AG280" s="163">
        <f>'PRECIOS CYE'!Q13</f>
        <v>0</v>
      </c>
      <c r="AH280" s="163">
        <f>'PRECIOS CYE'!R13</f>
        <v>0</v>
      </c>
      <c r="AI280" s="166">
        <f>'PRECIOS CYE'!S13</f>
        <v>0</v>
      </c>
      <c r="AJ280" s="172">
        <f>'PRECIOS CYE'!T13</f>
        <v>0</v>
      </c>
      <c r="AK280" s="163">
        <f>'PRECIOS CYE'!U13</f>
        <v>0</v>
      </c>
      <c r="AL280" s="163">
        <f>'PRECIOS CYE'!V13</f>
        <v>0</v>
      </c>
      <c r="AM280" s="163">
        <f>'PRECIOS CYE'!W13</f>
        <v>0</v>
      </c>
      <c r="AN280" s="163">
        <f>'PRECIOS CYE'!X13</f>
        <v>0</v>
      </c>
      <c r="AO280" s="166">
        <f>'PRECIOS CYE'!Y13</f>
        <v>0</v>
      </c>
    </row>
    <row r="281" spans="23:41">
      <c r="W281" s="212"/>
      <c r="X281" s="218">
        <f>('INTRODUCIR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DATOS'!$D$17)+'INTRODUCIR DATOS'!$D$15+'INTRODUCIR DATOS'!$D$16+(('INTRODUCIR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DATOS'!$D$17)+'INTRODUCIR DATOS'!$D$16)*21/100</f>
        <v>1.0285</v>
      </c>
      <c r="Y281" s="165">
        <f>IF(X281=0,"",'INTRODUCIR DATOS'!$D$14-X281)</f>
        <v>113.12150000000001</v>
      </c>
      <c r="Z281" s="165">
        <f>IF(X281=0,"",('INTRODUCIR DATOS'!$D$14-X281)/'INTRODUCIR DATOS'!$D$14)</f>
        <v>0.99098992553657472</v>
      </c>
      <c r="AA281" s="163"/>
      <c r="AB281" s="163"/>
      <c r="AC281" s="205"/>
      <c r="AD281" s="218">
        <f>('INTRODUCIR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DATOS'!$D$17)+'INTRODUCIR DATOS'!$D$15+'INTRODUCIR DATOS'!$D$16+(('INTRODUCIR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DATOS'!$D$17)+'INTRODUCIR DATOS'!$D$16)*21/100</f>
        <v>1.0285</v>
      </c>
      <c r="AE281" s="165">
        <f>IF(AD281=0,"",'INTRODUCIR DATOS'!$D$14-AD281)</f>
        <v>113.12150000000001</v>
      </c>
      <c r="AF281" s="165">
        <f>IF(AD281=0,"",('INTRODUCIR DATOS'!$D$14-AD281)/'INTRODUCIR DATOS'!$D$14)</f>
        <v>0.99098992553657472</v>
      </c>
      <c r="AG281" s="163"/>
      <c r="AH281" s="163"/>
      <c r="AI281" s="166"/>
      <c r="AJ281" s="218">
        <f>('INTRODUCIR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DATOS'!$D$17)+'INTRODUCIR DATOS'!$D$15+'INTRODUCIR DATOS'!$D$16+(('INTRODUCIR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DATOS'!$D$17)+'INTRODUCIR DATOS'!$D$16)*21/100</f>
        <v>1.0285</v>
      </c>
      <c r="AK281" s="165">
        <f>IF(AJ281=0,"",'INTRODUCIR DATOS'!$D$14-AJ281)</f>
        <v>113.12150000000001</v>
      </c>
      <c r="AL281" s="165">
        <f>IF(AJ281=0,"",('INTRODUCIR DATOS'!$D$14-AJ281)/'INTRODUCIR DATOS'!$D$14)</f>
        <v>0.99098992553657472</v>
      </c>
      <c r="AM281" s="163"/>
      <c r="AN281" s="163"/>
      <c r="AO281" s="166"/>
    </row>
    <row r="282" spans="23:41">
      <c r="W282" s="212" t="s">
        <v>211</v>
      </c>
      <c r="X282" s="217">
        <f>'PRECIOS CYE'!H21</f>
        <v>0</v>
      </c>
      <c r="Y282" s="163">
        <f>'PRECIOS CYE'!I21</f>
        <v>0</v>
      </c>
      <c r="Z282" s="163">
        <f>'PRECIOS CYE'!J21</f>
        <v>0</v>
      </c>
      <c r="AA282" s="163"/>
      <c r="AB282" s="163"/>
      <c r="AC282" s="205"/>
      <c r="AD282" s="217">
        <f>'PRECIOS CYE'!N21</f>
        <v>0</v>
      </c>
      <c r="AE282" s="163">
        <f>'PRECIOS CYE'!O21</f>
        <v>0</v>
      </c>
      <c r="AF282" s="163">
        <f>'PRECIOS CYE'!P21</f>
        <v>0</v>
      </c>
      <c r="AG282" s="163">
        <f>'PRECIOS CYE'!Q21</f>
        <v>0</v>
      </c>
      <c r="AH282" s="163">
        <f>'PRECIOS CYE'!R21</f>
        <v>0</v>
      </c>
      <c r="AI282" s="166">
        <f>'PRECIOS CYE'!S21</f>
        <v>0</v>
      </c>
      <c r="AJ282" s="172">
        <f>'PRECIOS CYE'!T21</f>
        <v>0</v>
      </c>
      <c r="AK282" s="163">
        <f>'PRECIOS CYE'!U21</f>
        <v>0</v>
      </c>
      <c r="AL282" s="163">
        <f>'PRECIOS CYE'!V21</f>
        <v>0</v>
      </c>
      <c r="AM282" s="163">
        <f>'PRECIOS CYE'!W21</f>
        <v>0</v>
      </c>
      <c r="AN282" s="163">
        <f>'PRECIOS CYE'!X21</f>
        <v>0</v>
      </c>
      <c r="AO282" s="166">
        <f>'PRECIOS CYE'!Y21</f>
        <v>0</v>
      </c>
    </row>
    <row r="283" spans="23:41">
      <c r="W283" s="212" t="s">
        <v>60</v>
      </c>
      <c r="X283" s="217">
        <f>'PRECIOS CYE'!H13</f>
        <v>0</v>
      </c>
      <c r="Y283" s="163">
        <f>'PRECIOS CYE'!I13</f>
        <v>0</v>
      </c>
      <c r="Z283" s="163">
        <f>'PRECIOS CYE'!J13</f>
        <v>0</v>
      </c>
      <c r="AA283" s="163"/>
      <c r="AB283" s="163"/>
      <c r="AC283" s="205"/>
      <c r="AD283" s="217">
        <f>'PRECIOS CYE'!N13</f>
        <v>0</v>
      </c>
      <c r="AE283" s="163">
        <f>'PRECIOS CYE'!O13</f>
        <v>0</v>
      </c>
      <c r="AF283" s="163">
        <f>'PRECIOS CYE'!P13</f>
        <v>0</v>
      </c>
      <c r="AG283" s="163">
        <f>'PRECIOS CYE'!Q13</f>
        <v>0</v>
      </c>
      <c r="AH283" s="163">
        <f>'PRECIOS CYE'!R13</f>
        <v>0</v>
      </c>
      <c r="AI283" s="166">
        <f>'PRECIOS CYE'!S13</f>
        <v>0</v>
      </c>
      <c r="AJ283" s="172">
        <f>'PRECIOS CYE'!T13</f>
        <v>0</v>
      </c>
      <c r="AK283" s="163">
        <f>'PRECIOS CYE'!U13</f>
        <v>0</v>
      </c>
      <c r="AL283" s="163">
        <f>'PRECIOS CYE'!V13</f>
        <v>0</v>
      </c>
      <c r="AM283" s="163">
        <f>'PRECIOS CYE'!W13</f>
        <v>0</v>
      </c>
      <c r="AN283" s="163">
        <f>'PRECIOS CYE'!X13</f>
        <v>0</v>
      </c>
      <c r="AO283" s="166">
        <f>'PRECIOS CYE'!Y13</f>
        <v>0</v>
      </c>
    </row>
    <row r="284" spans="23:41">
      <c r="W284" s="212"/>
      <c r="X284" s="218">
        <f>('INTRODUCIR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DATOS'!$D$17)+'INTRODUCIR DATOS'!$D$15+'INTRODUCIR DATOS'!$D$16+(('INTRODUCIR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DATOS'!$D$17)+'INTRODUCIR DATOS'!$D$16)*21/100</f>
        <v>1.0285</v>
      </c>
      <c r="Y284" s="165">
        <f>IF(X284=0,"",'INTRODUCIR DATOS'!$D$14-X284)</f>
        <v>113.12150000000001</v>
      </c>
      <c r="Z284" s="165">
        <f>IF(X284=0,"",('INTRODUCIR DATOS'!$D$14-X284)/'INTRODUCIR DATOS'!$D$14)</f>
        <v>0.99098992553657472</v>
      </c>
      <c r="AA284" s="163"/>
      <c r="AB284" s="163"/>
      <c r="AC284" s="205"/>
      <c r="AD284" s="218">
        <f>('INTRODUCIR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DATOS'!$D$17)+'INTRODUCIR DATOS'!$D$15+'INTRODUCIR DATOS'!$D$16+(('INTRODUCIR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DATOS'!$D$17)+'INTRODUCIR DATOS'!$D$16)*21/100</f>
        <v>1.0285</v>
      </c>
      <c r="AE284" s="165">
        <f>IF(AD284=0,"",'INTRODUCIR DATOS'!$D$14-AD284)</f>
        <v>113.12150000000001</v>
      </c>
      <c r="AF284" s="165">
        <f>IF(AD284=0,"",('INTRODUCIR DATOS'!$D$14-AD284)/'INTRODUCIR DATOS'!$D$14)</f>
        <v>0.99098992553657472</v>
      </c>
      <c r="AG284" s="163"/>
      <c r="AH284" s="163"/>
      <c r="AI284" s="166"/>
      <c r="AJ284" s="218">
        <f>('INTRODUCIR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DATOS'!$D$17)+'INTRODUCIR DATOS'!$D$15+'INTRODUCIR DATOS'!$D$16+(('INTRODUCIR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DATOS'!$D$17)+'INTRODUCIR DATOS'!$D$16)*21/100</f>
        <v>1.0285</v>
      </c>
      <c r="AK284" s="165">
        <f>IF(AJ284=0,"",'INTRODUCIR DATOS'!$D$14-AJ284)</f>
        <v>113.12150000000001</v>
      </c>
      <c r="AL284" s="165">
        <f>IF(AJ284=0,"",('INTRODUCIR DATOS'!$D$14-AJ284)/'INTRODUCIR DATOS'!$D$14)</f>
        <v>0.99098992553657472</v>
      </c>
      <c r="AM284" s="163"/>
      <c r="AN284" s="163"/>
      <c r="AO284" s="166"/>
    </row>
    <row r="285" spans="23:41">
      <c r="W285" s="212" t="s">
        <v>211</v>
      </c>
      <c r="X285" s="217">
        <f>'PRECIOS CYE'!H22</f>
        <v>0</v>
      </c>
      <c r="Y285" s="163">
        <f>'PRECIOS CYE'!I22</f>
        <v>0</v>
      </c>
      <c r="Z285" s="163">
        <f>'PRECIOS CYE'!J22</f>
        <v>0</v>
      </c>
      <c r="AA285" s="163"/>
      <c r="AB285" s="163"/>
      <c r="AC285" s="205"/>
      <c r="AD285" s="217">
        <f>'PRECIOS CYE'!N22</f>
        <v>0</v>
      </c>
      <c r="AE285" s="163">
        <f>'PRECIOS CYE'!O22</f>
        <v>0</v>
      </c>
      <c r="AF285" s="163">
        <f>'PRECIOS CYE'!P22</f>
        <v>0</v>
      </c>
      <c r="AG285" s="163">
        <f>'PRECIOS CYE'!Q22</f>
        <v>0</v>
      </c>
      <c r="AH285" s="163">
        <f>'PRECIOS CYE'!R22</f>
        <v>0</v>
      </c>
      <c r="AI285" s="166">
        <f>'PRECIOS CYE'!S22</f>
        <v>0</v>
      </c>
      <c r="AJ285" s="172">
        <f>'PRECIOS CYE'!T22</f>
        <v>0</v>
      </c>
      <c r="AK285" s="163">
        <f>'PRECIOS CYE'!U22</f>
        <v>0</v>
      </c>
      <c r="AL285" s="163">
        <f>'PRECIOS CYE'!V22</f>
        <v>0</v>
      </c>
      <c r="AM285" s="163">
        <f>'PRECIOS CYE'!W22</f>
        <v>0</v>
      </c>
      <c r="AN285" s="163">
        <f>'PRECIOS CYE'!X22</f>
        <v>0</v>
      </c>
      <c r="AO285" s="166">
        <f>'PRECIOS CYE'!Y22</f>
        <v>0</v>
      </c>
    </row>
    <row r="286" spans="23:41">
      <c r="W286" s="212" t="s">
        <v>62</v>
      </c>
      <c r="X286" s="217">
        <f>'PRECIOS CYE'!H13</f>
        <v>0</v>
      </c>
      <c r="Y286" s="163">
        <f>'PRECIOS CYE'!I13</f>
        <v>0</v>
      </c>
      <c r="Z286" s="163">
        <f>'PRECIOS CYE'!J13</f>
        <v>0</v>
      </c>
      <c r="AA286" s="163"/>
      <c r="AB286" s="163"/>
      <c r="AC286" s="205"/>
      <c r="AD286" s="217">
        <f>'PRECIOS CYE'!N13</f>
        <v>0</v>
      </c>
      <c r="AE286" s="163">
        <f>'PRECIOS CYE'!O13</f>
        <v>0</v>
      </c>
      <c r="AF286" s="163">
        <f>'PRECIOS CYE'!P13</f>
        <v>0</v>
      </c>
      <c r="AG286" s="163">
        <f>'PRECIOS CYE'!Q13</f>
        <v>0</v>
      </c>
      <c r="AH286" s="163">
        <f>'PRECIOS CYE'!R13</f>
        <v>0</v>
      </c>
      <c r="AI286" s="166">
        <f>'PRECIOS CYE'!S13</f>
        <v>0</v>
      </c>
      <c r="AJ286" s="172">
        <f>'PRECIOS CYE'!T13</f>
        <v>0</v>
      </c>
      <c r="AK286" s="163">
        <f>'PRECIOS CYE'!U13</f>
        <v>0</v>
      </c>
      <c r="AL286" s="163">
        <f>'PRECIOS CYE'!V13</f>
        <v>0</v>
      </c>
      <c r="AM286" s="163">
        <f>'PRECIOS CYE'!W13</f>
        <v>0</v>
      </c>
      <c r="AN286" s="163">
        <f>'PRECIOS CYE'!X13</f>
        <v>0</v>
      </c>
      <c r="AO286" s="166">
        <f>'PRECIOS CYE'!Y13</f>
        <v>0</v>
      </c>
    </row>
    <row r="287" spans="23:41">
      <c r="W287" s="212"/>
      <c r="X287" s="218">
        <f>('INTRODUCIR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DATOS'!$D$17)+'INTRODUCIR DATOS'!$D$15+'INTRODUCIR DATOS'!$D$16+(('INTRODUCIR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DATOS'!$D$17)+'INTRODUCIR DATOS'!$D$16)*21/100</f>
        <v>1.0285</v>
      </c>
      <c r="Y287" s="165">
        <f>IF(X287=0,"",'INTRODUCIR DATOS'!$D$14-X287)</f>
        <v>113.12150000000001</v>
      </c>
      <c r="Z287" s="165">
        <f>IF(X287=0,"",('INTRODUCIR DATOS'!$D$14-X287)/'INTRODUCIR DATOS'!$D$14)</f>
        <v>0.99098992553657472</v>
      </c>
      <c r="AA287" s="163"/>
      <c r="AB287" s="163"/>
      <c r="AC287" s="205"/>
      <c r="AD287" s="218">
        <f>('INTRODUCIR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DATOS'!$D$17)+'INTRODUCIR DATOS'!$D$15+'INTRODUCIR DATOS'!$D$16+(('INTRODUCIR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DATOS'!$D$17)+'INTRODUCIR DATOS'!$D$16)*21/100</f>
        <v>1.0285</v>
      </c>
      <c r="AE287" s="165">
        <f>IF(AD287=0,"",'INTRODUCIR DATOS'!$D$14-AD287)</f>
        <v>113.12150000000001</v>
      </c>
      <c r="AF287" s="165">
        <f>IF(AD287=0,"",('INTRODUCIR DATOS'!$D$14-AD287)/'INTRODUCIR DATOS'!$D$14)</f>
        <v>0.99098992553657472</v>
      </c>
      <c r="AG287" s="163"/>
      <c r="AH287" s="163"/>
      <c r="AI287" s="166"/>
      <c r="AJ287" s="218">
        <f>('INTRODUCIR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DATOS'!$D$17)+'INTRODUCIR DATOS'!$D$15+'INTRODUCIR DATOS'!$D$16+(('INTRODUCIR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DATOS'!$D$17)+'INTRODUCIR DATOS'!$D$16)*21/100</f>
        <v>1.0285</v>
      </c>
      <c r="AK287" s="165">
        <f>IF(AJ287=0,"",'INTRODUCIR DATOS'!$D$14-AJ287)</f>
        <v>113.12150000000001</v>
      </c>
      <c r="AL287" s="165">
        <f>IF(AJ287=0,"",('INTRODUCIR DATOS'!$D$14-AJ287)/'INTRODUCIR DATOS'!$D$14)</f>
        <v>0.99098992553657472</v>
      </c>
      <c r="AM287" s="163"/>
      <c r="AN287" s="163"/>
      <c r="AO287" s="166"/>
    </row>
    <row r="288" spans="23:41">
      <c r="W288" s="212" t="s">
        <v>211</v>
      </c>
      <c r="X288" s="217">
        <f>'PRECIOS CYE'!H23</f>
        <v>0</v>
      </c>
      <c r="Y288" s="163">
        <f>'PRECIOS CYE'!I23</f>
        <v>0</v>
      </c>
      <c r="Z288" s="163">
        <f>'PRECIOS CYE'!J23</f>
        <v>0</v>
      </c>
      <c r="AA288" s="163"/>
      <c r="AB288" s="163"/>
      <c r="AC288" s="205"/>
      <c r="AD288" s="217"/>
      <c r="AE288" s="163"/>
      <c r="AF288" s="163"/>
      <c r="AG288" s="163"/>
      <c r="AH288" s="163"/>
      <c r="AI288" s="166"/>
      <c r="AJ288" s="172"/>
      <c r="AK288" s="163"/>
      <c r="AL288" s="163"/>
      <c r="AM288" s="163"/>
      <c r="AN288" s="163"/>
      <c r="AO288" s="166"/>
    </row>
    <row r="289" spans="23:41">
      <c r="W289" s="212" t="s">
        <v>63</v>
      </c>
      <c r="X289" s="217">
        <f>'PRECIOS CYE'!H13</f>
        <v>0</v>
      </c>
      <c r="Y289" s="163">
        <f>'PRECIOS CYE'!I13</f>
        <v>0</v>
      </c>
      <c r="Z289" s="163">
        <f>'PRECIOS CYE'!J13</f>
        <v>0</v>
      </c>
      <c r="AA289" s="163"/>
      <c r="AB289" s="163"/>
      <c r="AC289" s="205"/>
      <c r="AD289" s="217"/>
      <c r="AE289" s="163"/>
      <c r="AF289" s="163"/>
      <c r="AG289" s="163"/>
      <c r="AH289" s="163"/>
      <c r="AI289" s="166"/>
      <c r="AJ289" s="172"/>
      <c r="AK289" s="163"/>
      <c r="AL289" s="163"/>
      <c r="AM289" s="163"/>
      <c r="AN289" s="163"/>
      <c r="AO289" s="166"/>
    </row>
    <row r="290" spans="23:41">
      <c r="W290" s="212"/>
      <c r="X290" s="218">
        <f>('INTRODUCIR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DATOS'!$D$17)+'INTRODUCIR DATOS'!$D$15+'INTRODUCIR DATOS'!$D$16+(('INTRODUCIR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DATOS'!$D$17)+'INTRODUCIR DATOS'!$D$16)*21/100</f>
        <v>1.0285</v>
      </c>
      <c r="Y290" s="165">
        <f>IF(X290=0,"",'INTRODUCIR DATOS'!$D$14-X290)</f>
        <v>113.12150000000001</v>
      </c>
      <c r="Z290" s="165">
        <f>IF(X290=0,"",('INTRODUCIR DATOS'!$D$14-X290)/'INTRODUCIR DATOS'!$D$14)</f>
        <v>0.99098992553657472</v>
      </c>
      <c r="AA290" s="163"/>
      <c r="AB290" s="163"/>
      <c r="AC290" s="205"/>
      <c r="AD290" s="218"/>
      <c r="AE290" s="165"/>
      <c r="AF290" s="165"/>
      <c r="AG290" s="163"/>
      <c r="AH290" s="163"/>
      <c r="AI290" s="166"/>
      <c r="AJ290" s="173"/>
      <c r="AK290" s="165"/>
      <c r="AL290" s="165"/>
      <c r="AM290" s="163"/>
      <c r="AN290" s="163"/>
      <c r="AO290" s="166"/>
    </row>
    <row r="291" spans="23:41">
      <c r="W291" s="212" t="s">
        <v>211</v>
      </c>
      <c r="X291" s="217">
        <f>'PRECIOS CYE'!H24</f>
        <v>0</v>
      </c>
      <c r="Y291" s="163">
        <f>'PRECIOS CYE'!I24</f>
        <v>0</v>
      </c>
      <c r="Z291" s="163">
        <f>'PRECIOS CYE'!J24</f>
        <v>0</v>
      </c>
      <c r="AA291" s="163"/>
      <c r="AB291" s="163"/>
      <c r="AC291" s="205"/>
      <c r="AD291" s="217"/>
      <c r="AE291" s="163"/>
      <c r="AF291" s="163"/>
      <c r="AG291" s="163"/>
      <c r="AH291" s="163"/>
      <c r="AI291" s="166"/>
      <c r="AJ291" s="172"/>
      <c r="AK291" s="163"/>
      <c r="AL291" s="163"/>
      <c r="AM291" s="163"/>
      <c r="AN291" s="163"/>
      <c r="AO291" s="166"/>
    </row>
    <row r="292" spans="23:41">
      <c r="W292" s="212" t="s">
        <v>65</v>
      </c>
      <c r="X292" s="217">
        <f>'PRECIOS CYE'!H13</f>
        <v>0</v>
      </c>
      <c r="Y292" s="163">
        <f>'PRECIOS CYE'!I13</f>
        <v>0</v>
      </c>
      <c r="Z292" s="163">
        <f>'PRECIOS CYE'!J13</f>
        <v>0</v>
      </c>
      <c r="AA292" s="163"/>
      <c r="AB292" s="163"/>
      <c r="AC292" s="205"/>
      <c r="AD292" s="217"/>
      <c r="AE292" s="163"/>
      <c r="AF292" s="163"/>
      <c r="AG292" s="163"/>
      <c r="AH292" s="163"/>
      <c r="AI292" s="166"/>
      <c r="AJ292" s="172"/>
      <c r="AK292" s="163"/>
      <c r="AL292" s="163"/>
      <c r="AM292" s="163"/>
      <c r="AN292" s="163"/>
      <c r="AO292" s="166"/>
    </row>
    <row r="293" spans="23:41">
      <c r="W293" s="212"/>
      <c r="X293" s="218">
        <f>('INTRODUCIR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DATOS'!$D$17)+'INTRODUCIR DATOS'!$D$15+'INTRODUCIR DATOS'!$D$16+(('INTRODUCIR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DATOS'!$D$17)+'INTRODUCIR DATOS'!$D$16)*21/100</f>
        <v>1.0285</v>
      </c>
      <c r="Y293" s="165">
        <f>IF(X293=0,"",'INTRODUCIR DATOS'!$D$14-X293)</f>
        <v>113.12150000000001</v>
      </c>
      <c r="Z293" s="165">
        <f>IF(X293=0,"",('INTRODUCIR DATOS'!$D$14-X293)/'INTRODUCIR DATOS'!$D$14)</f>
        <v>0.99098992553657472</v>
      </c>
      <c r="AA293" s="163"/>
      <c r="AB293" s="163"/>
      <c r="AC293" s="205"/>
      <c r="AD293" s="218"/>
      <c r="AE293" s="165"/>
      <c r="AF293" s="165"/>
      <c r="AG293" s="163"/>
      <c r="AH293" s="163"/>
      <c r="AI293" s="166"/>
      <c r="AJ293" s="173"/>
      <c r="AK293" s="165"/>
      <c r="AL293" s="165"/>
      <c r="AM293" s="163"/>
      <c r="AN293" s="163"/>
      <c r="AO293" s="166"/>
    </row>
    <row r="294" spans="23:41">
      <c r="W294" s="212" t="s">
        <v>211</v>
      </c>
      <c r="X294" s="217">
        <f>'PRECIOS CYE'!H25</f>
        <v>0</v>
      </c>
      <c r="Y294" s="163">
        <f>'PRECIOS CYE'!I25</f>
        <v>0</v>
      </c>
      <c r="Z294" s="163">
        <f>'PRECIOS CYE'!J25</f>
        <v>0</v>
      </c>
      <c r="AA294" s="163"/>
      <c r="AB294" s="163"/>
      <c r="AC294" s="205"/>
      <c r="AD294" s="217"/>
      <c r="AE294" s="163"/>
      <c r="AF294" s="163"/>
      <c r="AG294" s="163"/>
      <c r="AH294" s="163"/>
      <c r="AI294" s="166"/>
      <c r="AJ294" s="172"/>
      <c r="AK294" s="163"/>
      <c r="AL294" s="163"/>
      <c r="AM294" s="163"/>
      <c r="AN294" s="163"/>
      <c r="AO294" s="166"/>
    </row>
    <row r="295" spans="23:41">
      <c r="W295" s="212" t="s">
        <v>199</v>
      </c>
      <c r="X295" s="217">
        <f>'PRECIOS CYE'!H13</f>
        <v>0</v>
      </c>
      <c r="Y295" s="163">
        <f>'PRECIOS CYE'!I13</f>
        <v>0</v>
      </c>
      <c r="Z295" s="163">
        <f>'PRECIOS CYE'!J13</f>
        <v>0</v>
      </c>
      <c r="AA295" s="163"/>
      <c r="AB295" s="163"/>
      <c r="AC295" s="205"/>
      <c r="AD295" s="217"/>
      <c r="AE295" s="163"/>
      <c r="AF295" s="163"/>
      <c r="AG295" s="163"/>
      <c r="AH295" s="163"/>
      <c r="AI295" s="166"/>
      <c r="AJ295" s="172"/>
      <c r="AK295" s="163"/>
      <c r="AL295" s="163"/>
      <c r="AM295" s="163"/>
      <c r="AN295" s="163"/>
      <c r="AO295" s="166"/>
    </row>
    <row r="296" spans="23:41">
      <c r="W296" s="212"/>
      <c r="X296" s="218">
        <f>('INTRODUCIR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DATOS'!$D$17)+'INTRODUCIR DATOS'!$D$15+'INTRODUCIR DATOS'!$D$16+(('INTRODUCIR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DATOS'!$D$17)+'INTRODUCIR DATOS'!$D$16)*21/100</f>
        <v>1.0285</v>
      </c>
      <c r="Y296" s="165">
        <f>IF(X296=0,"",'INTRODUCIR DATOS'!$D$14-X296)</f>
        <v>113.12150000000001</v>
      </c>
      <c r="Z296" s="165">
        <f>IF(X296=0,"",('INTRODUCIR DATOS'!$D$14-X296)/'INTRODUCIR DATOS'!$D$14)</f>
        <v>0.99098992553657472</v>
      </c>
      <c r="AA296" s="163"/>
      <c r="AB296" s="163"/>
      <c r="AC296" s="205"/>
      <c r="AD296" s="218"/>
      <c r="AE296" s="165"/>
      <c r="AF296" s="165"/>
      <c r="AG296" s="163"/>
      <c r="AH296" s="163"/>
      <c r="AI296" s="166"/>
      <c r="AJ296" s="173"/>
      <c r="AK296" s="165"/>
      <c r="AL296" s="165"/>
      <c r="AM296" s="163"/>
      <c r="AN296" s="163"/>
      <c r="AO296" s="166"/>
    </row>
    <row r="297" spans="23:41">
      <c r="W297" s="212" t="s">
        <v>211</v>
      </c>
      <c r="X297" s="217">
        <f>'PRECIOS CYE'!H26</f>
        <v>0</v>
      </c>
      <c r="Y297" s="163">
        <f>'PRECIOS CYE'!I26</f>
        <v>0</v>
      </c>
      <c r="Z297" s="163">
        <f>'PRECIOS CYE'!J26</f>
        <v>0</v>
      </c>
      <c r="AA297" s="163"/>
      <c r="AB297" s="163"/>
      <c r="AC297" s="205"/>
      <c r="AD297" s="217"/>
      <c r="AE297" s="163"/>
      <c r="AF297" s="163"/>
      <c r="AG297" s="163"/>
      <c r="AH297" s="163"/>
      <c r="AI297" s="166"/>
      <c r="AJ297" s="172"/>
      <c r="AK297" s="163"/>
      <c r="AL297" s="163"/>
      <c r="AM297" s="163"/>
      <c r="AN297" s="163"/>
      <c r="AO297" s="166"/>
    </row>
    <row r="298" spans="23:41">
      <c r="W298" s="212" t="s">
        <v>200</v>
      </c>
      <c r="X298" s="217">
        <f>'PRECIOS CYE'!H13</f>
        <v>0</v>
      </c>
      <c r="Y298" s="163">
        <f>'PRECIOS CYE'!I13</f>
        <v>0</v>
      </c>
      <c r="Z298" s="163">
        <f>'PRECIOS CYE'!J13</f>
        <v>0</v>
      </c>
      <c r="AA298" s="163"/>
      <c r="AB298" s="163"/>
      <c r="AC298" s="205"/>
      <c r="AD298" s="217"/>
      <c r="AE298" s="163"/>
      <c r="AF298" s="163"/>
      <c r="AG298" s="163"/>
      <c r="AH298" s="163"/>
      <c r="AI298" s="166"/>
      <c r="AJ298" s="172"/>
      <c r="AK298" s="163"/>
      <c r="AL298" s="163"/>
      <c r="AM298" s="163"/>
      <c r="AN298" s="163"/>
      <c r="AO298" s="166"/>
    </row>
    <row r="299" spans="23:41">
      <c r="W299" s="212"/>
      <c r="X299" s="218">
        <f>('INTRODUCIR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DATOS'!$D$17)+'INTRODUCIR DATOS'!$D$15+'INTRODUCIR DATOS'!$D$16+(('INTRODUCIR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DATOS'!$D$17)+'INTRODUCIR DATOS'!$D$16)*21/100</f>
        <v>1.0285</v>
      </c>
      <c r="Y299" s="165">
        <f>IF(X299=0,"",'INTRODUCIR DATOS'!$D$14-X299)</f>
        <v>113.12150000000001</v>
      </c>
      <c r="Z299" s="165">
        <f>IF(X299=0,"",('INTRODUCIR DATOS'!$D$14-X299)/'INTRODUCIR DATOS'!$D$14)</f>
        <v>0.99098992553657472</v>
      </c>
      <c r="AA299" s="163"/>
      <c r="AB299" s="163"/>
      <c r="AC299" s="205"/>
      <c r="AD299" s="218"/>
      <c r="AE299" s="165"/>
      <c r="AF299" s="165"/>
      <c r="AG299" s="163"/>
      <c r="AH299" s="163"/>
      <c r="AI299" s="166"/>
      <c r="AJ299" s="173"/>
      <c r="AK299" s="165"/>
      <c r="AL299" s="165"/>
      <c r="AM299" s="163"/>
      <c r="AN299" s="163"/>
      <c r="AO299" s="166"/>
    </row>
    <row r="300" spans="23:41">
      <c r="W300" s="212" t="s">
        <v>212</v>
      </c>
      <c r="X300" s="218">
        <f>'PRECIOS CYE'!H18</f>
        <v>0</v>
      </c>
      <c r="Y300" s="164">
        <f>'PRECIOS CYE'!I18</f>
        <v>0</v>
      </c>
      <c r="Z300" s="164">
        <f>'PRECIOS CYE'!J18</f>
        <v>0</v>
      </c>
      <c r="AA300" s="164"/>
      <c r="AB300" s="164"/>
      <c r="AC300" s="219"/>
      <c r="AD300" s="218">
        <f>'PRECIOS CYE'!N18</f>
        <v>0</v>
      </c>
      <c r="AE300" s="164">
        <f>'PRECIOS CYE'!O18</f>
        <v>0</v>
      </c>
      <c r="AF300" s="164">
        <f>'PRECIOS CYE'!P18</f>
        <v>0</v>
      </c>
      <c r="AG300" s="164">
        <f>'PRECIOS CYE'!Q18</f>
        <v>0</v>
      </c>
      <c r="AH300" s="164">
        <f>'PRECIOS CYE'!R18</f>
        <v>0</v>
      </c>
      <c r="AI300" s="167">
        <f>'PRECIOS CYE'!S18</f>
        <v>0</v>
      </c>
      <c r="AJ300" s="173">
        <f>'PRECIOS CYE'!T18</f>
        <v>0</v>
      </c>
      <c r="AK300" s="164">
        <f>'PRECIOS CYE'!U18</f>
        <v>0</v>
      </c>
      <c r="AL300" s="164">
        <f>'PRECIOS CYE'!V18</f>
        <v>0</v>
      </c>
      <c r="AM300" s="164">
        <f>'PRECIOS CYE'!W18</f>
        <v>0</v>
      </c>
      <c r="AN300" s="164">
        <f>'PRECIOS CYE'!X18</f>
        <v>0</v>
      </c>
      <c r="AO300" s="167">
        <f>'PRECIOS CYE'!Y18</f>
        <v>0</v>
      </c>
    </row>
    <row r="301" spans="23:41">
      <c r="W301" s="212" t="s">
        <v>41</v>
      </c>
      <c r="X301" s="218">
        <f>'PRECIOS CYE'!H14</f>
        <v>0</v>
      </c>
      <c r="Y301" s="164">
        <f>'PRECIOS CYE'!I14</f>
        <v>0</v>
      </c>
      <c r="Z301" s="164">
        <f>'PRECIOS CYE'!J14</f>
        <v>0</v>
      </c>
      <c r="AA301" s="164"/>
      <c r="AB301" s="164"/>
      <c r="AC301" s="219"/>
      <c r="AD301" s="218">
        <f>'PRECIOS CYE'!N14</f>
        <v>0</v>
      </c>
      <c r="AE301" s="164">
        <f>'PRECIOS CYE'!O14</f>
        <v>0</v>
      </c>
      <c r="AF301" s="164">
        <f>'PRECIOS CYE'!P14</f>
        <v>0</v>
      </c>
      <c r="AG301" s="164">
        <f>'PRECIOS CYE'!Q14</f>
        <v>0</v>
      </c>
      <c r="AH301" s="164">
        <f>'PRECIOS CYE'!R14</f>
        <v>0</v>
      </c>
      <c r="AI301" s="167">
        <f>'PRECIOS CYE'!S14</f>
        <v>0</v>
      </c>
      <c r="AJ301" s="173">
        <f>'PRECIOS CYE'!T14</f>
        <v>0</v>
      </c>
      <c r="AK301" s="164">
        <f>'PRECIOS CYE'!U14</f>
        <v>0</v>
      </c>
      <c r="AL301" s="164">
        <f>'PRECIOS CYE'!V14</f>
        <v>0</v>
      </c>
      <c r="AM301" s="164">
        <f>'PRECIOS CYE'!W14</f>
        <v>0</v>
      </c>
      <c r="AN301" s="164">
        <f>'PRECIOS CYE'!X14</f>
        <v>0</v>
      </c>
      <c r="AO301" s="167">
        <f>'PRECIOS CYE'!Y14</f>
        <v>0</v>
      </c>
    </row>
    <row r="302" spans="23:41">
      <c r="W302" s="212"/>
      <c r="X302" s="218">
        <f>('INTRODUCIR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DATOS'!$D$17)+'INTRODUCIR DATOS'!$D$15+'INTRODUCIR DATOS'!$D$16+(('INTRODUCIR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DATOS'!$D$17)+'INTRODUCIR DATOS'!$D$16)*21/100</f>
        <v>1.0285</v>
      </c>
      <c r="Y302" s="165">
        <f>IF(X302=0,"",'INTRODUCIR DATOS'!$D$14-X302)</f>
        <v>113.12150000000001</v>
      </c>
      <c r="Z302" s="165">
        <f>IF(X302=0,"",('INTRODUCIR DATOS'!$D$14-X302)/'INTRODUCIR DATOS'!$D$14)</f>
        <v>0.99098992553657472</v>
      </c>
      <c r="AA302" s="163"/>
      <c r="AB302" s="163"/>
      <c r="AC302" s="205"/>
      <c r="AD302" s="218">
        <f>('INTRODUCIR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DATOS'!$D$17)+'INTRODUCIR DATOS'!$D$15+'INTRODUCIR DATOS'!$D$16+(('INTRODUCIR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DATOS'!$D$17)+'INTRODUCIR DATOS'!$D$16)*21/100</f>
        <v>1.0285</v>
      </c>
      <c r="AE302" s="165">
        <f>IF(AD302=0,"",'INTRODUCIR DATOS'!$D$14-AD302)</f>
        <v>113.12150000000001</v>
      </c>
      <c r="AF302" s="165">
        <f>IF(AD302=0,"",('INTRODUCIR DATOS'!$D$14-AD302)/'INTRODUCIR DATOS'!$D$14)</f>
        <v>0.99098992553657472</v>
      </c>
      <c r="AG302" s="163"/>
      <c r="AH302" s="163"/>
      <c r="AI302" s="166"/>
      <c r="AJ302" s="218">
        <f>('INTRODUCIR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DATOS'!$D$17)+'INTRODUCIR DATOS'!$D$15+'INTRODUCIR DATOS'!$D$16+(('INTRODUCIR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DATOS'!$D$17)+'INTRODUCIR DATOS'!$D$16)*21/100</f>
        <v>1.0285</v>
      </c>
      <c r="AK302" s="165">
        <f>IF(AJ302=0,"",'INTRODUCIR DATOS'!$D$14-AJ302)</f>
        <v>113.12150000000001</v>
      </c>
      <c r="AL302" s="165">
        <f>IF(AJ302=0,"",('INTRODUCIR DATOS'!$D$14-AJ302)/'INTRODUCIR DATOS'!$D$14)</f>
        <v>0.99098992553657472</v>
      </c>
      <c r="AM302" s="163"/>
      <c r="AN302" s="163"/>
      <c r="AO302" s="166"/>
    </row>
    <row r="303" spans="23:41">
      <c r="W303" s="212" t="s">
        <v>212</v>
      </c>
      <c r="X303" s="217">
        <f>'PRECIOS CYE'!H19</f>
        <v>0</v>
      </c>
      <c r="Y303" s="163">
        <f>'PRECIOS CYE'!I19</f>
        <v>0</v>
      </c>
      <c r="Z303" s="163">
        <f>'PRECIOS CYE'!J19</f>
        <v>0</v>
      </c>
      <c r="AA303" s="163"/>
      <c r="AB303" s="163"/>
      <c r="AC303" s="205"/>
      <c r="AD303" s="217">
        <f>'PRECIOS CYE'!N19</f>
        <v>0</v>
      </c>
      <c r="AE303" s="163">
        <f>'PRECIOS CYE'!O19</f>
        <v>0</v>
      </c>
      <c r="AF303" s="163">
        <f>'PRECIOS CYE'!P19</f>
        <v>0</v>
      </c>
      <c r="AG303" s="163">
        <f>'PRECIOS CYE'!Q19</f>
        <v>0</v>
      </c>
      <c r="AH303" s="163">
        <f>'PRECIOS CYE'!R19</f>
        <v>0</v>
      </c>
      <c r="AI303" s="166">
        <f>'PRECIOS CYE'!S19</f>
        <v>0</v>
      </c>
      <c r="AJ303" s="172">
        <f>'PRECIOS CYE'!T19</f>
        <v>0</v>
      </c>
      <c r="AK303" s="163">
        <f>'PRECIOS CYE'!U19</f>
        <v>0</v>
      </c>
      <c r="AL303" s="163">
        <f>'PRECIOS CYE'!V19</f>
        <v>0</v>
      </c>
      <c r="AM303" s="163">
        <f>'PRECIOS CYE'!W19</f>
        <v>0</v>
      </c>
      <c r="AN303" s="163">
        <f>'PRECIOS CYE'!X19</f>
        <v>0</v>
      </c>
      <c r="AO303" s="166">
        <f>'PRECIOS CYE'!Y19</f>
        <v>0</v>
      </c>
    </row>
    <row r="304" spans="23:41">
      <c r="W304" s="212" t="s">
        <v>115</v>
      </c>
      <c r="X304" s="217">
        <f>'PRECIOS CYE'!H14</f>
        <v>0</v>
      </c>
      <c r="Y304" s="163">
        <f>'PRECIOS CYE'!I14</f>
        <v>0</v>
      </c>
      <c r="Z304" s="163">
        <f>'PRECIOS CYE'!J14</f>
        <v>0</v>
      </c>
      <c r="AA304" s="163"/>
      <c r="AB304" s="163"/>
      <c r="AC304" s="205"/>
      <c r="AD304" s="217">
        <f>'PRECIOS CYE'!N14</f>
        <v>0</v>
      </c>
      <c r="AE304" s="163">
        <f>'PRECIOS CYE'!O14</f>
        <v>0</v>
      </c>
      <c r="AF304" s="163">
        <f>'PRECIOS CYE'!P14</f>
        <v>0</v>
      </c>
      <c r="AG304" s="163">
        <f>'PRECIOS CYE'!Q14</f>
        <v>0</v>
      </c>
      <c r="AH304" s="163">
        <f>'PRECIOS CYE'!R14</f>
        <v>0</v>
      </c>
      <c r="AI304" s="166">
        <f>'PRECIOS CYE'!S14</f>
        <v>0</v>
      </c>
      <c r="AJ304" s="172">
        <f>'PRECIOS CYE'!T14</f>
        <v>0</v>
      </c>
      <c r="AK304" s="163">
        <f>'PRECIOS CYE'!U14</f>
        <v>0</v>
      </c>
      <c r="AL304" s="163">
        <f>'PRECIOS CYE'!V14</f>
        <v>0</v>
      </c>
      <c r="AM304" s="163">
        <f>'PRECIOS CYE'!W14</f>
        <v>0</v>
      </c>
      <c r="AN304" s="163">
        <f>'PRECIOS CYE'!X14</f>
        <v>0</v>
      </c>
      <c r="AO304" s="166">
        <f>'PRECIOS CYE'!Y14</f>
        <v>0</v>
      </c>
    </row>
    <row r="305" spans="23:41">
      <c r="W305" s="212"/>
      <c r="X305" s="218">
        <f>('INTRODUCIR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DATOS'!$D$17)+'INTRODUCIR DATOS'!$D$15+'INTRODUCIR DATOS'!$D$16+(('INTRODUCIR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DATOS'!$D$17)+'INTRODUCIR DATOS'!$D$16)*21/100</f>
        <v>1.0285</v>
      </c>
      <c r="Y305" s="165">
        <f>IF(X305=0,"",'INTRODUCIR DATOS'!$D$14-X305)</f>
        <v>113.12150000000001</v>
      </c>
      <c r="Z305" s="165">
        <f>IF(X305=0,"",('INTRODUCIR DATOS'!$D$14-X305)/'INTRODUCIR DATOS'!$D$14)</f>
        <v>0.99098992553657472</v>
      </c>
      <c r="AA305" s="163"/>
      <c r="AB305" s="163"/>
      <c r="AC305" s="205"/>
      <c r="AD305" s="218">
        <f>('INTRODUCIR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DATOS'!$D$17)+'INTRODUCIR DATOS'!$D$15+'INTRODUCIR DATOS'!$D$16+(('INTRODUCIR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DATOS'!$D$17)+'INTRODUCIR DATOS'!$D$16)*21/100</f>
        <v>1.0285</v>
      </c>
      <c r="AE305" s="165">
        <f>IF(AD305=0,"",'INTRODUCIR DATOS'!$D$14-AD305)</f>
        <v>113.12150000000001</v>
      </c>
      <c r="AF305" s="165">
        <f>IF(AD305=0,"",('INTRODUCIR DATOS'!$D$14-AD305)/'INTRODUCIR DATOS'!$D$14)</f>
        <v>0.99098992553657472</v>
      </c>
      <c r="AG305" s="163"/>
      <c r="AH305" s="163"/>
      <c r="AI305" s="166"/>
      <c r="AJ305" s="218">
        <f>('INTRODUCIR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DATOS'!$D$17)+'INTRODUCIR DATOS'!$D$15+'INTRODUCIR DATOS'!$D$16+(('INTRODUCIR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DATOS'!$D$17)+'INTRODUCIR DATOS'!$D$16)*21/100</f>
        <v>1.0285</v>
      </c>
      <c r="AK305" s="165">
        <f>IF(AJ305=0,"",'INTRODUCIR DATOS'!$D$14-AJ305)</f>
        <v>113.12150000000001</v>
      </c>
      <c r="AL305" s="165">
        <f>IF(AJ305=0,"",('INTRODUCIR DATOS'!$D$14-AJ305)/'INTRODUCIR DATOS'!$D$14)</f>
        <v>0.99098992553657472</v>
      </c>
      <c r="AM305" s="163"/>
      <c r="AN305" s="163"/>
      <c r="AO305" s="166"/>
    </row>
    <row r="306" spans="23:41">
      <c r="W306" s="212" t="s">
        <v>212</v>
      </c>
      <c r="X306" s="217">
        <f>'PRECIOS CYE'!H20</f>
        <v>0</v>
      </c>
      <c r="Y306" s="163">
        <f>'PRECIOS CYE'!I20</f>
        <v>0</v>
      </c>
      <c r="Z306" s="163">
        <f>'PRECIOS CYE'!J20</f>
        <v>0</v>
      </c>
      <c r="AA306" s="163"/>
      <c r="AB306" s="163"/>
      <c r="AC306" s="205"/>
      <c r="AD306" s="217">
        <f>'PRECIOS CYE'!N20</f>
        <v>0</v>
      </c>
      <c r="AE306" s="163">
        <f>'PRECIOS CYE'!O20</f>
        <v>0</v>
      </c>
      <c r="AF306" s="163">
        <f>'PRECIOS CYE'!P20</f>
        <v>0</v>
      </c>
      <c r="AG306" s="163">
        <f>'PRECIOS CYE'!Q20</f>
        <v>0</v>
      </c>
      <c r="AH306" s="163">
        <f>'PRECIOS CYE'!R20</f>
        <v>0</v>
      </c>
      <c r="AI306" s="166">
        <f>'PRECIOS CYE'!S20</f>
        <v>0</v>
      </c>
      <c r="AJ306" s="172">
        <f>'PRECIOS CYE'!T20</f>
        <v>0</v>
      </c>
      <c r="AK306" s="163">
        <f>'PRECIOS CYE'!U20</f>
        <v>0</v>
      </c>
      <c r="AL306" s="163">
        <f>'PRECIOS CYE'!V20</f>
        <v>0</v>
      </c>
      <c r="AM306" s="163">
        <f>'PRECIOS CYE'!W20</f>
        <v>0</v>
      </c>
      <c r="AN306" s="163">
        <f>'PRECIOS CYE'!X20</f>
        <v>0</v>
      </c>
      <c r="AO306" s="166">
        <f>'PRECIOS CYE'!Y20</f>
        <v>0</v>
      </c>
    </row>
    <row r="307" spans="23:41">
      <c r="W307" s="212" t="s">
        <v>116</v>
      </c>
      <c r="X307" s="217">
        <f>'PRECIOS CYE'!H14</f>
        <v>0</v>
      </c>
      <c r="Y307" s="163">
        <f>'PRECIOS CYE'!I14</f>
        <v>0</v>
      </c>
      <c r="Z307" s="163">
        <f>'PRECIOS CYE'!J14</f>
        <v>0</v>
      </c>
      <c r="AA307" s="163"/>
      <c r="AB307" s="163"/>
      <c r="AC307" s="205"/>
      <c r="AD307" s="217">
        <f>'PRECIOS CYE'!N14</f>
        <v>0</v>
      </c>
      <c r="AE307" s="163">
        <f>'PRECIOS CYE'!O14</f>
        <v>0</v>
      </c>
      <c r="AF307" s="163">
        <f>'PRECIOS CYE'!P14</f>
        <v>0</v>
      </c>
      <c r="AG307" s="163">
        <f>'PRECIOS CYE'!Q14</f>
        <v>0</v>
      </c>
      <c r="AH307" s="163">
        <f>'PRECIOS CYE'!R14</f>
        <v>0</v>
      </c>
      <c r="AI307" s="166">
        <f>'PRECIOS CYE'!S14</f>
        <v>0</v>
      </c>
      <c r="AJ307" s="172">
        <f>'PRECIOS CYE'!T14</f>
        <v>0</v>
      </c>
      <c r="AK307" s="163">
        <f>'PRECIOS CYE'!U14</f>
        <v>0</v>
      </c>
      <c r="AL307" s="163">
        <f>'PRECIOS CYE'!V14</f>
        <v>0</v>
      </c>
      <c r="AM307" s="163">
        <f>'PRECIOS CYE'!W14</f>
        <v>0</v>
      </c>
      <c r="AN307" s="163">
        <f>'PRECIOS CYE'!X14</f>
        <v>0</v>
      </c>
      <c r="AO307" s="166">
        <f>'PRECIOS CYE'!Y14</f>
        <v>0</v>
      </c>
    </row>
    <row r="308" spans="23:41">
      <c r="W308" s="212"/>
      <c r="X308" s="218">
        <f>('INTRODUCIR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DATOS'!$D$17)+'INTRODUCIR DATOS'!$D$15+'INTRODUCIR DATOS'!$D$16+(('INTRODUCIR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DATOS'!$D$17)+'INTRODUCIR DATOS'!$D$16)*21/100</f>
        <v>1.0285</v>
      </c>
      <c r="Y308" s="165">
        <f>IF(X308=0,"",'INTRODUCIR DATOS'!$D$14-X308)</f>
        <v>113.12150000000001</v>
      </c>
      <c r="Z308" s="165">
        <f>IF(X308=0,"",('INTRODUCIR DATOS'!$D$14-X308)/'INTRODUCIR DATOS'!$D$14)</f>
        <v>0.99098992553657472</v>
      </c>
      <c r="AA308" s="163"/>
      <c r="AB308" s="163"/>
      <c r="AC308" s="205"/>
      <c r="AD308" s="218">
        <f>('INTRODUCIR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DATOS'!$D$17)+'INTRODUCIR DATOS'!$D$15+'INTRODUCIR DATOS'!$D$16+(('INTRODUCIR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DATOS'!$D$17)+'INTRODUCIR DATOS'!$D$16)*21/100</f>
        <v>1.0285</v>
      </c>
      <c r="AE308" s="165">
        <f>IF(AD308=0,"",'INTRODUCIR DATOS'!$D$14-AD308)</f>
        <v>113.12150000000001</v>
      </c>
      <c r="AF308" s="165">
        <f>IF(AD308=0,"",('INTRODUCIR DATOS'!$D$14-AD308)/'INTRODUCIR DATOS'!$D$14)</f>
        <v>0.99098992553657472</v>
      </c>
      <c r="AG308" s="163"/>
      <c r="AH308" s="163"/>
      <c r="AI308" s="166"/>
      <c r="AJ308" s="218">
        <f>('INTRODUCIR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DATOS'!$D$17)+'INTRODUCIR DATOS'!$D$15+'INTRODUCIR DATOS'!$D$16+(('INTRODUCIR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DATOS'!$D$17)+'INTRODUCIR DATOS'!$D$16)*21/100</f>
        <v>1.0285</v>
      </c>
      <c r="AK308" s="165">
        <f>IF(AJ308=0,"",'INTRODUCIR DATOS'!$D$14-AJ308)</f>
        <v>113.12150000000001</v>
      </c>
      <c r="AL308" s="165">
        <f>IF(AJ308=0,"",('INTRODUCIR DATOS'!$D$14-AJ308)/'INTRODUCIR DATOS'!$D$14)</f>
        <v>0.99098992553657472</v>
      </c>
      <c r="AM308" s="163"/>
      <c r="AN308" s="163"/>
      <c r="AO308" s="166"/>
    </row>
    <row r="309" spans="23:41">
      <c r="W309" s="212" t="s">
        <v>212</v>
      </c>
      <c r="X309" s="217">
        <f>'PRECIOS CYE'!H21</f>
        <v>0</v>
      </c>
      <c r="Y309" s="163">
        <f>'PRECIOS CYE'!I21</f>
        <v>0</v>
      </c>
      <c r="Z309" s="163">
        <f>'PRECIOS CYE'!J21</f>
        <v>0</v>
      </c>
      <c r="AA309" s="163"/>
      <c r="AB309" s="163"/>
      <c r="AC309" s="205"/>
      <c r="AD309" s="217">
        <f>'PRECIOS CYE'!N21</f>
        <v>0</v>
      </c>
      <c r="AE309" s="163">
        <f>'PRECIOS CYE'!O21</f>
        <v>0</v>
      </c>
      <c r="AF309" s="163">
        <f>'PRECIOS CYE'!P21</f>
        <v>0</v>
      </c>
      <c r="AG309" s="163">
        <f>'PRECIOS CYE'!Q21</f>
        <v>0</v>
      </c>
      <c r="AH309" s="163">
        <f>'PRECIOS CYE'!R21</f>
        <v>0</v>
      </c>
      <c r="AI309" s="166">
        <f>'PRECIOS CYE'!S21</f>
        <v>0</v>
      </c>
      <c r="AJ309" s="172">
        <f>'PRECIOS CYE'!T21</f>
        <v>0</v>
      </c>
      <c r="AK309" s="163">
        <f>'PRECIOS CYE'!U21</f>
        <v>0</v>
      </c>
      <c r="AL309" s="163">
        <f>'PRECIOS CYE'!V21</f>
        <v>0</v>
      </c>
      <c r="AM309" s="163">
        <f>'PRECIOS CYE'!W21</f>
        <v>0</v>
      </c>
      <c r="AN309" s="163">
        <f>'PRECIOS CYE'!X21</f>
        <v>0</v>
      </c>
      <c r="AO309" s="166">
        <f>'PRECIOS CYE'!Y21</f>
        <v>0</v>
      </c>
    </row>
    <row r="310" spans="23:41">
      <c r="W310" s="212" t="s">
        <v>60</v>
      </c>
      <c r="X310" s="217">
        <f>'PRECIOS CYE'!H14</f>
        <v>0</v>
      </c>
      <c r="Y310" s="163">
        <f>'PRECIOS CYE'!I14</f>
        <v>0</v>
      </c>
      <c r="Z310" s="163">
        <f>'PRECIOS CYE'!J14</f>
        <v>0</v>
      </c>
      <c r="AA310" s="163"/>
      <c r="AB310" s="163"/>
      <c r="AC310" s="205"/>
      <c r="AD310" s="217">
        <f>'PRECIOS CYE'!N14</f>
        <v>0</v>
      </c>
      <c r="AE310" s="163">
        <f>'PRECIOS CYE'!O14</f>
        <v>0</v>
      </c>
      <c r="AF310" s="163">
        <f>'PRECIOS CYE'!P14</f>
        <v>0</v>
      </c>
      <c r="AG310" s="163">
        <f>'PRECIOS CYE'!Q14</f>
        <v>0</v>
      </c>
      <c r="AH310" s="163">
        <f>'PRECIOS CYE'!R14</f>
        <v>0</v>
      </c>
      <c r="AI310" s="166">
        <f>'PRECIOS CYE'!S14</f>
        <v>0</v>
      </c>
      <c r="AJ310" s="172">
        <f>'PRECIOS CYE'!T14</f>
        <v>0</v>
      </c>
      <c r="AK310" s="163">
        <f>'PRECIOS CYE'!U14</f>
        <v>0</v>
      </c>
      <c r="AL310" s="163">
        <f>'PRECIOS CYE'!V14</f>
        <v>0</v>
      </c>
      <c r="AM310" s="163">
        <f>'PRECIOS CYE'!W14</f>
        <v>0</v>
      </c>
      <c r="AN310" s="163">
        <f>'PRECIOS CYE'!X14</f>
        <v>0</v>
      </c>
      <c r="AO310" s="166">
        <f>'PRECIOS CYE'!Y14</f>
        <v>0</v>
      </c>
    </row>
    <row r="311" spans="23:41">
      <c r="W311" s="212"/>
      <c r="X311" s="218">
        <f>('INTRODUCIR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DATOS'!$D$17)+'INTRODUCIR DATOS'!$D$15+'INTRODUCIR DATOS'!$D$16+(('INTRODUCIR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DATOS'!$D$17)+'INTRODUCIR DATOS'!$D$16)*21/100</f>
        <v>1.0285</v>
      </c>
      <c r="Y311" s="165">
        <f>IF(X311=0,"",'INTRODUCIR DATOS'!$D$14-X311)</f>
        <v>113.12150000000001</v>
      </c>
      <c r="Z311" s="165">
        <f>IF(X311=0,"",('INTRODUCIR DATOS'!$D$14-X311)/'INTRODUCIR DATOS'!$D$14)</f>
        <v>0.99098992553657472</v>
      </c>
      <c r="AA311" s="163"/>
      <c r="AB311" s="163"/>
      <c r="AC311" s="205"/>
      <c r="AD311" s="218">
        <f>('INTRODUCIR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DATOS'!$D$17)+'INTRODUCIR DATOS'!$D$15+'INTRODUCIR DATOS'!$D$16+(('INTRODUCIR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DATOS'!$D$17)+'INTRODUCIR DATOS'!$D$16)*21/100</f>
        <v>1.0285</v>
      </c>
      <c r="AE311" s="165">
        <f>IF(AD311=0,"",'INTRODUCIR DATOS'!$D$14-AD311)</f>
        <v>113.12150000000001</v>
      </c>
      <c r="AF311" s="165">
        <f>IF(AD311=0,"",('INTRODUCIR DATOS'!$D$14-AD311)/'INTRODUCIR DATOS'!$D$14)</f>
        <v>0.99098992553657472</v>
      </c>
      <c r="AG311" s="163"/>
      <c r="AH311" s="163"/>
      <c r="AI311" s="166"/>
      <c r="AJ311" s="218">
        <f>('INTRODUCIR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DATOS'!$D$17)+'INTRODUCIR DATOS'!$D$15+'INTRODUCIR DATOS'!$D$16+(('INTRODUCIR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DATOS'!$D$17)+'INTRODUCIR DATOS'!$D$16)*21/100</f>
        <v>1.0285</v>
      </c>
      <c r="AK311" s="165">
        <f>IF(AJ311=0,"",'INTRODUCIR DATOS'!$D$14-AJ311)</f>
        <v>113.12150000000001</v>
      </c>
      <c r="AL311" s="165">
        <f>IF(AJ311=0,"",('INTRODUCIR DATOS'!$D$14-AJ311)/'INTRODUCIR DATOS'!$D$14)</f>
        <v>0.99098992553657472</v>
      </c>
      <c r="AM311" s="163"/>
      <c r="AN311" s="163"/>
      <c r="AO311" s="166"/>
    </row>
    <row r="312" spans="23:41">
      <c r="W312" s="212" t="s">
        <v>212</v>
      </c>
      <c r="X312" s="217">
        <f>'PRECIOS CYE'!H22</f>
        <v>0</v>
      </c>
      <c r="Y312" s="163">
        <f>'PRECIOS CYE'!I22</f>
        <v>0</v>
      </c>
      <c r="Z312" s="163">
        <f>'PRECIOS CYE'!J22</f>
        <v>0</v>
      </c>
      <c r="AA312" s="163"/>
      <c r="AB312" s="163"/>
      <c r="AC312" s="205"/>
      <c r="AD312" s="217">
        <f>'PRECIOS CYE'!N22</f>
        <v>0</v>
      </c>
      <c r="AE312" s="163">
        <f>'PRECIOS CYE'!O22</f>
        <v>0</v>
      </c>
      <c r="AF312" s="163">
        <f>'PRECIOS CYE'!P22</f>
        <v>0</v>
      </c>
      <c r="AG312" s="163">
        <f>'PRECIOS CYE'!Q22</f>
        <v>0</v>
      </c>
      <c r="AH312" s="163">
        <f>'PRECIOS CYE'!R22</f>
        <v>0</v>
      </c>
      <c r="AI312" s="166">
        <f>'PRECIOS CYE'!S22</f>
        <v>0</v>
      </c>
      <c r="AJ312" s="172">
        <f>'PRECIOS CYE'!T22</f>
        <v>0</v>
      </c>
      <c r="AK312" s="163">
        <f>'PRECIOS CYE'!U22</f>
        <v>0</v>
      </c>
      <c r="AL312" s="163">
        <f>'PRECIOS CYE'!V22</f>
        <v>0</v>
      </c>
      <c r="AM312" s="163">
        <f>'PRECIOS CYE'!W22</f>
        <v>0</v>
      </c>
      <c r="AN312" s="163">
        <f>'PRECIOS CYE'!X22</f>
        <v>0</v>
      </c>
      <c r="AO312" s="166">
        <f>'PRECIOS CYE'!Y22</f>
        <v>0</v>
      </c>
    </row>
    <row r="313" spans="23:41">
      <c r="W313" s="212" t="s">
        <v>62</v>
      </c>
      <c r="X313" s="217">
        <f>'PRECIOS CYE'!H14</f>
        <v>0</v>
      </c>
      <c r="Y313" s="163">
        <f>'PRECIOS CYE'!I14</f>
        <v>0</v>
      </c>
      <c r="Z313" s="163">
        <f>'PRECIOS CYE'!J14</f>
        <v>0</v>
      </c>
      <c r="AA313" s="163"/>
      <c r="AB313" s="163"/>
      <c r="AC313" s="205"/>
      <c r="AD313" s="217">
        <f>'PRECIOS CYE'!N14</f>
        <v>0</v>
      </c>
      <c r="AE313" s="163">
        <f>'PRECIOS CYE'!O14</f>
        <v>0</v>
      </c>
      <c r="AF313" s="163">
        <f>'PRECIOS CYE'!P14</f>
        <v>0</v>
      </c>
      <c r="AG313" s="163">
        <f>'PRECIOS CYE'!Q14</f>
        <v>0</v>
      </c>
      <c r="AH313" s="163">
        <f>'PRECIOS CYE'!R14</f>
        <v>0</v>
      </c>
      <c r="AI313" s="166">
        <f>'PRECIOS CYE'!S14</f>
        <v>0</v>
      </c>
      <c r="AJ313" s="172">
        <f>'PRECIOS CYE'!T14</f>
        <v>0</v>
      </c>
      <c r="AK313" s="163">
        <f>'PRECIOS CYE'!U14</f>
        <v>0</v>
      </c>
      <c r="AL313" s="163">
        <f>'PRECIOS CYE'!V14</f>
        <v>0</v>
      </c>
      <c r="AM313" s="163">
        <f>'PRECIOS CYE'!W14</f>
        <v>0</v>
      </c>
      <c r="AN313" s="163">
        <f>'PRECIOS CYE'!X14</f>
        <v>0</v>
      </c>
      <c r="AO313" s="166">
        <f>'PRECIOS CYE'!Y14</f>
        <v>0</v>
      </c>
    </row>
    <row r="314" spans="23:41">
      <c r="W314" s="212"/>
      <c r="X314" s="218">
        <f>('INTRODUCIR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DATOS'!$D$17)+'INTRODUCIR DATOS'!$D$15+'INTRODUCIR DATOS'!$D$16+(('INTRODUCIR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DATOS'!$D$17)+'INTRODUCIR DATOS'!$D$16)*21/100</f>
        <v>1.0285</v>
      </c>
      <c r="Y314" s="165">
        <f>IF(X314=0,"",'INTRODUCIR DATOS'!$D$14-X314)</f>
        <v>113.12150000000001</v>
      </c>
      <c r="Z314" s="165">
        <f>IF(X314=0,"",('INTRODUCIR DATOS'!$D$14-X314)/'INTRODUCIR DATOS'!$D$14)</f>
        <v>0.99098992553657472</v>
      </c>
      <c r="AA314" s="163"/>
      <c r="AB314" s="163"/>
      <c r="AC314" s="205"/>
      <c r="AD314" s="218">
        <f>('INTRODUCIR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DATOS'!$D$17)+'INTRODUCIR DATOS'!$D$15+'INTRODUCIR DATOS'!$D$16+(('INTRODUCIR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DATOS'!$D$17)+'INTRODUCIR DATOS'!$D$16)*21/100</f>
        <v>1.0285</v>
      </c>
      <c r="AE314" s="165">
        <f>IF(AD314=0,"",'INTRODUCIR DATOS'!$D$14-AD314)</f>
        <v>113.12150000000001</v>
      </c>
      <c r="AF314" s="165">
        <f>IF(AD314=0,"",('INTRODUCIR DATOS'!$D$14-AD314)/'INTRODUCIR DATOS'!$D$14)</f>
        <v>0.99098992553657472</v>
      </c>
      <c r="AG314" s="163"/>
      <c r="AH314" s="163"/>
      <c r="AI314" s="166"/>
      <c r="AJ314" s="218">
        <f>('INTRODUCIR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DATOS'!$D$17)+'INTRODUCIR DATOS'!$D$15+'INTRODUCIR DATOS'!$D$16+(('INTRODUCIR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DATOS'!$D$17)+'INTRODUCIR DATOS'!$D$16)*21/100</f>
        <v>1.0285</v>
      </c>
      <c r="AK314" s="165">
        <f>IF(AJ314=0,"",'INTRODUCIR DATOS'!$D$14-AJ314)</f>
        <v>113.12150000000001</v>
      </c>
      <c r="AL314" s="165">
        <f>IF(AJ314=0,"",('INTRODUCIR DATOS'!$D$14-AJ314)/'INTRODUCIR DATOS'!$D$14)</f>
        <v>0.99098992553657472</v>
      </c>
      <c r="AM314" s="163"/>
      <c r="AN314" s="163"/>
      <c r="AO314" s="166"/>
    </row>
    <row r="315" spans="23:41">
      <c r="W315" s="212" t="s">
        <v>212</v>
      </c>
      <c r="X315" s="217">
        <f>'PRECIOS CYE'!H23</f>
        <v>0</v>
      </c>
      <c r="Y315" s="163">
        <f>'PRECIOS CYE'!I23</f>
        <v>0</v>
      </c>
      <c r="Z315" s="163">
        <f>'PRECIOS CYE'!J23</f>
        <v>0</v>
      </c>
      <c r="AA315" s="163"/>
      <c r="AB315" s="163"/>
      <c r="AC315" s="205"/>
      <c r="AD315" s="217"/>
      <c r="AE315" s="163"/>
      <c r="AF315" s="163"/>
      <c r="AG315" s="163"/>
      <c r="AH315" s="163"/>
      <c r="AI315" s="166"/>
      <c r="AJ315" s="172"/>
      <c r="AK315" s="163"/>
      <c r="AL315" s="163"/>
      <c r="AM315" s="163"/>
      <c r="AN315" s="163"/>
      <c r="AO315" s="166"/>
    </row>
    <row r="316" spans="23:41">
      <c r="W316" s="212" t="s">
        <v>63</v>
      </c>
      <c r="X316" s="217">
        <f>'PRECIOS CYE'!H14</f>
        <v>0</v>
      </c>
      <c r="Y316" s="163">
        <f>'PRECIOS CYE'!I14</f>
        <v>0</v>
      </c>
      <c r="Z316" s="163">
        <f>'PRECIOS CYE'!J14</f>
        <v>0</v>
      </c>
      <c r="AA316" s="163"/>
      <c r="AB316" s="163"/>
      <c r="AC316" s="205"/>
      <c r="AD316" s="217"/>
      <c r="AE316" s="163"/>
      <c r="AF316" s="163"/>
      <c r="AG316" s="163"/>
      <c r="AH316" s="163"/>
      <c r="AI316" s="166"/>
      <c r="AJ316" s="172"/>
      <c r="AK316" s="163"/>
      <c r="AL316" s="163"/>
      <c r="AM316" s="163"/>
      <c r="AN316" s="163"/>
      <c r="AO316" s="166"/>
    </row>
    <row r="317" spans="23:41">
      <c r="W317" s="212"/>
      <c r="X317" s="218">
        <f>('INTRODUCIR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DATOS'!$D$17)+'INTRODUCIR DATOS'!$D$15+'INTRODUCIR DATOS'!$D$16+(('INTRODUCIR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DATOS'!$D$17)+'INTRODUCIR DATOS'!$D$16)*21/100</f>
        <v>1.0285</v>
      </c>
      <c r="Y317" s="165">
        <f>IF(X317=0,"",'INTRODUCIR DATOS'!$D$14-X317)</f>
        <v>113.12150000000001</v>
      </c>
      <c r="Z317" s="165">
        <f>IF(X317=0,"",('INTRODUCIR DATOS'!$D$14-X317)/'INTRODUCIR DATOS'!$D$14)</f>
        <v>0.99098992553657472</v>
      </c>
      <c r="AA317" s="163"/>
      <c r="AB317" s="163"/>
      <c r="AC317" s="205"/>
      <c r="AD317" s="218"/>
      <c r="AE317" s="165"/>
      <c r="AF317" s="165"/>
      <c r="AG317" s="163"/>
      <c r="AH317" s="163"/>
      <c r="AI317" s="166"/>
      <c r="AJ317" s="173"/>
      <c r="AK317" s="165"/>
      <c r="AL317" s="165"/>
      <c r="AM317" s="163"/>
      <c r="AN317" s="163"/>
      <c r="AO317" s="166"/>
    </row>
    <row r="318" spans="23:41">
      <c r="W318" s="212" t="s">
        <v>212</v>
      </c>
      <c r="X318" s="217">
        <f>'PRECIOS CYE'!H24</f>
        <v>0</v>
      </c>
      <c r="Y318" s="163">
        <f>'PRECIOS CYE'!I24</f>
        <v>0</v>
      </c>
      <c r="Z318" s="163">
        <f>'PRECIOS CYE'!J24</f>
        <v>0</v>
      </c>
      <c r="AA318" s="163"/>
      <c r="AB318" s="163"/>
      <c r="AC318" s="205"/>
      <c r="AD318" s="217"/>
      <c r="AE318" s="163"/>
      <c r="AF318" s="163"/>
      <c r="AG318" s="163"/>
      <c r="AH318" s="163"/>
      <c r="AI318" s="166"/>
      <c r="AJ318" s="172"/>
      <c r="AK318" s="163"/>
      <c r="AL318" s="163"/>
      <c r="AM318" s="163"/>
      <c r="AN318" s="163"/>
      <c r="AO318" s="166"/>
    </row>
    <row r="319" spans="23:41">
      <c r="W319" s="212" t="s">
        <v>65</v>
      </c>
      <c r="X319" s="217">
        <f>'PRECIOS CYE'!H14</f>
        <v>0</v>
      </c>
      <c r="Y319" s="163">
        <f>'PRECIOS CYE'!I14</f>
        <v>0</v>
      </c>
      <c r="Z319" s="163">
        <f>'PRECIOS CYE'!J14</f>
        <v>0</v>
      </c>
      <c r="AA319" s="163"/>
      <c r="AB319" s="163"/>
      <c r="AC319" s="205"/>
      <c r="AD319" s="217"/>
      <c r="AE319" s="163"/>
      <c r="AF319" s="163"/>
      <c r="AG319" s="163"/>
      <c r="AH319" s="163"/>
      <c r="AI319" s="166"/>
      <c r="AJ319" s="172"/>
      <c r="AK319" s="163"/>
      <c r="AL319" s="163"/>
      <c r="AM319" s="163"/>
      <c r="AN319" s="163"/>
      <c r="AO319" s="166"/>
    </row>
    <row r="320" spans="23:41">
      <c r="W320" s="212"/>
      <c r="X320" s="218">
        <f>('INTRODUCIR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DATOS'!$D$17)+'INTRODUCIR DATOS'!$D$15+'INTRODUCIR DATOS'!$D$16+(('INTRODUCIR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DATOS'!$D$17)+'INTRODUCIR DATOS'!$D$16)*21/100</f>
        <v>1.0285</v>
      </c>
      <c r="Y320" s="165">
        <f>IF(X320=0,"",'INTRODUCIR DATOS'!$D$14-X320)</f>
        <v>113.12150000000001</v>
      </c>
      <c r="Z320" s="165">
        <f>IF(X320=0,"",('INTRODUCIR DATOS'!$D$14-X320)/'INTRODUCIR DATOS'!$D$14)</f>
        <v>0.99098992553657472</v>
      </c>
      <c r="AA320" s="163"/>
      <c r="AB320" s="163"/>
      <c r="AC320" s="205"/>
      <c r="AD320" s="218"/>
      <c r="AE320" s="165"/>
      <c r="AF320" s="165"/>
      <c r="AG320" s="163"/>
      <c r="AH320" s="163"/>
      <c r="AI320" s="166"/>
      <c r="AJ320" s="173"/>
      <c r="AK320" s="165"/>
      <c r="AL320" s="165"/>
      <c r="AM320" s="163"/>
      <c r="AN320" s="163"/>
      <c r="AO320" s="166"/>
    </row>
    <row r="321" spans="23:41">
      <c r="W321" s="212" t="s">
        <v>212</v>
      </c>
      <c r="X321" s="217">
        <f>'PRECIOS CYE'!H25</f>
        <v>0</v>
      </c>
      <c r="Y321" s="163">
        <f>'PRECIOS CYE'!I25</f>
        <v>0</v>
      </c>
      <c r="Z321" s="163">
        <f>'PRECIOS CYE'!J25</f>
        <v>0</v>
      </c>
      <c r="AA321" s="163"/>
      <c r="AB321" s="163"/>
      <c r="AC321" s="205"/>
      <c r="AD321" s="217"/>
      <c r="AE321" s="163"/>
      <c r="AF321" s="163"/>
      <c r="AG321" s="163"/>
      <c r="AH321" s="163"/>
      <c r="AI321" s="166"/>
      <c r="AJ321" s="172"/>
      <c r="AK321" s="163"/>
      <c r="AL321" s="163"/>
      <c r="AM321" s="163"/>
      <c r="AN321" s="163"/>
      <c r="AO321" s="166"/>
    </row>
    <row r="322" spans="23:41">
      <c r="W322" s="212" t="s">
        <v>199</v>
      </c>
      <c r="X322" s="217">
        <f>'PRECIOS CYE'!H14</f>
        <v>0</v>
      </c>
      <c r="Y322" s="163">
        <f>'PRECIOS CYE'!I14</f>
        <v>0</v>
      </c>
      <c r="Z322" s="163">
        <f>'PRECIOS CYE'!J14</f>
        <v>0</v>
      </c>
      <c r="AA322" s="163"/>
      <c r="AB322" s="163"/>
      <c r="AC322" s="205"/>
      <c r="AD322" s="217"/>
      <c r="AE322" s="163"/>
      <c r="AF322" s="163"/>
      <c r="AG322" s="163"/>
      <c r="AH322" s="163"/>
      <c r="AI322" s="166"/>
      <c r="AJ322" s="172"/>
      <c r="AK322" s="163"/>
      <c r="AL322" s="163"/>
      <c r="AM322" s="163"/>
      <c r="AN322" s="163"/>
      <c r="AO322" s="166"/>
    </row>
    <row r="323" spans="23:41">
      <c r="W323" s="212"/>
      <c r="X323" s="218">
        <f>('INTRODUCIR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DATOS'!$D$17)+'INTRODUCIR DATOS'!$D$15+'INTRODUCIR DATOS'!$D$16+(('INTRODUCIR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DATOS'!$D$17)+'INTRODUCIR DATOS'!$D$16)*21/100</f>
        <v>1.0285</v>
      </c>
      <c r="Y323" s="165">
        <f>IF(X323=0,"",'INTRODUCIR DATOS'!$D$14-X323)</f>
        <v>113.12150000000001</v>
      </c>
      <c r="Z323" s="165">
        <f>IF(X323=0,"",('INTRODUCIR DATOS'!$D$14-X323)/'INTRODUCIR DATOS'!$D$14)</f>
        <v>0.99098992553657472</v>
      </c>
      <c r="AA323" s="163"/>
      <c r="AB323" s="163"/>
      <c r="AC323" s="205"/>
      <c r="AD323" s="218"/>
      <c r="AE323" s="165"/>
      <c r="AF323" s="165"/>
      <c r="AG323" s="163"/>
      <c r="AH323" s="163"/>
      <c r="AI323" s="166"/>
      <c r="AJ323" s="173"/>
      <c r="AK323" s="165"/>
      <c r="AL323" s="165"/>
      <c r="AM323" s="163"/>
      <c r="AN323" s="163"/>
      <c r="AO323" s="166"/>
    </row>
    <row r="324" spans="23:41">
      <c r="W324" s="212" t="s">
        <v>212</v>
      </c>
      <c r="X324" s="217">
        <f>'PRECIOS CYE'!H26</f>
        <v>0</v>
      </c>
      <c r="Y324" s="163">
        <f>'PRECIOS CYE'!I26</f>
        <v>0</v>
      </c>
      <c r="Z324" s="163">
        <f>'PRECIOS CYE'!J26</f>
        <v>0</v>
      </c>
      <c r="AA324" s="163"/>
      <c r="AB324" s="163"/>
      <c r="AC324" s="205"/>
      <c r="AD324" s="217"/>
      <c r="AE324" s="163"/>
      <c r="AF324" s="163"/>
      <c r="AG324" s="163"/>
      <c r="AH324" s="163"/>
      <c r="AI324" s="166"/>
      <c r="AJ324" s="172"/>
      <c r="AK324" s="163"/>
      <c r="AL324" s="163"/>
      <c r="AM324" s="163"/>
      <c r="AN324" s="163"/>
      <c r="AO324" s="166"/>
    </row>
    <row r="325" spans="23:41">
      <c r="W325" s="212" t="s">
        <v>200</v>
      </c>
      <c r="X325" s="217">
        <f>'PRECIOS CYE'!H14</f>
        <v>0</v>
      </c>
      <c r="Y325" s="163">
        <f>'PRECIOS CYE'!I14</f>
        <v>0</v>
      </c>
      <c r="Z325" s="163">
        <f>'PRECIOS CYE'!J14</f>
        <v>0</v>
      </c>
      <c r="AA325" s="163"/>
      <c r="AB325" s="163"/>
      <c r="AC325" s="205"/>
      <c r="AD325" s="217"/>
      <c r="AE325" s="163"/>
      <c r="AF325" s="163"/>
      <c r="AG325" s="163"/>
      <c r="AH325" s="163"/>
      <c r="AI325" s="166"/>
      <c r="AJ325" s="172"/>
      <c r="AK325" s="163"/>
      <c r="AL325" s="163"/>
      <c r="AM325" s="163"/>
      <c r="AN325" s="163"/>
      <c r="AO325" s="166"/>
    </row>
    <row r="326" spans="23:41">
      <c r="W326" s="212"/>
      <c r="X326" s="218">
        <f>('INTRODUCIR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DATOS'!$D$17)+'INTRODUCIR DATOS'!$D$15+'INTRODUCIR DATOS'!$D$16+(('INTRODUCIR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DATOS'!$D$17)+'INTRODUCIR DATOS'!$D$16)*21/100</f>
        <v>1.0285</v>
      </c>
      <c r="Y326" s="165">
        <f>IF(X326=0,"",'INTRODUCIR DATOS'!$D$14-X326)</f>
        <v>113.12150000000001</v>
      </c>
      <c r="Z326" s="165">
        <f>IF(X326=0,"",('INTRODUCIR DATOS'!$D$14-X326)/'INTRODUCIR DATOS'!$D$14)</f>
        <v>0.99098992553657472</v>
      </c>
      <c r="AA326" s="163"/>
      <c r="AB326" s="163"/>
      <c r="AC326" s="205"/>
      <c r="AD326" s="218"/>
      <c r="AE326" s="165"/>
      <c r="AF326" s="165"/>
      <c r="AG326" s="163"/>
      <c r="AH326" s="163"/>
      <c r="AI326" s="166"/>
      <c r="AJ326" s="173"/>
      <c r="AK326" s="165"/>
      <c r="AL326" s="165"/>
      <c r="AM326" s="163"/>
      <c r="AN326" s="163"/>
      <c r="AO326" s="166"/>
    </row>
    <row r="327" spans="23:41">
      <c r="W327" s="212" t="s">
        <v>213</v>
      </c>
      <c r="X327" s="218">
        <f>'PRECIOS CYE'!H18</f>
        <v>0</v>
      </c>
      <c r="Y327" s="164">
        <f>'PRECIOS CYE'!I18</f>
        <v>0</v>
      </c>
      <c r="Z327" s="164">
        <f>'PRECIOS CYE'!J18</f>
        <v>0</v>
      </c>
      <c r="AA327" s="164"/>
      <c r="AB327" s="164"/>
      <c r="AC327" s="219"/>
      <c r="AD327" s="218">
        <f>'PRECIOS CYE'!N18</f>
        <v>0</v>
      </c>
      <c r="AE327" s="164">
        <f>'PRECIOS CYE'!O18</f>
        <v>0</v>
      </c>
      <c r="AF327" s="164">
        <f>'PRECIOS CYE'!P18</f>
        <v>0</v>
      </c>
      <c r="AG327" s="164">
        <f>'PRECIOS CYE'!Q18</f>
        <v>0</v>
      </c>
      <c r="AH327" s="164">
        <f>'PRECIOS CYE'!R18</f>
        <v>0</v>
      </c>
      <c r="AI327" s="167">
        <f>'PRECIOS CYE'!S18</f>
        <v>0</v>
      </c>
      <c r="AJ327" s="173">
        <f>'PRECIOS CYE'!T18</f>
        <v>0</v>
      </c>
      <c r="AK327" s="164">
        <f>'PRECIOS CYE'!U18</f>
        <v>0</v>
      </c>
      <c r="AL327" s="164">
        <f>'PRECIOS CYE'!V18</f>
        <v>0</v>
      </c>
      <c r="AM327" s="164">
        <f>'PRECIOS CYE'!W18</f>
        <v>0</v>
      </c>
      <c r="AN327" s="164">
        <f>'PRECIOS CYE'!X18</f>
        <v>0</v>
      </c>
      <c r="AO327" s="167">
        <f>'PRECIOS CYE'!Y18</f>
        <v>0</v>
      </c>
    </row>
    <row r="328" spans="23:41">
      <c r="W328" s="212" t="s">
        <v>41</v>
      </c>
      <c r="X328" s="218">
        <f>'PRECIOS CYE'!H15</f>
        <v>0</v>
      </c>
      <c r="Y328" s="164">
        <f>'PRECIOS CYE'!I15</f>
        <v>0</v>
      </c>
      <c r="Z328" s="164">
        <f>'PRECIOS CYE'!J15</f>
        <v>0</v>
      </c>
      <c r="AA328" s="164"/>
      <c r="AB328" s="164"/>
      <c r="AC328" s="219"/>
      <c r="AD328" s="218">
        <f>'PRECIOS CYE'!N15</f>
        <v>0</v>
      </c>
      <c r="AE328" s="164">
        <f>'PRECIOS CYE'!O15</f>
        <v>0</v>
      </c>
      <c r="AF328" s="164">
        <f>'PRECIOS CYE'!P15</f>
        <v>0</v>
      </c>
      <c r="AG328" s="164">
        <f>'PRECIOS CYE'!Q15</f>
        <v>0</v>
      </c>
      <c r="AH328" s="164">
        <f>'PRECIOS CYE'!R15</f>
        <v>0</v>
      </c>
      <c r="AI328" s="167">
        <f>'PRECIOS CYE'!S15</f>
        <v>0</v>
      </c>
      <c r="AJ328" s="173">
        <f>'PRECIOS CYE'!T15</f>
        <v>0</v>
      </c>
      <c r="AK328" s="164">
        <f>'PRECIOS CYE'!U15</f>
        <v>0</v>
      </c>
      <c r="AL328" s="164">
        <f>'PRECIOS CYE'!V15</f>
        <v>0</v>
      </c>
      <c r="AM328" s="164">
        <f>'PRECIOS CYE'!W15</f>
        <v>0</v>
      </c>
      <c r="AN328" s="164">
        <f>'PRECIOS CYE'!X15</f>
        <v>0</v>
      </c>
      <c r="AO328" s="167">
        <f>'PRECIOS CYE'!Y15</f>
        <v>0</v>
      </c>
    </row>
    <row r="329" spans="23:41">
      <c r="W329" s="212"/>
      <c r="X329" s="218">
        <f>('INTRODUCIR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DATOS'!$D$17)+'INTRODUCIR DATOS'!$D$15+'INTRODUCIR DATOS'!$D$16+(('INTRODUCIR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DATOS'!$D$17)+'INTRODUCIR DATOS'!$D$16)*21/100</f>
        <v>1.0285</v>
      </c>
      <c r="Y329" s="165">
        <f>IF(X329=0,"",'INTRODUCIR DATOS'!$D$14-X329)</f>
        <v>113.12150000000001</v>
      </c>
      <c r="Z329" s="165">
        <f>IF(X329=0,"",('INTRODUCIR DATOS'!$D$14-X329)/'INTRODUCIR DATOS'!$D$14)</f>
        <v>0.99098992553657472</v>
      </c>
      <c r="AA329" s="163"/>
      <c r="AB329" s="163"/>
      <c r="AC329" s="205"/>
      <c r="AD329" s="218">
        <f>('INTRODUCIR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DATOS'!$D$17)+'INTRODUCIR DATOS'!$D$15+'INTRODUCIR DATOS'!$D$16+(('INTRODUCIR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DATOS'!$D$17)+'INTRODUCIR DATOS'!$D$16)*21/100</f>
        <v>1.0285</v>
      </c>
      <c r="AE329" s="165">
        <f>IF(AD329=0,"",'INTRODUCIR DATOS'!$D$14-AD329)</f>
        <v>113.12150000000001</v>
      </c>
      <c r="AF329" s="165">
        <f>IF(AD329=0,"",('INTRODUCIR DATOS'!$D$14-AD329)/'INTRODUCIR DATOS'!$D$14)</f>
        <v>0.99098992553657472</v>
      </c>
      <c r="AG329" s="163"/>
      <c r="AH329" s="163"/>
      <c r="AI329" s="166"/>
      <c r="AJ329" s="218">
        <f>('INTRODUCIR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DATOS'!$D$17)+'INTRODUCIR DATOS'!$D$15+'INTRODUCIR DATOS'!$D$16+(('INTRODUCIR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DATOS'!$D$17)+'INTRODUCIR DATOS'!$D$16)*21/100</f>
        <v>1.0285</v>
      </c>
      <c r="AK329" s="165">
        <f>IF(AJ329=0,"",'INTRODUCIR DATOS'!$D$14-AJ329)</f>
        <v>113.12150000000001</v>
      </c>
      <c r="AL329" s="165">
        <f>IF(AJ329=0,"",('INTRODUCIR DATOS'!$D$14-AJ329)/'INTRODUCIR DATOS'!$D$14)</f>
        <v>0.99098992553657472</v>
      </c>
      <c r="AM329" s="163"/>
      <c r="AN329" s="163"/>
      <c r="AO329" s="166"/>
    </row>
    <row r="330" spans="23:41">
      <c r="W330" s="212" t="s">
        <v>213</v>
      </c>
      <c r="X330" s="217">
        <f>'PRECIOS CYE'!H19</f>
        <v>0</v>
      </c>
      <c r="Y330" s="163">
        <f>'PRECIOS CYE'!I19</f>
        <v>0</v>
      </c>
      <c r="Z330" s="163">
        <f>'PRECIOS CYE'!J19</f>
        <v>0</v>
      </c>
      <c r="AA330" s="163"/>
      <c r="AB330" s="163"/>
      <c r="AC330" s="205"/>
      <c r="AD330" s="217">
        <f>'PRECIOS CYE'!N19</f>
        <v>0</v>
      </c>
      <c r="AE330" s="163">
        <f>'PRECIOS CYE'!O19</f>
        <v>0</v>
      </c>
      <c r="AF330" s="163">
        <f>'PRECIOS CYE'!P19</f>
        <v>0</v>
      </c>
      <c r="AG330" s="163">
        <f>'PRECIOS CYE'!Q19</f>
        <v>0</v>
      </c>
      <c r="AH330" s="163">
        <f>'PRECIOS CYE'!R19</f>
        <v>0</v>
      </c>
      <c r="AI330" s="166">
        <f>'PRECIOS CYE'!S19</f>
        <v>0</v>
      </c>
      <c r="AJ330" s="172">
        <f>'PRECIOS CYE'!T19</f>
        <v>0</v>
      </c>
      <c r="AK330" s="163">
        <f>'PRECIOS CYE'!U19</f>
        <v>0</v>
      </c>
      <c r="AL330" s="163">
        <f>'PRECIOS CYE'!V19</f>
        <v>0</v>
      </c>
      <c r="AM330" s="163">
        <f>'PRECIOS CYE'!W19</f>
        <v>0</v>
      </c>
      <c r="AN330" s="163">
        <f>'PRECIOS CYE'!X19</f>
        <v>0</v>
      </c>
      <c r="AO330" s="166">
        <f>'PRECIOS CYE'!Y19</f>
        <v>0</v>
      </c>
    </row>
    <row r="331" spans="23:41">
      <c r="W331" s="212" t="s">
        <v>115</v>
      </c>
      <c r="X331" s="217">
        <f>'PRECIOS CYE'!H15</f>
        <v>0</v>
      </c>
      <c r="Y331" s="163">
        <f>'PRECIOS CYE'!I15</f>
        <v>0</v>
      </c>
      <c r="Z331" s="163">
        <f>'PRECIOS CYE'!J15</f>
        <v>0</v>
      </c>
      <c r="AA331" s="163"/>
      <c r="AB331" s="163"/>
      <c r="AC331" s="205"/>
      <c r="AD331" s="217">
        <f>'PRECIOS CYE'!N15</f>
        <v>0</v>
      </c>
      <c r="AE331" s="163">
        <f>'PRECIOS CYE'!O15</f>
        <v>0</v>
      </c>
      <c r="AF331" s="163">
        <f>'PRECIOS CYE'!P15</f>
        <v>0</v>
      </c>
      <c r="AG331" s="163">
        <f>'PRECIOS CYE'!Q15</f>
        <v>0</v>
      </c>
      <c r="AH331" s="163">
        <f>'PRECIOS CYE'!R15</f>
        <v>0</v>
      </c>
      <c r="AI331" s="166">
        <f>'PRECIOS CYE'!S15</f>
        <v>0</v>
      </c>
      <c r="AJ331" s="172">
        <f>'PRECIOS CYE'!T15</f>
        <v>0</v>
      </c>
      <c r="AK331" s="163">
        <f>'PRECIOS CYE'!U15</f>
        <v>0</v>
      </c>
      <c r="AL331" s="163">
        <f>'PRECIOS CYE'!V15</f>
        <v>0</v>
      </c>
      <c r="AM331" s="163">
        <f>'PRECIOS CYE'!W15</f>
        <v>0</v>
      </c>
      <c r="AN331" s="163">
        <f>'PRECIOS CYE'!X15</f>
        <v>0</v>
      </c>
      <c r="AO331" s="166">
        <f>'PRECIOS CYE'!Y15</f>
        <v>0</v>
      </c>
    </row>
    <row r="332" spans="23:41">
      <c r="W332" s="212"/>
      <c r="X332" s="218">
        <f>('INTRODUCIR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DATOS'!$D$17)+'INTRODUCIR DATOS'!$D$15+'INTRODUCIR DATOS'!$D$16+(('INTRODUCIR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DATOS'!$D$17)+'INTRODUCIR DATOS'!$D$16)*21/100</f>
        <v>1.0285</v>
      </c>
      <c r="Y332" s="165">
        <f>IF(X332=0,"",'INTRODUCIR DATOS'!$D$14-X332)</f>
        <v>113.12150000000001</v>
      </c>
      <c r="Z332" s="165">
        <f>IF(X332=0,"",('INTRODUCIR DATOS'!$D$14-X332)/'INTRODUCIR DATOS'!$D$14)</f>
        <v>0.99098992553657472</v>
      </c>
      <c r="AA332" s="163"/>
      <c r="AB332" s="163"/>
      <c r="AC332" s="205"/>
      <c r="AD332" s="218">
        <f>('INTRODUCIR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DATOS'!$D$17)+'INTRODUCIR DATOS'!$D$15+'INTRODUCIR DATOS'!$D$16+(('INTRODUCIR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DATOS'!$D$17)+'INTRODUCIR DATOS'!$D$16)*21/100</f>
        <v>1.0285</v>
      </c>
      <c r="AE332" s="165">
        <f>IF(AD332=0,"",'INTRODUCIR DATOS'!$D$14-AD332)</f>
        <v>113.12150000000001</v>
      </c>
      <c r="AF332" s="165">
        <f>IF(AD332=0,"",('INTRODUCIR DATOS'!$D$14-AD332)/'INTRODUCIR DATOS'!$D$14)</f>
        <v>0.99098992553657472</v>
      </c>
      <c r="AG332" s="163"/>
      <c r="AH332" s="163"/>
      <c r="AI332" s="166"/>
      <c r="AJ332" s="218">
        <f>('INTRODUCIR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DATOS'!$D$17)+'INTRODUCIR DATOS'!$D$15+'INTRODUCIR DATOS'!$D$16+(('INTRODUCIR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DATOS'!$D$17)+'INTRODUCIR DATOS'!$D$16)*21/100</f>
        <v>1.0285</v>
      </c>
      <c r="AK332" s="165">
        <f>IF(AJ332=0,"",'INTRODUCIR DATOS'!$D$14-AJ332)</f>
        <v>113.12150000000001</v>
      </c>
      <c r="AL332" s="165">
        <f>IF(AJ332=0,"",('INTRODUCIR DATOS'!$D$14-AJ332)/'INTRODUCIR DATOS'!$D$14)</f>
        <v>0.99098992553657472</v>
      </c>
      <c r="AM332" s="163"/>
      <c r="AN332" s="163"/>
      <c r="AO332" s="166"/>
    </row>
    <row r="333" spans="23:41">
      <c r="W333" s="212" t="s">
        <v>213</v>
      </c>
      <c r="X333" s="217">
        <f>'PRECIOS CYE'!H20</f>
        <v>0</v>
      </c>
      <c r="Y333" s="163">
        <f>'PRECIOS CYE'!I20</f>
        <v>0</v>
      </c>
      <c r="Z333" s="163">
        <f>'PRECIOS CYE'!J20</f>
        <v>0</v>
      </c>
      <c r="AA333" s="163"/>
      <c r="AB333" s="163"/>
      <c r="AC333" s="205"/>
      <c r="AD333" s="217">
        <f>'PRECIOS CYE'!N20</f>
        <v>0</v>
      </c>
      <c r="AE333" s="163">
        <f>'PRECIOS CYE'!O20</f>
        <v>0</v>
      </c>
      <c r="AF333" s="163">
        <f>'PRECIOS CYE'!P20</f>
        <v>0</v>
      </c>
      <c r="AG333" s="163">
        <f>'PRECIOS CYE'!Q20</f>
        <v>0</v>
      </c>
      <c r="AH333" s="163">
        <f>'PRECIOS CYE'!R20</f>
        <v>0</v>
      </c>
      <c r="AI333" s="166">
        <f>'PRECIOS CYE'!S20</f>
        <v>0</v>
      </c>
      <c r="AJ333" s="172">
        <f>'PRECIOS CYE'!T20</f>
        <v>0</v>
      </c>
      <c r="AK333" s="163">
        <f>'PRECIOS CYE'!U20</f>
        <v>0</v>
      </c>
      <c r="AL333" s="163">
        <f>'PRECIOS CYE'!V20</f>
        <v>0</v>
      </c>
      <c r="AM333" s="163">
        <f>'PRECIOS CYE'!W20</f>
        <v>0</v>
      </c>
      <c r="AN333" s="163">
        <f>'PRECIOS CYE'!X20</f>
        <v>0</v>
      </c>
      <c r="AO333" s="166">
        <f>'PRECIOS CYE'!Y20</f>
        <v>0</v>
      </c>
    </row>
    <row r="334" spans="23:41">
      <c r="W334" s="212" t="s">
        <v>116</v>
      </c>
      <c r="X334" s="217">
        <f>'PRECIOS CYE'!H15</f>
        <v>0</v>
      </c>
      <c r="Y334" s="163">
        <f>'PRECIOS CYE'!I15</f>
        <v>0</v>
      </c>
      <c r="Z334" s="163">
        <f>'PRECIOS CYE'!J15</f>
        <v>0</v>
      </c>
      <c r="AA334" s="163"/>
      <c r="AB334" s="163"/>
      <c r="AC334" s="205"/>
      <c r="AD334" s="217">
        <f>'PRECIOS CYE'!N15</f>
        <v>0</v>
      </c>
      <c r="AE334" s="163">
        <f>'PRECIOS CYE'!O15</f>
        <v>0</v>
      </c>
      <c r="AF334" s="163">
        <f>'PRECIOS CYE'!P15</f>
        <v>0</v>
      </c>
      <c r="AG334" s="163">
        <f>'PRECIOS CYE'!Q15</f>
        <v>0</v>
      </c>
      <c r="AH334" s="163">
        <f>'PRECIOS CYE'!R15</f>
        <v>0</v>
      </c>
      <c r="AI334" s="166">
        <f>'PRECIOS CYE'!S15</f>
        <v>0</v>
      </c>
      <c r="AJ334" s="172">
        <f>'PRECIOS CYE'!T15</f>
        <v>0</v>
      </c>
      <c r="AK334" s="163">
        <f>'PRECIOS CYE'!U15</f>
        <v>0</v>
      </c>
      <c r="AL334" s="163">
        <f>'PRECIOS CYE'!V15</f>
        <v>0</v>
      </c>
      <c r="AM334" s="163">
        <f>'PRECIOS CYE'!W15</f>
        <v>0</v>
      </c>
      <c r="AN334" s="163">
        <f>'PRECIOS CYE'!X15</f>
        <v>0</v>
      </c>
      <c r="AO334" s="166">
        <f>'PRECIOS CYE'!Y15</f>
        <v>0</v>
      </c>
    </row>
    <row r="335" spans="23:41">
      <c r="W335" s="212"/>
      <c r="X335" s="218">
        <f>('INTRODUCIR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DATOS'!$D$17)+'INTRODUCIR DATOS'!$D$15+'INTRODUCIR DATOS'!$D$16+(('INTRODUCIR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DATOS'!$D$17)+'INTRODUCIR DATOS'!$D$16)*21/100</f>
        <v>1.0285</v>
      </c>
      <c r="Y335" s="165">
        <f>IF(X335=0,"",'INTRODUCIR DATOS'!$D$14-X335)</f>
        <v>113.12150000000001</v>
      </c>
      <c r="Z335" s="165">
        <f>IF(X335=0,"",('INTRODUCIR DATOS'!$D$14-X335)/'INTRODUCIR DATOS'!$D$14)</f>
        <v>0.99098992553657472</v>
      </c>
      <c r="AA335" s="163"/>
      <c r="AB335" s="163"/>
      <c r="AC335" s="205"/>
      <c r="AD335" s="218">
        <f>('INTRODUCIR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DATOS'!$D$17)+'INTRODUCIR DATOS'!$D$15+'INTRODUCIR DATOS'!$D$16+(('INTRODUCIR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DATOS'!$D$17)+'INTRODUCIR DATOS'!$D$16)*21/100</f>
        <v>1.0285</v>
      </c>
      <c r="AE335" s="165">
        <f>IF(AD335=0,"",'INTRODUCIR DATOS'!$D$14-AD335)</f>
        <v>113.12150000000001</v>
      </c>
      <c r="AF335" s="165">
        <f>IF(AD335=0,"",('INTRODUCIR DATOS'!$D$14-AD335)/'INTRODUCIR DATOS'!$D$14)</f>
        <v>0.99098992553657472</v>
      </c>
      <c r="AG335" s="163"/>
      <c r="AH335" s="163"/>
      <c r="AI335" s="166"/>
      <c r="AJ335" s="218">
        <f>('INTRODUCIR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DATOS'!$D$17)+'INTRODUCIR DATOS'!$D$15+'INTRODUCIR DATOS'!$D$16+(('INTRODUCIR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DATOS'!$D$17)+'INTRODUCIR DATOS'!$D$16)*21/100</f>
        <v>1.0285</v>
      </c>
      <c r="AK335" s="165">
        <f>IF(AJ335=0,"",'INTRODUCIR DATOS'!$D$14-AJ335)</f>
        <v>113.12150000000001</v>
      </c>
      <c r="AL335" s="165">
        <f>IF(AJ335=0,"",('INTRODUCIR DATOS'!$D$14-AJ335)/'INTRODUCIR DATOS'!$D$14)</f>
        <v>0.99098992553657472</v>
      </c>
      <c r="AM335" s="163"/>
      <c r="AN335" s="163"/>
      <c r="AO335" s="166"/>
    </row>
    <row r="336" spans="23:41">
      <c r="W336" s="212" t="s">
        <v>213</v>
      </c>
      <c r="X336" s="217">
        <f>'PRECIOS CYE'!H21</f>
        <v>0</v>
      </c>
      <c r="Y336" s="163">
        <f>'PRECIOS CYE'!I21</f>
        <v>0</v>
      </c>
      <c r="Z336" s="163">
        <f>'PRECIOS CYE'!J21</f>
        <v>0</v>
      </c>
      <c r="AA336" s="163"/>
      <c r="AB336" s="163"/>
      <c r="AC336" s="205"/>
      <c r="AD336" s="217">
        <f>'PRECIOS CYE'!N21</f>
        <v>0</v>
      </c>
      <c r="AE336" s="163">
        <f>'PRECIOS CYE'!O21</f>
        <v>0</v>
      </c>
      <c r="AF336" s="163">
        <f>'PRECIOS CYE'!P21</f>
        <v>0</v>
      </c>
      <c r="AG336" s="163">
        <f>'PRECIOS CYE'!Q21</f>
        <v>0</v>
      </c>
      <c r="AH336" s="163">
        <f>'PRECIOS CYE'!R21</f>
        <v>0</v>
      </c>
      <c r="AI336" s="166">
        <f>'PRECIOS CYE'!S21</f>
        <v>0</v>
      </c>
      <c r="AJ336" s="172">
        <f>'PRECIOS CYE'!T21</f>
        <v>0</v>
      </c>
      <c r="AK336" s="163">
        <f>'PRECIOS CYE'!U21</f>
        <v>0</v>
      </c>
      <c r="AL336" s="163">
        <f>'PRECIOS CYE'!V21</f>
        <v>0</v>
      </c>
      <c r="AM336" s="163">
        <f>'PRECIOS CYE'!W21</f>
        <v>0</v>
      </c>
      <c r="AN336" s="163">
        <f>'PRECIOS CYE'!X21</f>
        <v>0</v>
      </c>
      <c r="AO336" s="166">
        <f>'PRECIOS CYE'!Y21</f>
        <v>0</v>
      </c>
    </row>
    <row r="337" spans="23:41">
      <c r="W337" s="212" t="s">
        <v>60</v>
      </c>
      <c r="X337" s="217">
        <f>'PRECIOS CYE'!H15</f>
        <v>0</v>
      </c>
      <c r="Y337" s="163">
        <f>'PRECIOS CYE'!I15</f>
        <v>0</v>
      </c>
      <c r="Z337" s="163">
        <f>'PRECIOS CYE'!J15</f>
        <v>0</v>
      </c>
      <c r="AA337" s="163"/>
      <c r="AB337" s="163"/>
      <c r="AC337" s="205"/>
      <c r="AD337" s="217">
        <f>'PRECIOS CYE'!N15</f>
        <v>0</v>
      </c>
      <c r="AE337" s="163">
        <f>'PRECIOS CYE'!O15</f>
        <v>0</v>
      </c>
      <c r="AF337" s="163">
        <f>'PRECIOS CYE'!P15</f>
        <v>0</v>
      </c>
      <c r="AG337" s="163">
        <f>'PRECIOS CYE'!Q15</f>
        <v>0</v>
      </c>
      <c r="AH337" s="163">
        <f>'PRECIOS CYE'!R15</f>
        <v>0</v>
      </c>
      <c r="AI337" s="166">
        <f>'PRECIOS CYE'!S15</f>
        <v>0</v>
      </c>
      <c r="AJ337" s="172">
        <f>'PRECIOS CYE'!T15</f>
        <v>0</v>
      </c>
      <c r="AK337" s="163">
        <f>'PRECIOS CYE'!U15</f>
        <v>0</v>
      </c>
      <c r="AL337" s="163">
        <f>'PRECIOS CYE'!V15</f>
        <v>0</v>
      </c>
      <c r="AM337" s="163">
        <f>'PRECIOS CYE'!W15</f>
        <v>0</v>
      </c>
      <c r="AN337" s="163">
        <f>'PRECIOS CYE'!X15</f>
        <v>0</v>
      </c>
      <c r="AO337" s="166">
        <f>'PRECIOS CYE'!Y15</f>
        <v>0</v>
      </c>
    </row>
    <row r="338" spans="23:41">
      <c r="W338" s="212"/>
      <c r="X338" s="218">
        <f>('INTRODUCIR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DATOS'!$D$17)+'INTRODUCIR DATOS'!$D$15+'INTRODUCIR DATOS'!$D$16+(('INTRODUCIR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DATOS'!$D$17)+'INTRODUCIR DATOS'!$D$16)*21/100</f>
        <v>1.0285</v>
      </c>
      <c r="Y338" s="165">
        <f>IF(X338=0,"",'INTRODUCIR DATOS'!$D$14-X338)</f>
        <v>113.12150000000001</v>
      </c>
      <c r="Z338" s="165">
        <f>IF(X338=0,"",('INTRODUCIR DATOS'!$D$14-X338)/'INTRODUCIR DATOS'!$D$14)</f>
        <v>0.99098992553657472</v>
      </c>
      <c r="AA338" s="163"/>
      <c r="AB338" s="163"/>
      <c r="AC338" s="205"/>
      <c r="AD338" s="218">
        <f>('INTRODUCIR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DATOS'!$D$17)+'INTRODUCIR DATOS'!$D$15+'INTRODUCIR DATOS'!$D$16+(('INTRODUCIR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DATOS'!$D$17)+'INTRODUCIR DATOS'!$D$16)*21/100</f>
        <v>1.0285</v>
      </c>
      <c r="AE338" s="165">
        <f>IF(AD338=0,"",'INTRODUCIR DATOS'!$D$14-AD338)</f>
        <v>113.12150000000001</v>
      </c>
      <c r="AF338" s="165">
        <f>IF(AD338=0,"",('INTRODUCIR DATOS'!$D$14-AD338)/'INTRODUCIR DATOS'!$D$14)</f>
        <v>0.99098992553657472</v>
      </c>
      <c r="AG338" s="163"/>
      <c r="AH338" s="163"/>
      <c r="AI338" s="166"/>
      <c r="AJ338" s="218">
        <f>('INTRODUCIR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DATOS'!$D$17)+'INTRODUCIR DATOS'!$D$15+'INTRODUCIR DATOS'!$D$16+(('INTRODUCIR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DATOS'!$D$17)+'INTRODUCIR DATOS'!$D$16)*21/100</f>
        <v>1.0285</v>
      </c>
      <c r="AK338" s="165">
        <f>IF(AJ338=0,"",'INTRODUCIR DATOS'!$D$14-AJ338)</f>
        <v>113.12150000000001</v>
      </c>
      <c r="AL338" s="165">
        <f>IF(AJ338=0,"",('INTRODUCIR DATOS'!$D$14-AJ338)/'INTRODUCIR DATOS'!$D$14)</f>
        <v>0.99098992553657472</v>
      </c>
      <c r="AM338" s="163"/>
      <c r="AN338" s="163"/>
      <c r="AO338" s="166"/>
    </row>
    <row r="339" spans="23:41">
      <c r="W339" s="212" t="s">
        <v>213</v>
      </c>
      <c r="X339" s="217">
        <f>'PRECIOS CYE'!H22</f>
        <v>0</v>
      </c>
      <c r="Y339" s="163">
        <f>'PRECIOS CYE'!I22</f>
        <v>0</v>
      </c>
      <c r="Z339" s="163">
        <f>'PRECIOS CYE'!J22</f>
        <v>0</v>
      </c>
      <c r="AA339" s="163"/>
      <c r="AB339" s="163"/>
      <c r="AC339" s="205"/>
      <c r="AD339" s="217">
        <f>'PRECIOS CYE'!N22</f>
        <v>0</v>
      </c>
      <c r="AE339" s="163">
        <f>'PRECIOS CYE'!O22</f>
        <v>0</v>
      </c>
      <c r="AF339" s="163">
        <f>'PRECIOS CYE'!P22</f>
        <v>0</v>
      </c>
      <c r="AG339" s="163">
        <f>'PRECIOS CYE'!Q22</f>
        <v>0</v>
      </c>
      <c r="AH339" s="163">
        <f>'PRECIOS CYE'!R22</f>
        <v>0</v>
      </c>
      <c r="AI339" s="166">
        <f>'PRECIOS CYE'!S22</f>
        <v>0</v>
      </c>
      <c r="AJ339" s="172">
        <f>'PRECIOS CYE'!T22</f>
        <v>0</v>
      </c>
      <c r="AK339" s="163">
        <f>'PRECIOS CYE'!U22</f>
        <v>0</v>
      </c>
      <c r="AL339" s="163">
        <f>'PRECIOS CYE'!V22</f>
        <v>0</v>
      </c>
      <c r="AM339" s="163">
        <f>'PRECIOS CYE'!W22</f>
        <v>0</v>
      </c>
      <c r="AN339" s="163">
        <f>'PRECIOS CYE'!X22</f>
        <v>0</v>
      </c>
      <c r="AO339" s="166">
        <f>'PRECIOS CYE'!Y22</f>
        <v>0</v>
      </c>
    </row>
    <row r="340" spans="23:41">
      <c r="W340" s="212" t="s">
        <v>62</v>
      </c>
      <c r="X340" s="217">
        <f>'PRECIOS CYE'!H15</f>
        <v>0</v>
      </c>
      <c r="Y340" s="163">
        <f>'PRECIOS CYE'!I15</f>
        <v>0</v>
      </c>
      <c r="Z340" s="163">
        <f>'PRECIOS CYE'!J15</f>
        <v>0</v>
      </c>
      <c r="AA340" s="163"/>
      <c r="AB340" s="163"/>
      <c r="AC340" s="205"/>
      <c r="AD340" s="217">
        <f>'PRECIOS CYE'!N15</f>
        <v>0</v>
      </c>
      <c r="AE340" s="163">
        <f>'PRECIOS CYE'!O15</f>
        <v>0</v>
      </c>
      <c r="AF340" s="163">
        <f>'PRECIOS CYE'!P15</f>
        <v>0</v>
      </c>
      <c r="AG340" s="163">
        <f>'PRECIOS CYE'!Q15</f>
        <v>0</v>
      </c>
      <c r="AH340" s="163">
        <f>'PRECIOS CYE'!R15</f>
        <v>0</v>
      </c>
      <c r="AI340" s="166">
        <f>'PRECIOS CYE'!S15</f>
        <v>0</v>
      </c>
      <c r="AJ340" s="172">
        <f>'PRECIOS CYE'!T15</f>
        <v>0</v>
      </c>
      <c r="AK340" s="163">
        <f>'PRECIOS CYE'!U15</f>
        <v>0</v>
      </c>
      <c r="AL340" s="163">
        <f>'PRECIOS CYE'!V15</f>
        <v>0</v>
      </c>
      <c r="AM340" s="163">
        <f>'PRECIOS CYE'!W15</f>
        <v>0</v>
      </c>
      <c r="AN340" s="163">
        <f>'PRECIOS CYE'!X15</f>
        <v>0</v>
      </c>
      <c r="AO340" s="166">
        <f>'PRECIOS CYE'!Y15</f>
        <v>0</v>
      </c>
    </row>
    <row r="341" spans="23:41">
      <c r="W341" s="212"/>
      <c r="X341" s="218">
        <f>('INTRODUCIR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DATOS'!$D$17)+'INTRODUCIR DATOS'!$D$15+'INTRODUCIR DATOS'!$D$16+(('INTRODUCIR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DATOS'!$D$17)+'INTRODUCIR DATOS'!$D$16)*21/100</f>
        <v>1.0285</v>
      </c>
      <c r="Y341" s="165">
        <f>IF(X341=0,"",'INTRODUCIR DATOS'!$D$14-X341)</f>
        <v>113.12150000000001</v>
      </c>
      <c r="Z341" s="165">
        <f>IF(X341=0,"",('INTRODUCIR DATOS'!$D$14-X341)/'INTRODUCIR DATOS'!$D$14)</f>
        <v>0.99098992553657472</v>
      </c>
      <c r="AA341" s="163"/>
      <c r="AB341" s="163"/>
      <c r="AC341" s="205"/>
      <c r="AD341" s="218">
        <f>('INTRODUCIR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DATOS'!$D$17)+'INTRODUCIR DATOS'!$D$15+'INTRODUCIR DATOS'!$D$16+(('INTRODUCIR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DATOS'!$D$17)+'INTRODUCIR DATOS'!$D$16)*21/100</f>
        <v>1.0285</v>
      </c>
      <c r="AE341" s="165">
        <f>IF(AD341=0,"",'INTRODUCIR DATOS'!$D$14-AD341)</f>
        <v>113.12150000000001</v>
      </c>
      <c r="AF341" s="165">
        <f>IF(AD341=0,"",('INTRODUCIR DATOS'!$D$14-AD341)/'INTRODUCIR DATOS'!$D$14)</f>
        <v>0.99098992553657472</v>
      </c>
      <c r="AG341" s="163"/>
      <c r="AH341" s="163"/>
      <c r="AI341" s="166"/>
      <c r="AJ341" s="218">
        <f>('INTRODUCIR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DATOS'!$D$17)+'INTRODUCIR DATOS'!$D$15+'INTRODUCIR DATOS'!$D$16+(('INTRODUCIR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DATOS'!$D$17)+'INTRODUCIR DATOS'!$D$16)*21/100</f>
        <v>1.0285</v>
      </c>
      <c r="AK341" s="165">
        <f>IF(AJ341=0,"",'INTRODUCIR DATOS'!$D$14-AJ341)</f>
        <v>113.12150000000001</v>
      </c>
      <c r="AL341" s="165">
        <f>IF(AJ341=0,"",('INTRODUCIR DATOS'!$D$14-AJ341)/'INTRODUCIR DATOS'!$D$14)</f>
        <v>0.99098992553657472</v>
      </c>
      <c r="AM341" s="163"/>
      <c r="AN341" s="163"/>
      <c r="AO341" s="166"/>
    </row>
    <row r="342" spans="23:41">
      <c r="W342" s="212" t="s">
        <v>213</v>
      </c>
      <c r="X342" s="217">
        <f>'PRECIOS CYE'!H23</f>
        <v>0</v>
      </c>
      <c r="Y342" s="163">
        <f>'PRECIOS CYE'!I23</f>
        <v>0</v>
      </c>
      <c r="Z342" s="163">
        <f>'PRECIOS CYE'!J23</f>
        <v>0</v>
      </c>
      <c r="AA342" s="163"/>
      <c r="AB342" s="163"/>
      <c r="AC342" s="205"/>
      <c r="AD342" s="217"/>
      <c r="AE342" s="163"/>
      <c r="AF342" s="163"/>
      <c r="AG342" s="163"/>
      <c r="AH342" s="163"/>
      <c r="AI342" s="166"/>
      <c r="AJ342" s="172"/>
      <c r="AK342" s="163"/>
      <c r="AL342" s="163"/>
      <c r="AM342" s="163"/>
      <c r="AN342" s="163"/>
      <c r="AO342" s="166"/>
    </row>
    <row r="343" spans="23:41">
      <c r="W343" s="212" t="s">
        <v>63</v>
      </c>
      <c r="X343" s="217">
        <f>'PRECIOS CYE'!H15</f>
        <v>0</v>
      </c>
      <c r="Y343" s="163">
        <f>'PRECIOS CYE'!I15</f>
        <v>0</v>
      </c>
      <c r="Z343" s="163">
        <f>'PRECIOS CYE'!J15</f>
        <v>0</v>
      </c>
      <c r="AA343" s="163"/>
      <c r="AB343" s="163"/>
      <c r="AC343" s="205"/>
      <c r="AD343" s="217"/>
      <c r="AE343" s="163"/>
      <c r="AF343" s="163"/>
      <c r="AG343" s="163"/>
      <c r="AH343" s="163"/>
      <c r="AI343" s="166"/>
      <c r="AJ343" s="172"/>
      <c r="AK343" s="163"/>
      <c r="AL343" s="163"/>
      <c r="AM343" s="163"/>
      <c r="AN343" s="163"/>
      <c r="AO343" s="166"/>
    </row>
    <row r="344" spans="23:41">
      <c r="W344" s="212"/>
      <c r="X344" s="218">
        <f>('INTRODUCIR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DATOS'!$D$17)+'INTRODUCIR DATOS'!$D$15+'INTRODUCIR DATOS'!$D$16+(('INTRODUCIR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DATOS'!$D$17)+'INTRODUCIR DATOS'!$D$16)*21/100</f>
        <v>1.0285</v>
      </c>
      <c r="Y344" s="165">
        <f>IF(X344=0,"",'INTRODUCIR DATOS'!$D$14-X344)</f>
        <v>113.12150000000001</v>
      </c>
      <c r="Z344" s="165">
        <f>IF(X344=0,"",('INTRODUCIR DATOS'!$D$14-X344)/'INTRODUCIR DATOS'!$D$14)</f>
        <v>0.99098992553657472</v>
      </c>
      <c r="AA344" s="163"/>
      <c r="AB344" s="163"/>
      <c r="AC344" s="205"/>
      <c r="AD344" s="218"/>
      <c r="AE344" s="165"/>
      <c r="AF344" s="165"/>
      <c r="AG344" s="163"/>
      <c r="AH344" s="163"/>
      <c r="AI344" s="166"/>
      <c r="AJ344" s="173"/>
      <c r="AK344" s="165"/>
      <c r="AL344" s="165"/>
      <c r="AM344" s="163"/>
      <c r="AN344" s="163"/>
      <c r="AO344" s="166"/>
    </row>
    <row r="345" spans="23:41">
      <c r="W345" s="212" t="s">
        <v>213</v>
      </c>
      <c r="X345" s="217">
        <f>'PRECIOS CYE'!H24</f>
        <v>0</v>
      </c>
      <c r="Y345" s="163">
        <f>'PRECIOS CYE'!I24</f>
        <v>0</v>
      </c>
      <c r="Z345" s="163">
        <f>'PRECIOS CYE'!J24</f>
        <v>0</v>
      </c>
      <c r="AA345" s="163"/>
      <c r="AB345" s="163"/>
      <c r="AC345" s="205"/>
      <c r="AD345" s="217"/>
      <c r="AE345" s="163"/>
      <c r="AF345" s="163"/>
      <c r="AG345" s="163"/>
      <c r="AH345" s="163"/>
      <c r="AI345" s="166"/>
      <c r="AJ345" s="172"/>
      <c r="AK345" s="163"/>
      <c r="AL345" s="163"/>
      <c r="AM345" s="163"/>
      <c r="AN345" s="163"/>
      <c r="AO345" s="166"/>
    </row>
    <row r="346" spans="23:41">
      <c r="W346" s="212" t="s">
        <v>65</v>
      </c>
      <c r="X346" s="217">
        <f>'PRECIOS CYE'!H15</f>
        <v>0</v>
      </c>
      <c r="Y346" s="163">
        <f>'PRECIOS CYE'!I15</f>
        <v>0</v>
      </c>
      <c r="Z346" s="163">
        <f>'PRECIOS CYE'!J15</f>
        <v>0</v>
      </c>
      <c r="AA346" s="163"/>
      <c r="AB346" s="163"/>
      <c r="AC346" s="205"/>
      <c r="AD346" s="217"/>
      <c r="AE346" s="163"/>
      <c r="AF346" s="163"/>
      <c r="AG346" s="163"/>
      <c r="AH346" s="163"/>
      <c r="AI346" s="166"/>
      <c r="AJ346" s="172"/>
      <c r="AK346" s="163"/>
      <c r="AL346" s="163"/>
      <c r="AM346" s="163"/>
      <c r="AN346" s="163"/>
      <c r="AO346" s="166"/>
    </row>
    <row r="347" spans="23:41">
      <c r="W347" s="212"/>
      <c r="X347" s="218">
        <f>('INTRODUCIR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DATOS'!$D$17)+'INTRODUCIR DATOS'!$D$15+'INTRODUCIR DATOS'!$D$16+(('INTRODUCIR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DATOS'!$D$17)+'INTRODUCIR DATOS'!$D$16)*21/100</f>
        <v>1.0285</v>
      </c>
      <c r="Y347" s="165">
        <f>IF(X347=0,"",'INTRODUCIR DATOS'!$D$14-X347)</f>
        <v>113.12150000000001</v>
      </c>
      <c r="Z347" s="165">
        <f>IF(X347=0,"",('INTRODUCIR DATOS'!$D$14-X347)/'INTRODUCIR DATOS'!$D$14)</f>
        <v>0.99098992553657472</v>
      </c>
      <c r="AA347" s="163"/>
      <c r="AB347" s="163"/>
      <c r="AC347" s="205"/>
      <c r="AD347" s="218"/>
      <c r="AE347" s="165"/>
      <c r="AF347" s="165"/>
      <c r="AG347" s="163"/>
      <c r="AH347" s="163"/>
      <c r="AI347" s="166"/>
      <c r="AJ347" s="173"/>
      <c r="AK347" s="165"/>
      <c r="AL347" s="165"/>
      <c r="AM347" s="163"/>
      <c r="AN347" s="163"/>
      <c r="AO347" s="166"/>
    </row>
    <row r="348" spans="23:41">
      <c r="W348" s="212" t="s">
        <v>213</v>
      </c>
      <c r="X348" s="217">
        <f>'PRECIOS CYE'!H25</f>
        <v>0</v>
      </c>
      <c r="Y348" s="163">
        <f>'PRECIOS CYE'!I25</f>
        <v>0</v>
      </c>
      <c r="Z348" s="163">
        <f>'PRECIOS CYE'!J25</f>
        <v>0</v>
      </c>
      <c r="AA348" s="163"/>
      <c r="AB348" s="163"/>
      <c r="AC348" s="205"/>
      <c r="AD348" s="217"/>
      <c r="AE348" s="163"/>
      <c r="AF348" s="163"/>
      <c r="AG348" s="163"/>
      <c r="AH348" s="163"/>
      <c r="AI348" s="166"/>
      <c r="AJ348" s="172"/>
      <c r="AK348" s="163"/>
      <c r="AL348" s="163"/>
      <c r="AM348" s="163"/>
      <c r="AN348" s="163"/>
      <c r="AO348" s="166"/>
    </row>
    <row r="349" spans="23:41">
      <c r="W349" s="212" t="s">
        <v>199</v>
      </c>
      <c r="X349" s="217">
        <f>'PRECIOS CYE'!H15</f>
        <v>0</v>
      </c>
      <c r="Y349" s="163">
        <f>'PRECIOS CYE'!I15</f>
        <v>0</v>
      </c>
      <c r="Z349" s="163">
        <f>'PRECIOS CYE'!J15</f>
        <v>0</v>
      </c>
      <c r="AA349" s="163"/>
      <c r="AB349" s="163"/>
      <c r="AC349" s="205"/>
      <c r="AD349" s="217"/>
      <c r="AE349" s="163"/>
      <c r="AF349" s="163"/>
      <c r="AG349" s="163"/>
      <c r="AH349" s="163"/>
      <c r="AI349" s="166"/>
      <c r="AJ349" s="172"/>
      <c r="AK349" s="163"/>
      <c r="AL349" s="163"/>
      <c r="AM349" s="163"/>
      <c r="AN349" s="163"/>
      <c r="AO349" s="166"/>
    </row>
    <row r="350" spans="23:41">
      <c r="W350" s="212"/>
      <c r="X350" s="218">
        <f>('INTRODUCIR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DATOS'!$D$17)+'INTRODUCIR DATOS'!$D$15+'INTRODUCIR DATOS'!$D$16+(('INTRODUCIR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DATOS'!$D$17)+'INTRODUCIR DATOS'!$D$16)*21/100</f>
        <v>1.0285</v>
      </c>
      <c r="Y350" s="165">
        <f>IF(X350=0,"",'INTRODUCIR DATOS'!$D$14-X350)</f>
        <v>113.12150000000001</v>
      </c>
      <c r="Z350" s="165">
        <f>IF(X350=0,"",('INTRODUCIR DATOS'!$D$14-X350)/'INTRODUCIR DATOS'!$D$14)</f>
        <v>0.99098992553657472</v>
      </c>
      <c r="AA350" s="163"/>
      <c r="AB350" s="163"/>
      <c r="AC350" s="205"/>
      <c r="AD350" s="218"/>
      <c r="AE350" s="165"/>
      <c r="AF350" s="165"/>
      <c r="AG350" s="163"/>
      <c r="AH350" s="163"/>
      <c r="AI350" s="166"/>
      <c r="AJ350" s="173"/>
      <c r="AK350" s="165"/>
      <c r="AL350" s="165"/>
      <c r="AM350" s="163"/>
      <c r="AN350" s="163"/>
      <c r="AO350" s="166"/>
    </row>
    <row r="351" spans="23:41">
      <c r="W351" s="212" t="s">
        <v>213</v>
      </c>
      <c r="X351" s="217">
        <f>'PRECIOS CYE'!H26</f>
        <v>0</v>
      </c>
      <c r="Y351" s="163">
        <f>'PRECIOS CYE'!I26</f>
        <v>0</v>
      </c>
      <c r="Z351" s="163">
        <f>'PRECIOS CYE'!J26</f>
        <v>0</v>
      </c>
      <c r="AA351" s="163"/>
      <c r="AB351" s="163"/>
      <c r="AC351" s="205"/>
      <c r="AD351" s="217"/>
      <c r="AE351" s="163"/>
      <c r="AF351" s="163"/>
      <c r="AG351" s="163"/>
      <c r="AH351" s="163"/>
      <c r="AI351" s="166"/>
      <c r="AJ351" s="172"/>
      <c r="AK351" s="163"/>
      <c r="AL351" s="163"/>
      <c r="AM351" s="163"/>
      <c r="AN351" s="163"/>
      <c r="AO351" s="166"/>
    </row>
    <row r="352" spans="23:41">
      <c r="W352" s="212" t="s">
        <v>200</v>
      </c>
      <c r="X352" s="217">
        <f>'PRECIOS CYE'!H15</f>
        <v>0</v>
      </c>
      <c r="Y352" s="163">
        <f>'PRECIOS CYE'!I15</f>
        <v>0</v>
      </c>
      <c r="Z352" s="163">
        <f>'PRECIOS CYE'!J15</f>
        <v>0</v>
      </c>
      <c r="AA352" s="163"/>
      <c r="AB352" s="163"/>
      <c r="AC352" s="205"/>
      <c r="AD352" s="217"/>
      <c r="AE352" s="163"/>
      <c r="AF352" s="163"/>
      <c r="AG352" s="163"/>
      <c r="AH352" s="163"/>
      <c r="AI352" s="166"/>
      <c r="AJ352" s="172"/>
      <c r="AK352" s="163"/>
      <c r="AL352" s="163"/>
      <c r="AM352" s="163"/>
      <c r="AN352" s="163"/>
      <c r="AO352" s="166"/>
    </row>
    <row r="353" spans="23:41">
      <c r="W353" s="212"/>
      <c r="X353" s="218">
        <f>('INTRODUCIR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DATOS'!$D$17)+'INTRODUCIR DATOS'!$D$15+'INTRODUCIR DATOS'!$D$16+(('INTRODUCIR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DATOS'!$D$17)+'INTRODUCIR DATOS'!$D$16)*21/100</f>
        <v>1.0285</v>
      </c>
      <c r="Y353" s="165">
        <f>IF(X353=0,"",'INTRODUCIR DATOS'!$D$14-X353)</f>
        <v>113.12150000000001</v>
      </c>
      <c r="Z353" s="165">
        <f>IF(X353=0,"",('INTRODUCIR DATOS'!$D$14-X353)/'INTRODUCIR DATOS'!$D$14)</f>
        <v>0.99098992553657472</v>
      </c>
      <c r="AA353" s="163"/>
      <c r="AB353" s="163"/>
      <c r="AC353" s="205"/>
      <c r="AD353" s="218"/>
      <c r="AE353" s="165"/>
      <c r="AF353" s="165"/>
      <c r="AG353" s="163"/>
      <c r="AH353" s="163"/>
      <c r="AI353" s="166"/>
      <c r="AJ353" s="173"/>
      <c r="AK353" s="165"/>
      <c r="AL353" s="165"/>
      <c r="AM353" s="163"/>
      <c r="AN353" s="163"/>
      <c r="AO353" s="166"/>
    </row>
    <row r="354" spans="23:41">
      <c r="W354" s="212" t="s">
        <v>214</v>
      </c>
      <c r="X354" s="218">
        <f>'PRECIOS CYE'!H18</f>
        <v>0</v>
      </c>
      <c r="Y354" s="164">
        <f>'PRECIOS CYE'!I18</f>
        <v>0</v>
      </c>
      <c r="Z354" s="164">
        <f>'PRECIOS CYE'!J18</f>
        <v>0</v>
      </c>
      <c r="AA354" s="164"/>
      <c r="AB354" s="164"/>
      <c r="AC354" s="219"/>
      <c r="AD354" s="218">
        <f>'PRECIOS CYE'!N18</f>
        <v>0</v>
      </c>
      <c r="AE354" s="164">
        <f>'PRECIOS CYE'!O18</f>
        <v>0</v>
      </c>
      <c r="AF354" s="164">
        <f>'PRECIOS CYE'!P18</f>
        <v>0</v>
      </c>
      <c r="AG354" s="164">
        <f>'PRECIOS CYE'!Q18</f>
        <v>0</v>
      </c>
      <c r="AH354" s="164">
        <f>'PRECIOS CYE'!R18</f>
        <v>0</v>
      </c>
      <c r="AI354" s="167">
        <f>'PRECIOS CYE'!S18</f>
        <v>0</v>
      </c>
      <c r="AJ354" s="173">
        <f>'PRECIOS CYE'!T18</f>
        <v>0</v>
      </c>
      <c r="AK354" s="164">
        <f>'PRECIOS CYE'!U18</f>
        <v>0</v>
      </c>
      <c r="AL354" s="164">
        <f>'PRECIOS CYE'!V18</f>
        <v>0</v>
      </c>
      <c r="AM354" s="164">
        <f>'PRECIOS CYE'!W18</f>
        <v>0</v>
      </c>
      <c r="AN354" s="164">
        <f>'PRECIOS CYE'!X18</f>
        <v>0</v>
      </c>
      <c r="AO354" s="167">
        <f>'PRECIOS CYE'!Y18</f>
        <v>0</v>
      </c>
    </row>
    <row r="355" spans="23:41">
      <c r="W355" s="212" t="s">
        <v>41</v>
      </c>
      <c r="X355" s="218">
        <f>'PRECIOS CYE'!H16</f>
        <v>0</v>
      </c>
      <c r="Y355" s="164">
        <f>'PRECIOS CYE'!I16</f>
        <v>0</v>
      </c>
      <c r="Z355" s="164">
        <f>'PRECIOS CYE'!J16</f>
        <v>0</v>
      </c>
      <c r="AA355" s="164"/>
      <c r="AB355" s="164"/>
      <c r="AC355" s="219"/>
      <c r="AD355" s="218">
        <f>'PRECIOS CYE'!N16</f>
        <v>0</v>
      </c>
      <c r="AE355" s="164">
        <f>'PRECIOS CYE'!O16</f>
        <v>0</v>
      </c>
      <c r="AF355" s="164">
        <f>'PRECIOS CYE'!P16</f>
        <v>0</v>
      </c>
      <c r="AG355" s="164">
        <f>'PRECIOS CYE'!Q16</f>
        <v>0</v>
      </c>
      <c r="AH355" s="164">
        <f>'PRECIOS CYE'!R16</f>
        <v>0</v>
      </c>
      <c r="AI355" s="167">
        <f>'PRECIOS CYE'!S16</f>
        <v>0</v>
      </c>
      <c r="AJ355" s="173">
        <f>'PRECIOS CYE'!T16</f>
        <v>0</v>
      </c>
      <c r="AK355" s="164">
        <f>'PRECIOS CYE'!U16</f>
        <v>0</v>
      </c>
      <c r="AL355" s="164">
        <f>'PRECIOS CYE'!V16</f>
        <v>0</v>
      </c>
      <c r="AM355" s="164">
        <f>'PRECIOS CYE'!W16</f>
        <v>0</v>
      </c>
      <c r="AN355" s="164">
        <f>'PRECIOS CYE'!X16</f>
        <v>0</v>
      </c>
      <c r="AO355" s="167">
        <f>'PRECIOS CYE'!Y16</f>
        <v>0</v>
      </c>
    </row>
    <row r="356" spans="23:41">
      <c r="W356" s="212"/>
      <c r="X356" s="218">
        <f>('INTRODUCIR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DATOS'!$D$17)+'INTRODUCIR DATOS'!$D$15+'INTRODUCIR DATOS'!$D$16+(('INTRODUCIR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DATOS'!$D$17)+'INTRODUCIR DATOS'!$D$16)*21/100</f>
        <v>1.0285</v>
      </c>
      <c r="Y356" s="165">
        <f>IF(X356=0,"",'INTRODUCIR DATOS'!$D$14-X356)</f>
        <v>113.12150000000001</v>
      </c>
      <c r="Z356" s="165">
        <f>IF(X356=0,"",('INTRODUCIR DATOS'!$D$14-X356)/'INTRODUCIR DATOS'!$D$14)</f>
        <v>0.99098992553657472</v>
      </c>
      <c r="AA356" s="163"/>
      <c r="AB356" s="163"/>
      <c r="AC356" s="205"/>
      <c r="AD356" s="218">
        <f>('INTRODUCIR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DATOS'!$D$17)+'INTRODUCIR DATOS'!$D$15+'INTRODUCIR DATOS'!$D$16+(('INTRODUCIR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DATOS'!$D$17)+'INTRODUCIR DATOS'!$D$16)*21/100</f>
        <v>1.0285</v>
      </c>
      <c r="AE356" s="165">
        <f>IF(AD356=0,"",'INTRODUCIR DATOS'!$D$14-AD356)</f>
        <v>113.12150000000001</v>
      </c>
      <c r="AF356" s="165">
        <f>IF(AD356=0,"",('INTRODUCIR DATOS'!$D$14-AD356)/'INTRODUCIR DATOS'!$D$14)</f>
        <v>0.99098992553657472</v>
      </c>
      <c r="AG356" s="163"/>
      <c r="AH356" s="163"/>
      <c r="AI356" s="166"/>
      <c r="AJ356" s="218">
        <f>('INTRODUCIR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DATOS'!$D$17)+'INTRODUCIR DATOS'!$D$15+'INTRODUCIR DATOS'!$D$16+(('INTRODUCIR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DATOS'!$D$17)+'INTRODUCIR DATOS'!$D$16)*21/100</f>
        <v>1.0285</v>
      </c>
      <c r="AK356" s="165">
        <f>IF(AJ356=0,"",'INTRODUCIR DATOS'!$D$14-AJ356)</f>
        <v>113.12150000000001</v>
      </c>
      <c r="AL356" s="165">
        <f>IF(AJ356=0,"",('INTRODUCIR DATOS'!$D$14-AJ356)/'INTRODUCIR DATOS'!$D$14)</f>
        <v>0.99098992553657472</v>
      </c>
      <c r="AM356" s="163"/>
      <c r="AN356" s="163"/>
      <c r="AO356" s="166"/>
    </row>
    <row r="357" spans="23:41">
      <c r="W357" s="212" t="s">
        <v>214</v>
      </c>
      <c r="X357" s="217">
        <f>'PRECIOS CYE'!H19</f>
        <v>0</v>
      </c>
      <c r="Y357" s="163">
        <f>'PRECIOS CYE'!I19</f>
        <v>0</v>
      </c>
      <c r="Z357" s="163">
        <f>'PRECIOS CYE'!J19</f>
        <v>0</v>
      </c>
      <c r="AA357" s="163"/>
      <c r="AB357" s="163"/>
      <c r="AC357" s="205"/>
      <c r="AD357" s="217">
        <f>'PRECIOS CYE'!N19</f>
        <v>0</v>
      </c>
      <c r="AE357" s="163">
        <f>'PRECIOS CYE'!O19</f>
        <v>0</v>
      </c>
      <c r="AF357" s="163">
        <f>'PRECIOS CYE'!P19</f>
        <v>0</v>
      </c>
      <c r="AG357" s="163">
        <f>'PRECIOS CYE'!Q19</f>
        <v>0</v>
      </c>
      <c r="AH357" s="163">
        <f>'PRECIOS CYE'!R19</f>
        <v>0</v>
      </c>
      <c r="AI357" s="166">
        <f>'PRECIOS CYE'!S19</f>
        <v>0</v>
      </c>
      <c r="AJ357" s="172">
        <f>'PRECIOS CYE'!T19</f>
        <v>0</v>
      </c>
      <c r="AK357" s="163">
        <f>'PRECIOS CYE'!U19</f>
        <v>0</v>
      </c>
      <c r="AL357" s="163">
        <f>'PRECIOS CYE'!V19</f>
        <v>0</v>
      </c>
      <c r="AM357" s="163">
        <f>'PRECIOS CYE'!W19</f>
        <v>0</v>
      </c>
      <c r="AN357" s="163">
        <f>'PRECIOS CYE'!X19</f>
        <v>0</v>
      </c>
      <c r="AO357" s="166">
        <f>'PRECIOS CYE'!Y19</f>
        <v>0</v>
      </c>
    </row>
    <row r="358" spans="23:41">
      <c r="W358" s="212" t="s">
        <v>115</v>
      </c>
      <c r="X358" s="217">
        <f>'PRECIOS CYE'!H16</f>
        <v>0</v>
      </c>
      <c r="Y358" s="163">
        <f>'PRECIOS CYE'!I16</f>
        <v>0</v>
      </c>
      <c r="Z358" s="163">
        <f>'PRECIOS CYE'!J16</f>
        <v>0</v>
      </c>
      <c r="AA358" s="163"/>
      <c r="AB358" s="163"/>
      <c r="AC358" s="205"/>
      <c r="AD358" s="217">
        <f>'PRECIOS CYE'!N16</f>
        <v>0</v>
      </c>
      <c r="AE358" s="163">
        <f>'PRECIOS CYE'!O16</f>
        <v>0</v>
      </c>
      <c r="AF358" s="163">
        <f>'PRECIOS CYE'!P16</f>
        <v>0</v>
      </c>
      <c r="AG358" s="163">
        <f>'PRECIOS CYE'!Q16</f>
        <v>0</v>
      </c>
      <c r="AH358" s="163">
        <f>'PRECIOS CYE'!R16</f>
        <v>0</v>
      </c>
      <c r="AI358" s="166">
        <f>'PRECIOS CYE'!S16</f>
        <v>0</v>
      </c>
      <c r="AJ358" s="172">
        <f>'PRECIOS CYE'!T16</f>
        <v>0</v>
      </c>
      <c r="AK358" s="163">
        <f>'PRECIOS CYE'!U16</f>
        <v>0</v>
      </c>
      <c r="AL358" s="163">
        <f>'PRECIOS CYE'!V16</f>
        <v>0</v>
      </c>
      <c r="AM358" s="163">
        <f>'PRECIOS CYE'!W16</f>
        <v>0</v>
      </c>
      <c r="AN358" s="163">
        <f>'PRECIOS CYE'!X16</f>
        <v>0</v>
      </c>
      <c r="AO358" s="166">
        <f>'PRECIOS CYE'!Y16</f>
        <v>0</v>
      </c>
    </row>
    <row r="359" spans="23:41">
      <c r="W359" s="212"/>
      <c r="X359" s="218">
        <f>('INTRODUCIR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DATOS'!$D$17)+'INTRODUCIR DATOS'!$D$15+'INTRODUCIR DATOS'!$D$16+(('INTRODUCIR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DATOS'!$D$17)+'INTRODUCIR DATOS'!$D$16)*21/100</f>
        <v>1.0285</v>
      </c>
      <c r="Y359" s="165">
        <f>IF(X359=0,"",'INTRODUCIR DATOS'!$D$14-X359)</f>
        <v>113.12150000000001</v>
      </c>
      <c r="Z359" s="165">
        <f>IF(X359=0,"",('INTRODUCIR DATOS'!$D$14-X359)/'INTRODUCIR DATOS'!$D$14)</f>
        <v>0.99098992553657472</v>
      </c>
      <c r="AA359" s="163"/>
      <c r="AB359" s="163"/>
      <c r="AC359" s="205"/>
      <c r="AD359" s="218">
        <f>('INTRODUCIR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DATOS'!$D$17)+'INTRODUCIR DATOS'!$D$15+'INTRODUCIR DATOS'!$D$16+(('INTRODUCIR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DATOS'!$D$17)+'INTRODUCIR DATOS'!$D$16)*21/100</f>
        <v>1.0285</v>
      </c>
      <c r="AE359" s="165">
        <f>IF(AD359=0,"",'INTRODUCIR DATOS'!$D$14-AD359)</f>
        <v>113.12150000000001</v>
      </c>
      <c r="AF359" s="165">
        <f>IF(AD359=0,"",('INTRODUCIR DATOS'!$D$14-AD359)/'INTRODUCIR DATOS'!$D$14)</f>
        <v>0.99098992553657472</v>
      </c>
      <c r="AG359" s="163"/>
      <c r="AH359" s="163"/>
      <c r="AI359" s="166"/>
      <c r="AJ359" s="218">
        <f>('INTRODUCIR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DATOS'!$D$17)+'INTRODUCIR DATOS'!$D$15+'INTRODUCIR DATOS'!$D$16+(('INTRODUCIR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DATOS'!$D$17)+'INTRODUCIR DATOS'!$D$16)*21/100</f>
        <v>1.0285</v>
      </c>
      <c r="AK359" s="165">
        <f>IF(AJ359=0,"",'INTRODUCIR DATOS'!$D$14-AJ359)</f>
        <v>113.12150000000001</v>
      </c>
      <c r="AL359" s="165">
        <f>IF(AJ359=0,"",('INTRODUCIR DATOS'!$D$14-AJ359)/'INTRODUCIR DATOS'!$D$14)</f>
        <v>0.99098992553657472</v>
      </c>
      <c r="AM359" s="163"/>
      <c r="AN359" s="163"/>
      <c r="AO359" s="166"/>
    </row>
    <row r="360" spans="23:41">
      <c r="W360" s="212" t="s">
        <v>214</v>
      </c>
      <c r="X360" s="217">
        <f>'PRECIOS CYE'!H20</f>
        <v>0</v>
      </c>
      <c r="Y360" s="163">
        <f>'PRECIOS CYE'!I20</f>
        <v>0</v>
      </c>
      <c r="Z360" s="163">
        <f>'PRECIOS CYE'!J20</f>
        <v>0</v>
      </c>
      <c r="AA360" s="163"/>
      <c r="AB360" s="163"/>
      <c r="AC360" s="205"/>
      <c r="AD360" s="217">
        <f>'PRECIOS CYE'!N20</f>
        <v>0</v>
      </c>
      <c r="AE360" s="163">
        <f>'PRECIOS CYE'!O20</f>
        <v>0</v>
      </c>
      <c r="AF360" s="163">
        <f>'PRECIOS CYE'!P20</f>
        <v>0</v>
      </c>
      <c r="AG360" s="163">
        <f>'PRECIOS CYE'!Q20</f>
        <v>0</v>
      </c>
      <c r="AH360" s="163">
        <f>'PRECIOS CYE'!R20</f>
        <v>0</v>
      </c>
      <c r="AI360" s="166">
        <f>'PRECIOS CYE'!S20</f>
        <v>0</v>
      </c>
      <c r="AJ360" s="172">
        <f>'PRECIOS CYE'!T20</f>
        <v>0</v>
      </c>
      <c r="AK360" s="163">
        <f>'PRECIOS CYE'!U20</f>
        <v>0</v>
      </c>
      <c r="AL360" s="163">
        <f>'PRECIOS CYE'!V20</f>
        <v>0</v>
      </c>
      <c r="AM360" s="163">
        <f>'PRECIOS CYE'!W20</f>
        <v>0</v>
      </c>
      <c r="AN360" s="163">
        <f>'PRECIOS CYE'!X20</f>
        <v>0</v>
      </c>
      <c r="AO360" s="166">
        <f>'PRECIOS CYE'!Y20</f>
        <v>0</v>
      </c>
    </row>
    <row r="361" spans="23:41">
      <c r="W361" s="212" t="s">
        <v>116</v>
      </c>
      <c r="X361" s="217">
        <f>'PRECIOS CYE'!H16</f>
        <v>0</v>
      </c>
      <c r="Y361" s="163">
        <f>'PRECIOS CYE'!I16</f>
        <v>0</v>
      </c>
      <c r="Z361" s="163">
        <f>'PRECIOS CYE'!J16</f>
        <v>0</v>
      </c>
      <c r="AA361" s="163"/>
      <c r="AB361" s="163"/>
      <c r="AC361" s="205"/>
      <c r="AD361" s="217">
        <f>'PRECIOS CYE'!N16</f>
        <v>0</v>
      </c>
      <c r="AE361" s="163">
        <f>'PRECIOS CYE'!O16</f>
        <v>0</v>
      </c>
      <c r="AF361" s="163">
        <f>'PRECIOS CYE'!P16</f>
        <v>0</v>
      </c>
      <c r="AG361" s="163">
        <f>'PRECIOS CYE'!Q16</f>
        <v>0</v>
      </c>
      <c r="AH361" s="163">
        <f>'PRECIOS CYE'!R16</f>
        <v>0</v>
      </c>
      <c r="AI361" s="166">
        <f>'PRECIOS CYE'!S16</f>
        <v>0</v>
      </c>
      <c r="AJ361" s="172">
        <f>'PRECIOS CYE'!T16</f>
        <v>0</v>
      </c>
      <c r="AK361" s="163">
        <f>'PRECIOS CYE'!U16</f>
        <v>0</v>
      </c>
      <c r="AL361" s="163">
        <f>'PRECIOS CYE'!V16</f>
        <v>0</v>
      </c>
      <c r="AM361" s="163">
        <f>'PRECIOS CYE'!W16</f>
        <v>0</v>
      </c>
      <c r="AN361" s="163">
        <f>'PRECIOS CYE'!X16</f>
        <v>0</v>
      </c>
      <c r="AO361" s="166">
        <f>'PRECIOS CYE'!Y16</f>
        <v>0</v>
      </c>
    </row>
    <row r="362" spans="23:41">
      <c r="W362" s="212"/>
      <c r="X362" s="218">
        <f>('INTRODUCIR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DATOS'!$D$17)+'INTRODUCIR DATOS'!$D$15+'INTRODUCIR DATOS'!$D$16+(('INTRODUCIR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DATOS'!$D$17)+'INTRODUCIR DATOS'!$D$16)*21/100</f>
        <v>1.0285</v>
      </c>
      <c r="Y362" s="165">
        <f>IF(X362=0,"",'INTRODUCIR DATOS'!$D$14-X362)</f>
        <v>113.12150000000001</v>
      </c>
      <c r="Z362" s="165">
        <f>IF(X362=0,"",('INTRODUCIR DATOS'!$D$14-X362)/'INTRODUCIR DATOS'!$D$14)</f>
        <v>0.99098992553657472</v>
      </c>
      <c r="AA362" s="163"/>
      <c r="AB362" s="163"/>
      <c r="AC362" s="205"/>
      <c r="AD362" s="218">
        <f>('INTRODUCIR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DATOS'!$D$17)+'INTRODUCIR DATOS'!$D$15+'INTRODUCIR DATOS'!$D$16+(('INTRODUCIR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DATOS'!$D$17)+'INTRODUCIR DATOS'!$D$16)*21/100</f>
        <v>1.0285</v>
      </c>
      <c r="AE362" s="165">
        <f>IF(AD362=0,"",'INTRODUCIR DATOS'!$D$14-AD362)</f>
        <v>113.12150000000001</v>
      </c>
      <c r="AF362" s="165">
        <f>IF(AD362=0,"",('INTRODUCIR DATOS'!$D$14-AD362)/'INTRODUCIR DATOS'!$D$14)</f>
        <v>0.99098992553657472</v>
      </c>
      <c r="AG362" s="163"/>
      <c r="AH362" s="163"/>
      <c r="AI362" s="166"/>
      <c r="AJ362" s="218">
        <f>('INTRODUCIR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DATOS'!$D$17)+'INTRODUCIR DATOS'!$D$15+'INTRODUCIR DATOS'!$D$16+(('INTRODUCIR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DATOS'!$D$17)+'INTRODUCIR DATOS'!$D$16)*21/100</f>
        <v>1.0285</v>
      </c>
      <c r="AK362" s="165">
        <f>IF(AJ362=0,"",'INTRODUCIR DATOS'!$D$14-AJ362)</f>
        <v>113.12150000000001</v>
      </c>
      <c r="AL362" s="165">
        <f>IF(AJ362=0,"",('INTRODUCIR DATOS'!$D$14-AJ362)/'INTRODUCIR DATOS'!$D$14)</f>
        <v>0.99098992553657472</v>
      </c>
      <c r="AM362" s="163"/>
      <c r="AN362" s="163"/>
      <c r="AO362" s="166"/>
    </row>
    <row r="363" spans="23:41">
      <c r="W363" s="212" t="s">
        <v>214</v>
      </c>
      <c r="X363" s="217">
        <f>'PRECIOS CYE'!H21</f>
        <v>0</v>
      </c>
      <c r="Y363" s="163">
        <f>'PRECIOS CYE'!I21</f>
        <v>0</v>
      </c>
      <c r="Z363" s="163">
        <f>'PRECIOS CYE'!J21</f>
        <v>0</v>
      </c>
      <c r="AA363" s="163"/>
      <c r="AB363" s="163"/>
      <c r="AC363" s="205"/>
      <c r="AD363" s="217">
        <f>'PRECIOS CYE'!N21</f>
        <v>0</v>
      </c>
      <c r="AE363" s="163">
        <f>'PRECIOS CYE'!O21</f>
        <v>0</v>
      </c>
      <c r="AF363" s="163">
        <f>'PRECIOS CYE'!P21</f>
        <v>0</v>
      </c>
      <c r="AG363" s="163">
        <f>'PRECIOS CYE'!Q21</f>
        <v>0</v>
      </c>
      <c r="AH363" s="163">
        <f>'PRECIOS CYE'!R21</f>
        <v>0</v>
      </c>
      <c r="AI363" s="166">
        <f>'PRECIOS CYE'!S21</f>
        <v>0</v>
      </c>
      <c r="AJ363" s="172">
        <f>'PRECIOS CYE'!T21</f>
        <v>0</v>
      </c>
      <c r="AK363" s="163">
        <f>'PRECIOS CYE'!U21</f>
        <v>0</v>
      </c>
      <c r="AL363" s="163">
        <f>'PRECIOS CYE'!V21</f>
        <v>0</v>
      </c>
      <c r="AM363" s="163">
        <f>'PRECIOS CYE'!W21</f>
        <v>0</v>
      </c>
      <c r="AN363" s="163">
        <f>'PRECIOS CYE'!X21</f>
        <v>0</v>
      </c>
      <c r="AO363" s="166">
        <f>'PRECIOS CYE'!Y21</f>
        <v>0</v>
      </c>
    </row>
    <row r="364" spans="23:41">
      <c r="W364" s="212" t="s">
        <v>60</v>
      </c>
      <c r="X364" s="217">
        <f>'PRECIOS CYE'!H16</f>
        <v>0</v>
      </c>
      <c r="Y364" s="163">
        <f>'PRECIOS CYE'!I16</f>
        <v>0</v>
      </c>
      <c r="Z364" s="163">
        <f>'PRECIOS CYE'!J16</f>
        <v>0</v>
      </c>
      <c r="AA364" s="163"/>
      <c r="AB364" s="163"/>
      <c r="AC364" s="205"/>
      <c r="AD364" s="217">
        <f>'PRECIOS CYE'!N16</f>
        <v>0</v>
      </c>
      <c r="AE364" s="163">
        <f>'PRECIOS CYE'!O16</f>
        <v>0</v>
      </c>
      <c r="AF364" s="163">
        <f>'PRECIOS CYE'!P16</f>
        <v>0</v>
      </c>
      <c r="AG364" s="163">
        <f>'PRECIOS CYE'!Q16</f>
        <v>0</v>
      </c>
      <c r="AH364" s="163">
        <f>'PRECIOS CYE'!R16</f>
        <v>0</v>
      </c>
      <c r="AI364" s="166">
        <f>'PRECIOS CYE'!S16</f>
        <v>0</v>
      </c>
      <c r="AJ364" s="172">
        <f>'PRECIOS CYE'!T16</f>
        <v>0</v>
      </c>
      <c r="AK364" s="163">
        <f>'PRECIOS CYE'!U16</f>
        <v>0</v>
      </c>
      <c r="AL364" s="163">
        <f>'PRECIOS CYE'!V16</f>
        <v>0</v>
      </c>
      <c r="AM364" s="163">
        <f>'PRECIOS CYE'!W16</f>
        <v>0</v>
      </c>
      <c r="AN364" s="163">
        <f>'PRECIOS CYE'!X16</f>
        <v>0</v>
      </c>
      <c r="AO364" s="166">
        <f>'PRECIOS CYE'!Y16</f>
        <v>0</v>
      </c>
    </row>
    <row r="365" spans="23:41">
      <c r="W365" s="212"/>
      <c r="X365" s="218">
        <f>('INTRODUCIR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DATOS'!$D$17)+'INTRODUCIR DATOS'!$D$15+'INTRODUCIR DATOS'!$D$16+(('INTRODUCIR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DATOS'!$D$17)+'INTRODUCIR DATOS'!$D$16)*21/100</f>
        <v>1.0285</v>
      </c>
      <c r="Y365" s="165">
        <f>IF(X365=0,"",'INTRODUCIR DATOS'!$D$14-X365)</f>
        <v>113.12150000000001</v>
      </c>
      <c r="Z365" s="165">
        <f>IF(X365=0,"",('INTRODUCIR DATOS'!$D$14-X365)/'INTRODUCIR DATOS'!$D$14)</f>
        <v>0.99098992553657472</v>
      </c>
      <c r="AA365" s="163"/>
      <c r="AB365" s="163"/>
      <c r="AC365" s="205"/>
      <c r="AD365" s="218">
        <f>('INTRODUCIR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DATOS'!$D$17)+'INTRODUCIR DATOS'!$D$15+'INTRODUCIR DATOS'!$D$16+(('INTRODUCIR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DATOS'!$D$17)+'INTRODUCIR DATOS'!$D$16)*21/100</f>
        <v>1.0285</v>
      </c>
      <c r="AE365" s="165">
        <f>IF(AD365=0,"",'INTRODUCIR DATOS'!$D$14-AD365)</f>
        <v>113.12150000000001</v>
      </c>
      <c r="AF365" s="165">
        <f>IF(AD365=0,"",('INTRODUCIR DATOS'!$D$14-AD365)/'INTRODUCIR DATOS'!$D$14)</f>
        <v>0.99098992553657472</v>
      </c>
      <c r="AG365" s="163"/>
      <c r="AH365" s="163"/>
      <c r="AI365" s="166"/>
      <c r="AJ365" s="218">
        <f>('INTRODUCIR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DATOS'!$D$17)+'INTRODUCIR DATOS'!$D$15+'INTRODUCIR DATOS'!$D$16+(('INTRODUCIR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DATOS'!$D$17)+'INTRODUCIR DATOS'!$D$16)*21/100</f>
        <v>1.0285</v>
      </c>
      <c r="AK365" s="165">
        <f>IF(AJ365=0,"",'INTRODUCIR DATOS'!$D$14-AJ365)</f>
        <v>113.12150000000001</v>
      </c>
      <c r="AL365" s="165">
        <f>IF(AJ365=0,"",('INTRODUCIR DATOS'!$D$14-AJ365)/'INTRODUCIR DATOS'!$D$14)</f>
        <v>0.99098992553657472</v>
      </c>
      <c r="AM365" s="163"/>
      <c r="AN365" s="163"/>
      <c r="AO365" s="166"/>
    </row>
    <row r="366" spans="23:41">
      <c r="W366" s="212" t="s">
        <v>214</v>
      </c>
      <c r="X366" s="217">
        <f>'PRECIOS CYE'!H22</f>
        <v>0</v>
      </c>
      <c r="Y366" s="163">
        <f>'PRECIOS CYE'!I22</f>
        <v>0</v>
      </c>
      <c r="Z366" s="163">
        <f>'PRECIOS CYE'!J22</f>
        <v>0</v>
      </c>
      <c r="AA366" s="163"/>
      <c r="AB366" s="163"/>
      <c r="AC366" s="205"/>
      <c r="AD366" s="217">
        <f>'PRECIOS CYE'!N22</f>
        <v>0</v>
      </c>
      <c r="AE366" s="163">
        <f>'PRECIOS CYE'!O22</f>
        <v>0</v>
      </c>
      <c r="AF366" s="163">
        <f>'PRECIOS CYE'!P22</f>
        <v>0</v>
      </c>
      <c r="AG366" s="163">
        <f>'PRECIOS CYE'!Q22</f>
        <v>0</v>
      </c>
      <c r="AH366" s="163">
        <f>'PRECIOS CYE'!R22</f>
        <v>0</v>
      </c>
      <c r="AI366" s="166">
        <f>'PRECIOS CYE'!S22</f>
        <v>0</v>
      </c>
      <c r="AJ366" s="172">
        <f>'PRECIOS CYE'!T22</f>
        <v>0</v>
      </c>
      <c r="AK366" s="163">
        <f>'PRECIOS CYE'!U22</f>
        <v>0</v>
      </c>
      <c r="AL366" s="163">
        <f>'PRECIOS CYE'!V22</f>
        <v>0</v>
      </c>
      <c r="AM366" s="163">
        <f>'PRECIOS CYE'!W22</f>
        <v>0</v>
      </c>
      <c r="AN366" s="163">
        <f>'PRECIOS CYE'!X22</f>
        <v>0</v>
      </c>
      <c r="AO366" s="166">
        <f>'PRECIOS CYE'!Y22</f>
        <v>0</v>
      </c>
    </row>
    <row r="367" spans="23:41">
      <c r="W367" s="212" t="s">
        <v>62</v>
      </c>
      <c r="X367" s="217">
        <f>'PRECIOS CYE'!H16</f>
        <v>0</v>
      </c>
      <c r="Y367" s="163">
        <f>'PRECIOS CYE'!I16</f>
        <v>0</v>
      </c>
      <c r="Z367" s="163">
        <f>'PRECIOS CYE'!J16</f>
        <v>0</v>
      </c>
      <c r="AA367" s="163"/>
      <c r="AB367" s="163"/>
      <c r="AC367" s="205"/>
      <c r="AD367" s="217">
        <f>'PRECIOS CYE'!N16</f>
        <v>0</v>
      </c>
      <c r="AE367" s="163">
        <f>'PRECIOS CYE'!O16</f>
        <v>0</v>
      </c>
      <c r="AF367" s="163">
        <f>'PRECIOS CYE'!P16</f>
        <v>0</v>
      </c>
      <c r="AG367" s="163">
        <f>'PRECIOS CYE'!Q16</f>
        <v>0</v>
      </c>
      <c r="AH367" s="163">
        <f>'PRECIOS CYE'!R16</f>
        <v>0</v>
      </c>
      <c r="AI367" s="166">
        <f>'PRECIOS CYE'!S16</f>
        <v>0</v>
      </c>
      <c r="AJ367" s="172">
        <f>'PRECIOS CYE'!T16</f>
        <v>0</v>
      </c>
      <c r="AK367" s="163">
        <f>'PRECIOS CYE'!U16</f>
        <v>0</v>
      </c>
      <c r="AL367" s="163">
        <f>'PRECIOS CYE'!V16</f>
        <v>0</v>
      </c>
      <c r="AM367" s="163">
        <f>'PRECIOS CYE'!W16</f>
        <v>0</v>
      </c>
      <c r="AN367" s="163">
        <f>'PRECIOS CYE'!X16</f>
        <v>0</v>
      </c>
      <c r="AO367" s="166">
        <f>'PRECIOS CYE'!Y16</f>
        <v>0</v>
      </c>
    </row>
    <row r="368" spans="23:41">
      <c r="W368" s="212"/>
      <c r="X368" s="218">
        <f>('INTRODUCIR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DATOS'!$D$17)+'INTRODUCIR DATOS'!$D$15+'INTRODUCIR DATOS'!$D$16+(('INTRODUCIR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DATOS'!$D$17)+'INTRODUCIR DATOS'!$D$16)*21/100</f>
        <v>1.0285</v>
      </c>
      <c r="Y368" s="165">
        <f>IF(X368=0,"",'INTRODUCIR DATOS'!$D$14-X368)</f>
        <v>113.12150000000001</v>
      </c>
      <c r="Z368" s="165">
        <f>IF(X368=0,"",('INTRODUCIR DATOS'!$D$14-X368)/'INTRODUCIR DATOS'!$D$14)</f>
        <v>0.99098992553657472</v>
      </c>
      <c r="AA368" s="163"/>
      <c r="AB368" s="163"/>
      <c r="AC368" s="205"/>
      <c r="AD368" s="218">
        <f>('INTRODUCIR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DATOS'!$D$17)+'INTRODUCIR DATOS'!$D$15+'INTRODUCIR DATOS'!$D$16+(('INTRODUCIR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DATOS'!$D$17)+'INTRODUCIR DATOS'!$D$16)*21/100</f>
        <v>1.0285</v>
      </c>
      <c r="AE368" s="165">
        <f>IF(AD368=0,"",'INTRODUCIR DATOS'!$D$14-AD368)</f>
        <v>113.12150000000001</v>
      </c>
      <c r="AF368" s="165">
        <f>IF(AD368=0,"",('INTRODUCIR DATOS'!$D$14-AD368)/'INTRODUCIR DATOS'!$D$14)</f>
        <v>0.99098992553657472</v>
      </c>
      <c r="AG368" s="163"/>
      <c r="AH368" s="163"/>
      <c r="AI368" s="166"/>
      <c r="AJ368" s="218">
        <f>('INTRODUCIR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DATOS'!$D$17)+'INTRODUCIR DATOS'!$D$15+'INTRODUCIR DATOS'!$D$16+(('INTRODUCIR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DATOS'!$D$17)+'INTRODUCIR DATOS'!$D$16)*21/100</f>
        <v>1.0285</v>
      </c>
      <c r="AK368" s="165">
        <f>IF(AJ368=0,"",'INTRODUCIR DATOS'!$D$14-AJ368)</f>
        <v>113.12150000000001</v>
      </c>
      <c r="AL368" s="165">
        <f>IF(AJ368=0,"",('INTRODUCIR DATOS'!$D$14-AJ368)/'INTRODUCIR DATOS'!$D$14)</f>
        <v>0.99098992553657472</v>
      </c>
      <c r="AM368" s="163"/>
      <c r="AN368" s="163"/>
      <c r="AO368" s="166"/>
    </row>
    <row r="369" spans="23:41">
      <c r="W369" s="212" t="s">
        <v>214</v>
      </c>
      <c r="X369" s="217">
        <f>'PRECIOS CYE'!H23</f>
        <v>0</v>
      </c>
      <c r="Y369" s="163">
        <f>'PRECIOS CYE'!I23</f>
        <v>0</v>
      </c>
      <c r="Z369" s="163">
        <f>'PRECIOS CYE'!J23</f>
        <v>0</v>
      </c>
      <c r="AA369" s="163"/>
      <c r="AB369" s="163"/>
      <c r="AC369" s="205"/>
      <c r="AD369" s="217"/>
      <c r="AE369" s="163"/>
      <c r="AF369" s="163"/>
      <c r="AG369" s="163"/>
      <c r="AH369" s="163"/>
      <c r="AI369" s="166"/>
      <c r="AJ369" s="172"/>
      <c r="AK369" s="163"/>
      <c r="AL369" s="163"/>
      <c r="AM369" s="163"/>
      <c r="AN369" s="163"/>
      <c r="AO369" s="166"/>
    </row>
    <row r="370" spans="23:41">
      <c r="W370" s="212" t="s">
        <v>63</v>
      </c>
      <c r="X370" s="217">
        <f>'PRECIOS CYE'!H16</f>
        <v>0</v>
      </c>
      <c r="Y370" s="163">
        <f>'PRECIOS CYE'!I16</f>
        <v>0</v>
      </c>
      <c r="Z370" s="163">
        <f>'PRECIOS CYE'!J16</f>
        <v>0</v>
      </c>
      <c r="AA370" s="163"/>
      <c r="AB370" s="163"/>
      <c r="AC370" s="205"/>
      <c r="AD370" s="217"/>
      <c r="AE370" s="163"/>
      <c r="AF370" s="163"/>
      <c r="AG370" s="163"/>
      <c r="AH370" s="163"/>
      <c r="AI370" s="166"/>
      <c r="AJ370" s="172"/>
      <c r="AK370" s="163"/>
      <c r="AL370" s="163"/>
      <c r="AM370" s="163"/>
      <c r="AN370" s="163"/>
      <c r="AO370" s="166"/>
    </row>
    <row r="371" spans="23:41">
      <c r="W371" s="212"/>
      <c r="X371" s="218">
        <f>('INTRODUCIR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DATOS'!$D$17)+'INTRODUCIR DATOS'!$D$15+'INTRODUCIR DATOS'!$D$16+(('INTRODUCIR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DATOS'!$D$17)+'INTRODUCIR DATOS'!$D$16)*21/100</f>
        <v>1.0285</v>
      </c>
      <c r="Y371" s="165">
        <f>IF(X371=0,"",'INTRODUCIR DATOS'!$D$14-X371)</f>
        <v>113.12150000000001</v>
      </c>
      <c r="Z371" s="165">
        <f>IF(X371=0,"",('INTRODUCIR DATOS'!$D$14-X371)/'INTRODUCIR DATOS'!$D$14)</f>
        <v>0.99098992553657472</v>
      </c>
      <c r="AA371" s="163"/>
      <c r="AB371" s="163"/>
      <c r="AC371" s="205"/>
      <c r="AD371" s="218"/>
      <c r="AE371" s="165"/>
      <c r="AF371" s="165"/>
      <c r="AG371" s="163"/>
      <c r="AH371" s="163"/>
      <c r="AI371" s="166"/>
      <c r="AJ371" s="173"/>
      <c r="AK371" s="165"/>
      <c r="AL371" s="165"/>
      <c r="AM371" s="163"/>
      <c r="AN371" s="163"/>
      <c r="AO371" s="166"/>
    </row>
    <row r="372" spans="23:41">
      <c r="W372" s="212" t="s">
        <v>214</v>
      </c>
      <c r="X372" s="217">
        <f>'PRECIOS CYE'!H24</f>
        <v>0</v>
      </c>
      <c r="Y372" s="163">
        <f>'PRECIOS CYE'!I24</f>
        <v>0</v>
      </c>
      <c r="Z372" s="163">
        <f>'PRECIOS CYE'!J24</f>
        <v>0</v>
      </c>
      <c r="AA372" s="163"/>
      <c r="AB372" s="163"/>
      <c r="AC372" s="205"/>
      <c r="AD372" s="217"/>
      <c r="AE372" s="163"/>
      <c r="AF372" s="163"/>
      <c r="AG372" s="163"/>
      <c r="AH372" s="163"/>
      <c r="AI372" s="166"/>
      <c r="AJ372" s="172"/>
      <c r="AK372" s="163"/>
      <c r="AL372" s="163"/>
      <c r="AM372" s="163"/>
      <c r="AN372" s="163"/>
      <c r="AO372" s="166"/>
    </row>
    <row r="373" spans="23:41">
      <c r="W373" s="212" t="s">
        <v>65</v>
      </c>
      <c r="X373" s="217">
        <f>'PRECIOS CYE'!H16</f>
        <v>0</v>
      </c>
      <c r="Y373" s="163">
        <f>'PRECIOS CYE'!I16</f>
        <v>0</v>
      </c>
      <c r="Z373" s="163">
        <f>'PRECIOS CYE'!J16</f>
        <v>0</v>
      </c>
      <c r="AA373" s="163"/>
      <c r="AB373" s="163"/>
      <c r="AC373" s="205"/>
      <c r="AD373" s="217"/>
      <c r="AE373" s="163"/>
      <c r="AF373" s="163"/>
      <c r="AG373" s="163"/>
      <c r="AH373" s="163"/>
      <c r="AI373" s="166"/>
      <c r="AJ373" s="172"/>
      <c r="AK373" s="163"/>
      <c r="AL373" s="163"/>
      <c r="AM373" s="163"/>
      <c r="AN373" s="163"/>
      <c r="AO373" s="166"/>
    </row>
    <row r="374" spans="23:41">
      <c r="W374" s="212"/>
      <c r="X374" s="218">
        <f>('INTRODUCIR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DATOS'!$D$17)+'INTRODUCIR DATOS'!$D$15+'INTRODUCIR DATOS'!$D$16+(('INTRODUCIR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DATOS'!$D$17)+'INTRODUCIR DATOS'!$D$16)*21/100</f>
        <v>1.0285</v>
      </c>
      <c r="Y374" s="165">
        <f>IF(X374=0,"",'INTRODUCIR DATOS'!$D$14-X374)</f>
        <v>113.12150000000001</v>
      </c>
      <c r="Z374" s="165">
        <f>IF(X374=0,"",('INTRODUCIR DATOS'!$D$14-X374)/'INTRODUCIR DATOS'!$D$14)</f>
        <v>0.99098992553657472</v>
      </c>
      <c r="AA374" s="163"/>
      <c r="AB374" s="163"/>
      <c r="AC374" s="205"/>
      <c r="AD374" s="218"/>
      <c r="AE374" s="165"/>
      <c r="AF374" s="165"/>
      <c r="AG374" s="163"/>
      <c r="AH374" s="163"/>
      <c r="AI374" s="166"/>
      <c r="AJ374" s="173"/>
      <c r="AK374" s="165"/>
      <c r="AL374" s="165"/>
      <c r="AM374" s="163"/>
      <c r="AN374" s="163"/>
      <c r="AO374" s="166"/>
    </row>
    <row r="375" spans="23:41">
      <c r="W375" s="212" t="s">
        <v>214</v>
      </c>
      <c r="X375" s="217">
        <f>'PRECIOS CYE'!H25</f>
        <v>0</v>
      </c>
      <c r="Y375" s="163">
        <f>'PRECIOS CYE'!I25</f>
        <v>0</v>
      </c>
      <c r="Z375" s="163">
        <f>'PRECIOS CYE'!J25</f>
        <v>0</v>
      </c>
      <c r="AA375" s="163"/>
      <c r="AB375" s="163"/>
      <c r="AC375" s="205"/>
      <c r="AD375" s="217"/>
      <c r="AE375" s="163"/>
      <c r="AF375" s="163"/>
      <c r="AG375" s="163"/>
      <c r="AH375" s="163"/>
      <c r="AI375" s="166"/>
      <c r="AJ375" s="172"/>
      <c r="AK375" s="163"/>
      <c r="AL375" s="163"/>
      <c r="AM375" s="163"/>
      <c r="AN375" s="163"/>
      <c r="AO375" s="166"/>
    </row>
    <row r="376" spans="23:41">
      <c r="W376" s="212" t="s">
        <v>199</v>
      </c>
      <c r="X376" s="217">
        <f>'PRECIOS CYE'!H16</f>
        <v>0</v>
      </c>
      <c r="Y376" s="163">
        <f>'PRECIOS CYE'!I16</f>
        <v>0</v>
      </c>
      <c r="Z376" s="163">
        <f>'PRECIOS CYE'!J16</f>
        <v>0</v>
      </c>
      <c r="AA376" s="163"/>
      <c r="AB376" s="163"/>
      <c r="AC376" s="205"/>
      <c r="AD376" s="217"/>
      <c r="AE376" s="163"/>
      <c r="AF376" s="163"/>
      <c r="AG376" s="163"/>
      <c r="AH376" s="163"/>
      <c r="AI376" s="166"/>
      <c r="AJ376" s="172"/>
      <c r="AK376" s="163"/>
      <c r="AL376" s="163"/>
      <c r="AM376" s="163"/>
      <c r="AN376" s="163"/>
      <c r="AO376" s="166"/>
    </row>
    <row r="377" spans="23:41">
      <c r="W377" s="212"/>
      <c r="X377" s="218">
        <f>('INTRODUCIR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DATOS'!$D$17)+'INTRODUCIR DATOS'!$D$15+'INTRODUCIR DATOS'!$D$16+(('INTRODUCIR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DATOS'!$D$17)+'INTRODUCIR DATOS'!$D$16)*21/100</f>
        <v>1.0285</v>
      </c>
      <c r="Y377" s="165">
        <f>IF(X377=0,"",'INTRODUCIR DATOS'!$D$14-X377)</f>
        <v>113.12150000000001</v>
      </c>
      <c r="Z377" s="165">
        <f>IF(X377=0,"",('INTRODUCIR DATOS'!$D$14-X377)/'INTRODUCIR DATOS'!$D$14)</f>
        <v>0.99098992553657472</v>
      </c>
      <c r="AA377" s="163"/>
      <c r="AB377" s="163"/>
      <c r="AC377" s="205"/>
      <c r="AD377" s="218"/>
      <c r="AE377" s="165"/>
      <c r="AF377" s="165"/>
      <c r="AG377" s="163"/>
      <c r="AH377" s="163"/>
      <c r="AI377" s="166"/>
      <c r="AJ377" s="173"/>
      <c r="AK377" s="165"/>
      <c r="AL377" s="165"/>
      <c r="AM377" s="163"/>
      <c r="AN377" s="163"/>
      <c r="AO377" s="166"/>
    </row>
    <row r="378" spans="23:41">
      <c r="W378" s="212" t="s">
        <v>214</v>
      </c>
      <c r="X378" s="217">
        <f>'PRECIOS CYE'!H26</f>
        <v>0</v>
      </c>
      <c r="Y378" s="163">
        <f>'PRECIOS CYE'!I26</f>
        <v>0</v>
      </c>
      <c r="Z378" s="163">
        <f>'PRECIOS CYE'!J26</f>
        <v>0</v>
      </c>
      <c r="AA378" s="163"/>
      <c r="AB378" s="163"/>
      <c r="AC378" s="205"/>
      <c r="AD378" s="217"/>
      <c r="AE378" s="163"/>
      <c r="AF378" s="163"/>
      <c r="AG378" s="163"/>
      <c r="AH378" s="163"/>
      <c r="AI378" s="166"/>
      <c r="AJ378" s="172"/>
      <c r="AK378" s="163"/>
      <c r="AL378" s="163"/>
      <c r="AM378" s="163"/>
      <c r="AN378" s="163"/>
      <c r="AO378" s="166"/>
    </row>
    <row r="379" spans="23:41">
      <c r="W379" s="212" t="s">
        <v>200</v>
      </c>
      <c r="X379" s="217">
        <f>'PRECIOS CYE'!H16</f>
        <v>0</v>
      </c>
      <c r="Y379" s="163">
        <f>'PRECIOS CYE'!I16</f>
        <v>0</v>
      </c>
      <c r="Z379" s="163">
        <f>'PRECIOS CYE'!J16</f>
        <v>0</v>
      </c>
      <c r="AA379" s="163"/>
      <c r="AB379" s="163"/>
      <c r="AC379" s="205"/>
      <c r="AD379" s="217"/>
      <c r="AE379" s="163"/>
      <c r="AF379" s="163"/>
      <c r="AG379" s="163"/>
      <c r="AH379" s="163"/>
      <c r="AI379" s="166"/>
      <c r="AJ379" s="172"/>
      <c r="AK379" s="163"/>
      <c r="AL379" s="163"/>
      <c r="AM379" s="163"/>
      <c r="AN379" s="163"/>
      <c r="AO379" s="166"/>
    </row>
    <row r="380" spans="23:41">
      <c r="W380" s="212"/>
      <c r="X380" s="218">
        <f>('INTRODUCIR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DATOS'!$D$17)+'INTRODUCIR DATOS'!$D$15+'INTRODUCIR DATOS'!$D$16+(('INTRODUCIR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DATOS'!$D$17)+'INTRODUCIR DATOS'!$D$16)*21/100</f>
        <v>1.0285</v>
      </c>
      <c r="Y380" s="165">
        <f>IF(X380=0,"",'INTRODUCIR DATOS'!$D$14-X380)</f>
        <v>113.12150000000001</v>
      </c>
      <c r="Z380" s="165">
        <f>IF(X380=0,"",('INTRODUCIR DATOS'!$D$14-X380)/'INTRODUCIR DATOS'!$D$14)</f>
        <v>0.99098992553657472</v>
      </c>
      <c r="AA380" s="163"/>
      <c r="AB380" s="163"/>
      <c r="AC380" s="205"/>
      <c r="AD380" s="218"/>
      <c r="AE380" s="165"/>
      <c r="AF380" s="165"/>
      <c r="AG380" s="163"/>
      <c r="AH380" s="163"/>
      <c r="AI380" s="166"/>
      <c r="AJ380" s="173"/>
      <c r="AK380" s="165"/>
      <c r="AL380" s="165"/>
      <c r="AM380" s="163"/>
      <c r="AN380" s="163"/>
      <c r="AO380" s="166"/>
    </row>
    <row r="381" spans="23:41">
      <c r="W381" s="212" t="s">
        <v>215</v>
      </c>
      <c r="X381" s="218">
        <f>'PRECIOS CYE'!H18</f>
        <v>0</v>
      </c>
      <c r="Y381" s="164">
        <f>'PRECIOS CYE'!I18</f>
        <v>0</v>
      </c>
      <c r="Z381" s="164">
        <f>'PRECIOS CYE'!J18</f>
        <v>0</v>
      </c>
      <c r="AA381" s="164"/>
      <c r="AB381" s="164"/>
      <c r="AC381" s="219"/>
      <c r="AD381" s="218">
        <f>'PRECIOS CYE'!N18</f>
        <v>0</v>
      </c>
      <c r="AE381" s="164">
        <f>'PRECIOS CYE'!O18</f>
        <v>0</v>
      </c>
      <c r="AF381" s="164">
        <f>'PRECIOS CYE'!P18</f>
        <v>0</v>
      </c>
      <c r="AG381" s="164">
        <f>'PRECIOS CYE'!Q18</f>
        <v>0</v>
      </c>
      <c r="AH381" s="164">
        <f>'PRECIOS CYE'!R18</f>
        <v>0</v>
      </c>
      <c r="AI381" s="167">
        <f>'PRECIOS CYE'!S18</f>
        <v>0</v>
      </c>
      <c r="AJ381" s="173">
        <f>'PRECIOS CYE'!T18</f>
        <v>0</v>
      </c>
      <c r="AK381" s="164">
        <f>'PRECIOS CYE'!U18</f>
        <v>0</v>
      </c>
      <c r="AL381" s="164">
        <f>'PRECIOS CYE'!V18</f>
        <v>0</v>
      </c>
      <c r="AM381" s="164">
        <f>'PRECIOS CYE'!W18</f>
        <v>0</v>
      </c>
      <c r="AN381" s="164">
        <f>'PRECIOS CYE'!X18</f>
        <v>0</v>
      </c>
      <c r="AO381" s="167">
        <f>'PRECIOS CYE'!Y18</f>
        <v>0</v>
      </c>
    </row>
    <row r="382" spans="23:41">
      <c r="W382" s="212" t="s">
        <v>41</v>
      </c>
      <c r="X382" s="218">
        <f>'PRECIOS CYE'!H17</f>
        <v>0</v>
      </c>
      <c r="Y382" s="164">
        <f>'PRECIOS CYE'!I17</f>
        <v>0</v>
      </c>
      <c r="Z382" s="164">
        <f>'PRECIOS CYE'!J17</f>
        <v>0</v>
      </c>
      <c r="AA382" s="164"/>
      <c r="AB382" s="164"/>
      <c r="AC382" s="219"/>
      <c r="AD382" s="218">
        <f>'PRECIOS CYE'!N17</f>
        <v>0</v>
      </c>
      <c r="AE382" s="164">
        <f>'PRECIOS CYE'!O17</f>
        <v>0</v>
      </c>
      <c r="AF382" s="164">
        <f>'PRECIOS CYE'!P17</f>
        <v>0</v>
      </c>
      <c r="AG382" s="164">
        <f>'PRECIOS CYE'!Q17</f>
        <v>0</v>
      </c>
      <c r="AH382" s="164">
        <f>'PRECIOS CYE'!R17</f>
        <v>0</v>
      </c>
      <c r="AI382" s="167">
        <f>'PRECIOS CYE'!S17</f>
        <v>0</v>
      </c>
      <c r="AJ382" s="173">
        <f>'PRECIOS CYE'!T17</f>
        <v>0</v>
      </c>
      <c r="AK382" s="164">
        <f>'PRECIOS CYE'!U17</f>
        <v>0</v>
      </c>
      <c r="AL382" s="164">
        <f>'PRECIOS CYE'!V17</f>
        <v>0</v>
      </c>
      <c r="AM382" s="164">
        <f>'PRECIOS CYE'!W17</f>
        <v>0</v>
      </c>
      <c r="AN382" s="164">
        <f>'PRECIOS CYE'!X17</f>
        <v>0</v>
      </c>
      <c r="AO382" s="167">
        <f>'PRECIOS CYE'!Y17</f>
        <v>0</v>
      </c>
    </row>
    <row r="383" spans="23:41">
      <c r="W383" s="212"/>
      <c r="X383" s="218">
        <f>('INTRODUCIR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DATOS'!$D$17)+'INTRODUCIR DATOS'!$D$15+'INTRODUCIR DATOS'!$D$16+(('INTRODUCIR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DATOS'!$D$17)+'INTRODUCIR DATOS'!$D$16)*21/100</f>
        <v>1.0285</v>
      </c>
      <c r="Y383" s="165">
        <f>IF(X383=0,"",'INTRODUCIR DATOS'!$D$14-X383)</f>
        <v>113.12150000000001</v>
      </c>
      <c r="Z383" s="165">
        <f>IF(X383=0,"",('INTRODUCIR DATOS'!$D$14-X383)/'INTRODUCIR DATOS'!$D$14)</f>
        <v>0.99098992553657472</v>
      </c>
      <c r="AA383" s="163"/>
      <c r="AB383" s="163"/>
      <c r="AC383" s="205"/>
      <c r="AD383" s="218">
        <f>('INTRODUCIR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DATOS'!$D$17)+'INTRODUCIR DATOS'!$D$15+'INTRODUCIR DATOS'!$D$16+(('INTRODUCIR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DATOS'!$D$17)+'INTRODUCIR DATOS'!$D$16)*21/100</f>
        <v>1.0285</v>
      </c>
      <c r="AE383" s="165">
        <f>IF(AD383=0,"",'INTRODUCIR DATOS'!$D$14-AD383)</f>
        <v>113.12150000000001</v>
      </c>
      <c r="AF383" s="165">
        <f>IF(AD383=0,"",('INTRODUCIR DATOS'!$D$14-AD383)/'INTRODUCIR DATOS'!$D$14)</f>
        <v>0.99098992553657472</v>
      </c>
      <c r="AG383" s="163"/>
      <c r="AH383" s="163"/>
      <c r="AI383" s="166"/>
      <c r="AJ383" s="218">
        <f>('INTRODUCIR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DATOS'!$D$17)+'INTRODUCIR DATOS'!$D$15+'INTRODUCIR DATOS'!$D$16+(('INTRODUCIR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DATOS'!$D$17)+'INTRODUCIR DATOS'!$D$16)*21/100</f>
        <v>1.0285</v>
      </c>
      <c r="AK383" s="165">
        <f>IF(AJ383=0,"",'INTRODUCIR DATOS'!$D$14-AJ383)</f>
        <v>113.12150000000001</v>
      </c>
      <c r="AL383" s="165">
        <f>IF(AJ383=0,"",('INTRODUCIR DATOS'!$D$14-AJ383)/'INTRODUCIR DATOS'!$D$14)</f>
        <v>0.99098992553657472</v>
      </c>
      <c r="AM383" s="163"/>
      <c r="AN383" s="163"/>
      <c r="AO383" s="166"/>
    </row>
    <row r="384" spans="23:41">
      <c r="W384" s="212" t="s">
        <v>215</v>
      </c>
      <c r="X384" s="217">
        <f>'PRECIOS CYE'!H19</f>
        <v>0</v>
      </c>
      <c r="Y384" s="163">
        <f>'PRECIOS CYE'!I19</f>
        <v>0</v>
      </c>
      <c r="Z384" s="163">
        <f>'PRECIOS CYE'!J19</f>
        <v>0</v>
      </c>
      <c r="AA384" s="163"/>
      <c r="AB384" s="163"/>
      <c r="AC384" s="205"/>
      <c r="AD384" s="217">
        <f>'PRECIOS CYE'!N19</f>
        <v>0</v>
      </c>
      <c r="AE384" s="163">
        <f>'PRECIOS CYE'!O19</f>
        <v>0</v>
      </c>
      <c r="AF384" s="163">
        <f>'PRECIOS CYE'!P19</f>
        <v>0</v>
      </c>
      <c r="AG384" s="163">
        <f>'PRECIOS CYE'!Q19</f>
        <v>0</v>
      </c>
      <c r="AH384" s="163">
        <f>'PRECIOS CYE'!R19</f>
        <v>0</v>
      </c>
      <c r="AI384" s="166">
        <f>'PRECIOS CYE'!S19</f>
        <v>0</v>
      </c>
      <c r="AJ384" s="172">
        <f>'PRECIOS CYE'!T19</f>
        <v>0</v>
      </c>
      <c r="AK384" s="163">
        <f>'PRECIOS CYE'!U19</f>
        <v>0</v>
      </c>
      <c r="AL384" s="163">
        <f>'PRECIOS CYE'!V19</f>
        <v>0</v>
      </c>
      <c r="AM384" s="163">
        <f>'PRECIOS CYE'!W19</f>
        <v>0</v>
      </c>
      <c r="AN384" s="163">
        <f>'PRECIOS CYE'!X19</f>
        <v>0</v>
      </c>
      <c r="AO384" s="166">
        <f>'PRECIOS CYE'!Y19</f>
        <v>0</v>
      </c>
    </row>
    <row r="385" spans="23:41">
      <c r="W385" s="212" t="s">
        <v>115</v>
      </c>
      <c r="X385" s="217">
        <f>'PRECIOS CYE'!H17</f>
        <v>0</v>
      </c>
      <c r="Y385" s="163">
        <f>'PRECIOS CYE'!I17</f>
        <v>0</v>
      </c>
      <c r="Z385" s="163">
        <f>'PRECIOS CYE'!J17</f>
        <v>0</v>
      </c>
      <c r="AA385" s="163"/>
      <c r="AB385" s="163"/>
      <c r="AC385" s="205"/>
      <c r="AD385" s="217">
        <f>'PRECIOS CYE'!N17</f>
        <v>0</v>
      </c>
      <c r="AE385" s="163">
        <f>'PRECIOS CYE'!O17</f>
        <v>0</v>
      </c>
      <c r="AF385" s="163">
        <f>'PRECIOS CYE'!P17</f>
        <v>0</v>
      </c>
      <c r="AG385" s="163">
        <f>'PRECIOS CYE'!Q17</f>
        <v>0</v>
      </c>
      <c r="AH385" s="163">
        <f>'PRECIOS CYE'!R17</f>
        <v>0</v>
      </c>
      <c r="AI385" s="166">
        <f>'PRECIOS CYE'!S17</f>
        <v>0</v>
      </c>
      <c r="AJ385" s="172">
        <f>'PRECIOS CYE'!T17</f>
        <v>0</v>
      </c>
      <c r="AK385" s="163">
        <f>'PRECIOS CYE'!U17</f>
        <v>0</v>
      </c>
      <c r="AL385" s="163">
        <f>'PRECIOS CYE'!V17</f>
        <v>0</v>
      </c>
      <c r="AM385" s="163">
        <f>'PRECIOS CYE'!W17</f>
        <v>0</v>
      </c>
      <c r="AN385" s="163">
        <f>'PRECIOS CYE'!X17</f>
        <v>0</v>
      </c>
      <c r="AO385" s="166">
        <f>'PRECIOS CYE'!Y17</f>
        <v>0</v>
      </c>
    </row>
    <row r="386" spans="23:41">
      <c r="W386" s="212"/>
      <c r="X386" s="218">
        <f>('INTRODUCIR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DATOS'!$D$17)+'INTRODUCIR DATOS'!$D$15+'INTRODUCIR DATOS'!$D$16+(('INTRODUCIR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DATOS'!$D$17)+'INTRODUCIR DATOS'!$D$16)*21/100</f>
        <v>1.0285</v>
      </c>
      <c r="Y386" s="165">
        <f>IF(X386=0,"",'INTRODUCIR DATOS'!$D$14-X386)</f>
        <v>113.12150000000001</v>
      </c>
      <c r="Z386" s="165">
        <f>IF(X386=0,"",('INTRODUCIR DATOS'!$D$14-X386)/'INTRODUCIR DATOS'!$D$14)</f>
        <v>0.99098992553657472</v>
      </c>
      <c r="AA386" s="163"/>
      <c r="AB386" s="163"/>
      <c r="AC386" s="205"/>
      <c r="AD386" s="218">
        <f>('INTRODUCIR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DATOS'!$D$17)+'INTRODUCIR DATOS'!$D$15+'INTRODUCIR DATOS'!$D$16+(('INTRODUCIR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DATOS'!$D$17)+'INTRODUCIR DATOS'!$D$16)*21/100</f>
        <v>1.0285</v>
      </c>
      <c r="AE386" s="165">
        <f>IF(AD386=0,"",'INTRODUCIR DATOS'!$D$14-AD386)</f>
        <v>113.12150000000001</v>
      </c>
      <c r="AF386" s="165">
        <f>IF(AD386=0,"",('INTRODUCIR DATOS'!$D$14-AD386)/'INTRODUCIR DATOS'!$D$14)</f>
        <v>0.99098992553657472</v>
      </c>
      <c r="AG386" s="163"/>
      <c r="AH386" s="163"/>
      <c r="AI386" s="166"/>
      <c r="AJ386" s="218">
        <f>('INTRODUCIR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DATOS'!$D$17)+'INTRODUCIR DATOS'!$D$15+'INTRODUCIR DATOS'!$D$16+(('INTRODUCIR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DATOS'!$D$17)+'INTRODUCIR DATOS'!$D$16)*21/100</f>
        <v>1.0285</v>
      </c>
      <c r="AK386" s="165">
        <f>IF(AJ386=0,"",'INTRODUCIR DATOS'!$D$14-AJ386)</f>
        <v>113.12150000000001</v>
      </c>
      <c r="AL386" s="165">
        <f>IF(AJ386=0,"",('INTRODUCIR DATOS'!$D$14-AJ386)/'INTRODUCIR DATOS'!$D$14)</f>
        <v>0.99098992553657472</v>
      </c>
      <c r="AM386" s="163"/>
      <c r="AN386" s="163"/>
      <c r="AO386" s="166"/>
    </row>
    <row r="387" spans="23:41">
      <c r="W387" s="212" t="s">
        <v>215</v>
      </c>
      <c r="X387" s="217">
        <f>'PRECIOS CYE'!H20</f>
        <v>0</v>
      </c>
      <c r="Y387" s="163">
        <f>'PRECIOS CYE'!I20</f>
        <v>0</v>
      </c>
      <c r="Z387" s="163">
        <f>'PRECIOS CYE'!J20</f>
        <v>0</v>
      </c>
      <c r="AA387" s="163"/>
      <c r="AB387" s="163"/>
      <c r="AC387" s="205"/>
      <c r="AD387" s="217">
        <f>'PRECIOS CYE'!N20</f>
        <v>0</v>
      </c>
      <c r="AE387" s="163">
        <f>'PRECIOS CYE'!O20</f>
        <v>0</v>
      </c>
      <c r="AF387" s="163">
        <f>'PRECIOS CYE'!P20</f>
        <v>0</v>
      </c>
      <c r="AG387" s="163">
        <f>'PRECIOS CYE'!Q20</f>
        <v>0</v>
      </c>
      <c r="AH387" s="163">
        <f>'PRECIOS CYE'!R20</f>
        <v>0</v>
      </c>
      <c r="AI387" s="166">
        <f>'PRECIOS CYE'!S20</f>
        <v>0</v>
      </c>
      <c r="AJ387" s="172">
        <f>'PRECIOS CYE'!T20</f>
        <v>0</v>
      </c>
      <c r="AK387" s="163">
        <f>'PRECIOS CYE'!U20</f>
        <v>0</v>
      </c>
      <c r="AL387" s="163">
        <f>'PRECIOS CYE'!V20</f>
        <v>0</v>
      </c>
      <c r="AM387" s="163">
        <f>'PRECIOS CYE'!W20</f>
        <v>0</v>
      </c>
      <c r="AN387" s="163">
        <f>'PRECIOS CYE'!X20</f>
        <v>0</v>
      </c>
      <c r="AO387" s="166">
        <f>'PRECIOS CYE'!Y20</f>
        <v>0</v>
      </c>
    </row>
    <row r="388" spans="23:41">
      <c r="W388" s="212" t="s">
        <v>116</v>
      </c>
      <c r="X388" s="217">
        <f>'PRECIOS CYE'!H17</f>
        <v>0</v>
      </c>
      <c r="Y388" s="163">
        <f>'PRECIOS CYE'!I17</f>
        <v>0</v>
      </c>
      <c r="Z388" s="163">
        <f>'PRECIOS CYE'!J17</f>
        <v>0</v>
      </c>
      <c r="AA388" s="163"/>
      <c r="AB388" s="163"/>
      <c r="AC388" s="205"/>
      <c r="AD388" s="217">
        <f>'PRECIOS CYE'!N17</f>
        <v>0</v>
      </c>
      <c r="AE388" s="163">
        <f>'PRECIOS CYE'!O17</f>
        <v>0</v>
      </c>
      <c r="AF388" s="163">
        <f>'PRECIOS CYE'!P17</f>
        <v>0</v>
      </c>
      <c r="AG388" s="163">
        <f>'PRECIOS CYE'!Q17</f>
        <v>0</v>
      </c>
      <c r="AH388" s="163">
        <f>'PRECIOS CYE'!R17</f>
        <v>0</v>
      </c>
      <c r="AI388" s="166">
        <f>'PRECIOS CYE'!S17</f>
        <v>0</v>
      </c>
      <c r="AJ388" s="172">
        <f>'PRECIOS CYE'!T17</f>
        <v>0</v>
      </c>
      <c r="AK388" s="163">
        <f>'PRECIOS CYE'!U17</f>
        <v>0</v>
      </c>
      <c r="AL388" s="163">
        <f>'PRECIOS CYE'!V17</f>
        <v>0</v>
      </c>
      <c r="AM388" s="163">
        <f>'PRECIOS CYE'!W17</f>
        <v>0</v>
      </c>
      <c r="AN388" s="163">
        <f>'PRECIOS CYE'!X17</f>
        <v>0</v>
      </c>
      <c r="AO388" s="166">
        <f>'PRECIOS CYE'!Y17</f>
        <v>0</v>
      </c>
    </row>
    <row r="389" spans="23:41">
      <c r="W389" s="212"/>
      <c r="X389" s="218">
        <f>('INTRODUCIR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DATOS'!$D$17)+'INTRODUCIR DATOS'!$D$15+'INTRODUCIR DATOS'!$D$16+(('INTRODUCIR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DATOS'!$D$17)+'INTRODUCIR DATOS'!$D$16)*21/100</f>
        <v>1.0285</v>
      </c>
      <c r="Y389" s="165">
        <f>IF(X389=0,"",'INTRODUCIR DATOS'!$D$14-X389)</f>
        <v>113.12150000000001</v>
      </c>
      <c r="Z389" s="165">
        <f>IF(X389=0,"",('INTRODUCIR DATOS'!$D$14-X389)/'INTRODUCIR DATOS'!$D$14)</f>
        <v>0.99098992553657472</v>
      </c>
      <c r="AA389" s="163"/>
      <c r="AB389" s="163"/>
      <c r="AC389" s="205"/>
      <c r="AD389" s="218">
        <f>('INTRODUCIR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DATOS'!$D$17)+'INTRODUCIR DATOS'!$D$15+'INTRODUCIR DATOS'!$D$16+(('INTRODUCIR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DATOS'!$D$17)+'INTRODUCIR DATOS'!$D$16)*21/100</f>
        <v>1.0285</v>
      </c>
      <c r="AE389" s="165">
        <f>IF(AD389=0,"",'INTRODUCIR DATOS'!$D$14-AD389)</f>
        <v>113.12150000000001</v>
      </c>
      <c r="AF389" s="165">
        <f>IF(AD389=0,"",('INTRODUCIR DATOS'!$D$14-AD389)/'INTRODUCIR DATOS'!$D$14)</f>
        <v>0.99098992553657472</v>
      </c>
      <c r="AG389" s="163"/>
      <c r="AH389" s="163"/>
      <c r="AI389" s="166"/>
      <c r="AJ389" s="218">
        <f>('INTRODUCIR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DATOS'!$D$17)+'INTRODUCIR DATOS'!$D$15+'INTRODUCIR DATOS'!$D$16+(('INTRODUCIR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DATOS'!$D$17)+'INTRODUCIR DATOS'!$D$16)*21/100</f>
        <v>1.0285</v>
      </c>
      <c r="AK389" s="165">
        <f>IF(AJ389=0,"",'INTRODUCIR DATOS'!$D$14-AJ389)</f>
        <v>113.12150000000001</v>
      </c>
      <c r="AL389" s="165">
        <f>IF(AJ389=0,"",('INTRODUCIR DATOS'!$D$14-AJ389)/'INTRODUCIR DATOS'!$D$14)</f>
        <v>0.99098992553657472</v>
      </c>
      <c r="AM389" s="163"/>
      <c r="AN389" s="163"/>
      <c r="AO389" s="166"/>
    </row>
    <row r="390" spans="23:41">
      <c r="W390" s="212" t="s">
        <v>215</v>
      </c>
      <c r="X390" s="217">
        <f>'PRECIOS CYE'!H21</f>
        <v>0</v>
      </c>
      <c r="Y390" s="163">
        <f>'PRECIOS CYE'!I21</f>
        <v>0</v>
      </c>
      <c r="Z390" s="163">
        <f>'PRECIOS CYE'!J21</f>
        <v>0</v>
      </c>
      <c r="AA390" s="163"/>
      <c r="AB390" s="163"/>
      <c r="AC390" s="205"/>
      <c r="AD390" s="217">
        <f>'PRECIOS CYE'!N21</f>
        <v>0</v>
      </c>
      <c r="AE390" s="163">
        <f>'PRECIOS CYE'!O21</f>
        <v>0</v>
      </c>
      <c r="AF390" s="163">
        <f>'PRECIOS CYE'!P21</f>
        <v>0</v>
      </c>
      <c r="AG390" s="163">
        <f>'PRECIOS CYE'!Q21</f>
        <v>0</v>
      </c>
      <c r="AH390" s="163">
        <f>'PRECIOS CYE'!R21</f>
        <v>0</v>
      </c>
      <c r="AI390" s="166">
        <f>'PRECIOS CYE'!S21</f>
        <v>0</v>
      </c>
      <c r="AJ390" s="172">
        <f>'PRECIOS CYE'!T21</f>
        <v>0</v>
      </c>
      <c r="AK390" s="163">
        <f>'PRECIOS CYE'!U21</f>
        <v>0</v>
      </c>
      <c r="AL390" s="163">
        <f>'PRECIOS CYE'!V21</f>
        <v>0</v>
      </c>
      <c r="AM390" s="163">
        <f>'PRECIOS CYE'!W21</f>
        <v>0</v>
      </c>
      <c r="AN390" s="163">
        <f>'PRECIOS CYE'!X21</f>
        <v>0</v>
      </c>
      <c r="AO390" s="166">
        <f>'PRECIOS CYE'!Y21</f>
        <v>0</v>
      </c>
    </row>
    <row r="391" spans="23:41">
      <c r="W391" s="212" t="s">
        <v>60</v>
      </c>
      <c r="X391" s="217">
        <f>'PRECIOS CYE'!H17</f>
        <v>0</v>
      </c>
      <c r="Y391" s="163">
        <f>'PRECIOS CYE'!I17</f>
        <v>0</v>
      </c>
      <c r="Z391" s="163">
        <f>'PRECIOS CYE'!J17</f>
        <v>0</v>
      </c>
      <c r="AA391" s="163"/>
      <c r="AB391" s="163"/>
      <c r="AC391" s="205"/>
      <c r="AD391" s="217">
        <f>'PRECIOS CYE'!N17</f>
        <v>0</v>
      </c>
      <c r="AE391" s="163">
        <f>'PRECIOS CYE'!O17</f>
        <v>0</v>
      </c>
      <c r="AF391" s="163">
        <f>'PRECIOS CYE'!P17</f>
        <v>0</v>
      </c>
      <c r="AG391" s="163">
        <f>'PRECIOS CYE'!Q17</f>
        <v>0</v>
      </c>
      <c r="AH391" s="163">
        <f>'PRECIOS CYE'!R17</f>
        <v>0</v>
      </c>
      <c r="AI391" s="166">
        <f>'PRECIOS CYE'!S17</f>
        <v>0</v>
      </c>
      <c r="AJ391" s="172">
        <f>'PRECIOS CYE'!T17</f>
        <v>0</v>
      </c>
      <c r="AK391" s="163">
        <f>'PRECIOS CYE'!U17</f>
        <v>0</v>
      </c>
      <c r="AL391" s="163">
        <f>'PRECIOS CYE'!V17</f>
        <v>0</v>
      </c>
      <c r="AM391" s="163">
        <f>'PRECIOS CYE'!W17</f>
        <v>0</v>
      </c>
      <c r="AN391" s="163">
        <f>'PRECIOS CYE'!X17</f>
        <v>0</v>
      </c>
      <c r="AO391" s="166">
        <f>'PRECIOS CYE'!Y17</f>
        <v>0</v>
      </c>
    </row>
    <row r="392" spans="23:41">
      <c r="W392" s="212"/>
      <c r="X392" s="218">
        <f>('INTRODUCIR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DATOS'!$D$17)+'INTRODUCIR DATOS'!$D$15+'INTRODUCIR DATOS'!$D$16+(('INTRODUCIR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DATOS'!$D$17)+'INTRODUCIR DATOS'!$D$16)*21/100</f>
        <v>1.0285</v>
      </c>
      <c r="Y392" s="165">
        <f>IF(X392=0,"",'INTRODUCIR DATOS'!$D$14-X392)</f>
        <v>113.12150000000001</v>
      </c>
      <c r="Z392" s="165">
        <f>IF(X392=0,"",('INTRODUCIR DATOS'!$D$14-X392)/'INTRODUCIR DATOS'!$D$14)</f>
        <v>0.99098992553657472</v>
      </c>
      <c r="AA392" s="163"/>
      <c r="AB392" s="163"/>
      <c r="AC392" s="205"/>
      <c r="AD392" s="218">
        <f>('INTRODUCIR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DATOS'!$D$17)+'INTRODUCIR DATOS'!$D$15+'INTRODUCIR DATOS'!$D$16+(('INTRODUCIR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DATOS'!$D$17)+'INTRODUCIR DATOS'!$D$16)*21/100</f>
        <v>1.0285</v>
      </c>
      <c r="AE392" s="165">
        <f>IF(AD392=0,"",'INTRODUCIR DATOS'!$D$14-AD392)</f>
        <v>113.12150000000001</v>
      </c>
      <c r="AF392" s="165">
        <f>IF(AD392=0,"",('INTRODUCIR DATOS'!$D$14-AD392)/'INTRODUCIR DATOS'!$D$14)</f>
        <v>0.99098992553657472</v>
      </c>
      <c r="AG392" s="163"/>
      <c r="AH392" s="163"/>
      <c r="AI392" s="166"/>
      <c r="AJ392" s="218">
        <f>('INTRODUCIR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DATOS'!$D$17)+'INTRODUCIR DATOS'!$D$15+'INTRODUCIR DATOS'!$D$16+(('INTRODUCIR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DATOS'!$D$17)+'INTRODUCIR DATOS'!$D$16)*21/100</f>
        <v>1.0285</v>
      </c>
      <c r="AK392" s="165">
        <f>IF(AJ392=0,"",'INTRODUCIR DATOS'!$D$14-AJ392)</f>
        <v>113.12150000000001</v>
      </c>
      <c r="AL392" s="165">
        <f>IF(AJ392=0,"",('INTRODUCIR DATOS'!$D$14-AJ392)/'INTRODUCIR DATOS'!$D$14)</f>
        <v>0.99098992553657472</v>
      </c>
      <c r="AM392" s="163"/>
      <c r="AN392" s="163"/>
      <c r="AO392" s="166"/>
    </row>
    <row r="393" spans="23:41">
      <c r="W393" s="212" t="s">
        <v>215</v>
      </c>
      <c r="X393" s="217">
        <f>'PRECIOS CYE'!H22</f>
        <v>0</v>
      </c>
      <c r="Y393" s="163">
        <f>'PRECIOS CYE'!I22</f>
        <v>0</v>
      </c>
      <c r="Z393" s="163">
        <f>'PRECIOS CYE'!J22</f>
        <v>0</v>
      </c>
      <c r="AA393" s="163"/>
      <c r="AB393" s="163"/>
      <c r="AC393" s="205"/>
      <c r="AD393" s="217">
        <f>'PRECIOS CYE'!N22</f>
        <v>0</v>
      </c>
      <c r="AE393" s="163">
        <f>'PRECIOS CYE'!O22</f>
        <v>0</v>
      </c>
      <c r="AF393" s="163">
        <f>'PRECIOS CYE'!P22</f>
        <v>0</v>
      </c>
      <c r="AG393" s="163">
        <f>'PRECIOS CYE'!Q22</f>
        <v>0</v>
      </c>
      <c r="AH393" s="163">
        <f>'PRECIOS CYE'!R22</f>
        <v>0</v>
      </c>
      <c r="AI393" s="166">
        <f>'PRECIOS CYE'!S22</f>
        <v>0</v>
      </c>
      <c r="AJ393" s="172">
        <f>'PRECIOS CYE'!T22</f>
        <v>0</v>
      </c>
      <c r="AK393" s="163">
        <f>'PRECIOS CYE'!U22</f>
        <v>0</v>
      </c>
      <c r="AL393" s="163">
        <f>'PRECIOS CYE'!V22</f>
        <v>0</v>
      </c>
      <c r="AM393" s="163">
        <f>'PRECIOS CYE'!W22</f>
        <v>0</v>
      </c>
      <c r="AN393" s="163">
        <f>'PRECIOS CYE'!X22</f>
        <v>0</v>
      </c>
      <c r="AO393" s="166">
        <f>'PRECIOS CYE'!Y22</f>
        <v>0</v>
      </c>
    </row>
    <row r="394" spans="23:41">
      <c r="W394" s="212" t="s">
        <v>62</v>
      </c>
      <c r="X394" s="217">
        <f>'PRECIOS CYE'!H17</f>
        <v>0</v>
      </c>
      <c r="Y394" s="163">
        <f>'PRECIOS CYE'!I17</f>
        <v>0</v>
      </c>
      <c r="Z394" s="163">
        <f>'PRECIOS CYE'!J17</f>
        <v>0</v>
      </c>
      <c r="AA394" s="163"/>
      <c r="AB394" s="163"/>
      <c r="AC394" s="205"/>
      <c r="AD394" s="217">
        <f>'PRECIOS CYE'!N17</f>
        <v>0</v>
      </c>
      <c r="AE394" s="163">
        <f>'PRECIOS CYE'!O17</f>
        <v>0</v>
      </c>
      <c r="AF394" s="163">
        <f>'PRECIOS CYE'!P17</f>
        <v>0</v>
      </c>
      <c r="AG394" s="163">
        <f>'PRECIOS CYE'!Q17</f>
        <v>0</v>
      </c>
      <c r="AH394" s="163">
        <f>'PRECIOS CYE'!R17</f>
        <v>0</v>
      </c>
      <c r="AI394" s="166">
        <f>'PRECIOS CYE'!S17</f>
        <v>0</v>
      </c>
      <c r="AJ394" s="172">
        <f>'PRECIOS CYE'!T17</f>
        <v>0</v>
      </c>
      <c r="AK394" s="163">
        <f>'PRECIOS CYE'!U17</f>
        <v>0</v>
      </c>
      <c r="AL394" s="163">
        <f>'PRECIOS CYE'!V17</f>
        <v>0</v>
      </c>
      <c r="AM394" s="163">
        <f>'PRECIOS CYE'!W17</f>
        <v>0</v>
      </c>
      <c r="AN394" s="163">
        <f>'PRECIOS CYE'!X17</f>
        <v>0</v>
      </c>
      <c r="AO394" s="166">
        <f>'PRECIOS CYE'!Y17</f>
        <v>0</v>
      </c>
    </row>
    <row r="395" spans="23:41">
      <c r="W395" s="212"/>
      <c r="X395" s="218">
        <f>('INTRODUCIR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DATOS'!$D$17)+'INTRODUCIR DATOS'!$D$15+'INTRODUCIR DATOS'!$D$16+(('INTRODUCIR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DATOS'!$D$17)+'INTRODUCIR DATOS'!$D$16)*21/100</f>
        <v>1.0285</v>
      </c>
      <c r="Y395" s="165">
        <f>IF(X395=0,"",'INTRODUCIR DATOS'!$D$14-X395)</f>
        <v>113.12150000000001</v>
      </c>
      <c r="Z395" s="165">
        <f>IF(X395=0,"",('INTRODUCIR DATOS'!$D$14-X395)/'INTRODUCIR DATOS'!$D$14)</f>
        <v>0.99098992553657472</v>
      </c>
      <c r="AA395" s="163"/>
      <c r="AB395" s="163"/>
      <c r="AC395" s="205"/>
      <c r="AD395" s="218">
        <f>('INTRODUCIR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DATOS'!$D$17)+'INTRODUCIR DATOS'!$D$15+'INTRODUCIR DATOS'!$D$16+(('INTRODUCIR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DATOS'!$D$17)+'INTRODUCIR DATOS'!$D$16)*21/100</f>
        <v>1.0285</v>
      </c>
      <c r="AE395" s="165">
        <f>IF(AD395=0,"",'INTRODUCIR DATOS'!$D$14-AD395)</f>
        <v>113.12150000000001</v>
      </c>
      <c r="AF395" s="165">
        <f>IF(AD395=0,"",('INTRODUCIR DATOS'!$D$14-AD395)/'INTRODUCIR DATOS'!$D$14)</f>
        <v>0.99098992553657472</v>
      </c>
      <c r="AG395" s="163"/>
      <c r="AH395" s="163"/>
      <c r="AI395" s="166"/>
      <c r="AJ395" s="218">
        <f>('INTRODUCIR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DATOS'!$D$17)+'INTRODUCIR DATOS'!$D$15+'INTRODUCIR DATOS'!$D$16+(('INTRODUCIR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DATOS'!$D$17)+'INTRODUCIR DATOS'!$D$16)*21/100</f>
        <v>1.0285</v>
      </c>
      <c r="AK395" s="165">
        <f>IF(AJ395=0,"",'INTRODUCIR DATOS'!$D$14-AJ395)</f>
        <v>113.12150000000001</v>
      </c>
      <c r="AL395" s="165">
        <f>IF(AJ395=0,"",('INTRODUCIR DATOS'!$D$14-AJ395)/'INTRODUCIR DATOS'!$D$14)</f>
        <v>0.99098992553657472</v>
      </c>
      <c r="AM395" s="163"/>
      <c r="AN395" s="163"/>
      <c r="AO395" s="166"/>
    </row>
    <row r="396" spans="23:41">
      <c r="W396" s="212" t="s">
        <v>215</v>
      </c>
      <c r="X396" s="217">
        <f>'PRECIOS CYE'!H23</f>
        <v>0</v>
      </c>
      <c r="Y396" s="163">
        <f>'PRECIOS CYE'!I23</f>
        <v>0</v>
      </c>
      <c r="Z396" s="163">
        <f>'PRECIOS CYE'!J23</f>
        <v>0</v>
      </c>
      <c r="AA396" s="163"/>
      <c r="AB396" s="163"/>
      <c r="AC396" s="205"/>
      <c r="AD396" s="217"/>
      <c r="AE396" s="163"/>
      <c r="AF396" s="163"/>
      <c r="AG396" s="163"/>
      <c r="AH396" s="163"/>
      <c r="AI396" s="166"/>
      <c r="AJ396" s="172"/>
      <c r="AK396" s="163"/>
      <c r="AL396" s="163"/>
      <c r="AM396" s="163"/>
      <c r="AN396" s="163"/>
      <c r="AO396" s="166"/>
    </row>
    <row r="397" spans="23:41">
      <c r="W397" s="212" t="s">
        <v>63</v>
      </c>
      <c r="X397" s="217">
        <f>'PRECIOS CYE'!H17</f>
        <v>0</v>
      </c>
      <c r="Y397" s="163">
        <f>'PRECIOS CYE'!I17</f>
        <v>0</v>
      </c>
      <c r="Z397" s="163">
        <f>'PRECIOS CYE'!J17</f>
        <v>0</v>
      </c>
      <c r="AA397" s="163"/>
      <c r="AB397" s="163"/>
      <c r="AC397" s="205"/>
      <c r="AD397" s="217"/>
      <c r="AE397" s="163"/>
      <c r="AF397" s="163"/>
      <c r="AG397" s="163"/>
      <c r="AH397" s="163"/>
      <c r="AI397" s="166"/>
      <c r="AJ397" s="172"/>
      <c r="AK397" s="163"/>
      <c r="AL397" s="163"/>
      <c r="AM397" s="163"/>
      <c r="AN397" s="163"/>
      <c r="AO397" s="166"/>
    </row>
    <row r="398" spans="23:41">
      <c r="W398" s="212"/>
      <c r="X398" s="218">
        <f>('INTRODUCIR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DATOS'!$D$17)+'INTRODUCIR DATOS'!$D$15+'INTRODUCIR DATOS'!$D$16+(('INTRODUCIR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DATOS'!$D$17)+'INTRODUCIR DATOS'!$D$16)*21/100</f>
        <v>1.0285</v>
      </c>
      <c r="Y398" s="165">
        <f>IF(X398=0,"",'INTRODUCIR DATOS'!$D$14-X398)</f>
        <v>113.12150000000001</v>
      </c>
      <c r="Z398" s="165">
        <f>IF(X398=0,"",('INTRODUCIR DATOS'!$D$14-X398)/'INTRODUCIR DATOS'!$D$14)</f>
        <v>0.99098992553657472</v>
      </c>
      <c r="AA398" s="163"/>
      <c r="AB398" s="163"/>
      <c r="AC398" s="205"/>
      <c r="AD398" s="218"/>
      <c r="AE398" s="165"/>
      <c r="AF398" s="165"/>
      <c r="AG398" s="163"/>
      <c r="AH398" s="163"/>
      <c r="AI398" s="166"/>
      <c r="AJ398" s="173"/>
      <c r="AK398" s="165"/>
      <c r="AL398" s="165"/>
      <c r="AM398" s="163"/>
      <c r="AN398" s="163"/>
      <c r="AO398" s="166"/>
    </row>
    <row r="399" spans="23:41">
      <c r="W399" s="212" t="s">
        <v>215</v>
      </c>
      <c r="X399" s="217">
        <f>'PRECIOS CYE'!H24</f>
        <v>0</v>
      </c>
      <c r="Y399" s="163">
        <f>'PRECIOS CYE'!I24</f>
        <v>0</v>
      </c>
      <c r="Z399" s="163">
        <f>'PRECIOS CYE'!J24</f>
        <v>0</v>
      </c>
      <c r="AA399" s="163"/>
      <c r="AB399" s="163"/>
      <c r="AC399" s="205"/>
      <c r="AD399" s="217"/>
      <c r="AE399" s="163"/>
      <c r="AF399" s="163"/>
      <c r="AG399" s="163"/>
      <c r="AH399" s="163"/>
      <c r="AI399" s="166"/>
      <c r="AJ399" s="172"/>
      <c r="AK399" s="163"/>
      <c r="AL399" s="163"/>
      <c r="AM399" s="163"/>
      <c r="AN399" s="163"/>
      <c r="AO399" s="166"/>
    </row>
    <row r="400" spans="23:41">
      <c r="W400" s="212" t="s">
        <v>65</v>
      </c>
      <c r="X400" s="217">
        <f>'PRECIOS CYE'!H17</f>
        <v>0</v>
      </c>
      <c r="Y400" s="163">
        <f>'PRECIOS CYE'!I17</f>
        <v>0</v>
      </c>
      <c r="Z400" s="163">
        <f>'PRECIOS CYE'!J17</f>
        <v>0</v>
      </c>
      <c r="AA400" s="163"/>
      <c r="AB400" s="163"/>
      <c r="AC400" s="205"/>
      <c r="AD400" s="217"/>
      <c r="AE400" s="163"/>
      <c r="AF400" s="163"/>
      <c r="AG400" s="163"/>
      <c r="AH400" s="163"/>
      <c r="AI400" s="166"/>
      <c r="AJ400" s="172"/>
      <c r="AK400" s="163"/>
      <c r="AL400" s="163"/>
      <c r="AM400" s="163"/>
      <c r="AN400" s="163"/>
      <c r="AO400" s="166"/>
    </row>
    <row r="401" spans="23:41">
      <c r="W401" s="212"/>
      <c r="X401" s="218">
        <f>('INTRODUCIR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DATOS'!$D$17)+'INTRODUCIR DATOS'!$D$15+'INTRODUCIR DATOS'!$D$16+(('INTRODUCIR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DATOS'!$D$17)+'INTRODUCIR DATOS'!$D$16)*21/100</f>
        <v>1.0285</v>
      </c>
      <c r="Y401" s="165">
        <f>IF(X401=0,"",'INTRODUCIR DATOS'!$D$14-X401)</f>
        <v>113.12150000000001</v>
      </c>
      <c r="Z401" s="165">
        <f>IF(X401=0,"",('INTRODUCIR DATOS'!$D$14-X401)/'INTRODUCIR DATOS'!$D$14)</f>
        <v>0.99098992553657472</v>
      </c>
      <c r="AA401" s="163"/>
      <c r="AB401" s="163"/>
      <c r="AC401" s="205"/>
      <c r="AD401" s="218"/>
      <c r="AE401" s="165"/>
      <c r="AF401" s="165"/>
      <c r="AG401" s="163"/>
      <c r="AH401" s="163"/>
      <c r="AI401" s="166"/>
      <c r="AJ401" s="173"/>
      <c r="AK401" s="165"/>
      <c r="AL401" s="165"/>
      <c r="AM401" s="163"/>
      <c r="AN401" s="163"/>
      <c r="AO401" s="166"/>
    </row>
    <row r="402" spans="23:41">
      <c r="W402" s="212" t="s">
        <v>215</v>
      </c>
      <c r="X402" s="217">
        <f>'PRECIOS CYE'!H25</f>
        <v>0</v>
      </c>
      <c r="Y402" s="163">
        <f>'PRECIOS CYE'!I25</f>
        <v>0</v>
      </c>
      <c r="Z402" s="163">
        <f>'PRECIOS CYE'!J25</f>
        <v>0</v>
      </c>
      <c r="AA402" s="163"/>
      <c r="AB402" s="163"/>
      <c r="AC402" s="205"/>
      <c r="AD402" s="217"/>
      <c r="AE402" s="163"/>
      <c r="AF402" s="163"/>
      <c r="AG402" s="163"/>
      <c r="AH402" s="163"/>
      <c r="AI402" s="166"/>
      <c r="AJ402" s="172"/>
      <c r="AK402" s="163"/>
      <c r="AL402" s="163"/>
      <c r="AM402" s="163"/>
      <c r="AN402" s="163"/>
      <c r="AO402" s="166"/>
    </row>
    <row r="403" spans="23:41">
      <c r="W403" s="212" t="s">
        <v>199</v>
      </c>
      <c r="X403" s="217">
        <f>'PRECIOS CYE'!H17</f>
        <v>0</v>
      </c>
      <c r="Y403" s="163">
        <f>'PRECIOS CYE'!I17</f>
        <v>0</v>
      </c>
      <c r="Z403" s="163">
        <f>'PRECIOS CYE'!J17</f>
        <v>0</v>
      </c>
      <c r="AA403" s="163"/>
      <c r="AB403" s="163"/>
      <c r="AC403" s="205"/>
      <c r="AD403" s="217"/>
      <c r="AE403" s="163"/>
      <c r="AF403" s="163"/>
      <c r="AG403" s="163"/>
      <c r="AH403" s="163"/>
      <c r="AI403" s="166"/>
      <c r="AJ403" s="172"/>
      <c r="AK403" s="163"/>
      <c r="AL403" s="163"/>
      <c r="AM403" s="163"/>
      <c r="AN403" s="163"/>
      <c r="AO403" s="166"/>
    </row>
    <row r="404" spans="23:41">
      <c r="W404" s="212"/>
      <c r="X404" s="218">
        <f>('INTRODUCIR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DATOS'!$D$17)+'INTRODUCIR DATOS'!$D$15+'INTRODUCIR DATOS'!$D$16+(('INTRODUCIR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DATOS'!$D$17)+'INTRODUCIR DATOS'!$D$16)*21/100</f>
        <v>1.0285</v>
      </c>
      <c r="Y404" s="165">
        <f>IF(X404=0,"",'INTRODUCIR DATOS'!$D$14-X404)</f>
        <v>113.12150000000001</v>
      </c>
      <c r="Z404" s="165">
        <f>IF(X404=0,"",('INTRODUCIR DATOS'!$D$14-X404)/'INTRODUCIR DATOS'!$D$14)</f>
        <v>0.99098992553657472</v>
      </c>
      <c r="AA404" s="163"/>
      <c r="AB404" s="163"/>
      <c r="AC404" s="205"/>
      <c r="AD404" s="218"/>
      <c r="AE404" s="165"/>
      <c r="AF404" s="165"/>
      <c r="AG404" s="163"/>
      <c r="AH404" s="163"/>
      <c r="AI404" s="166"/>
      <c r="AJ404" s="173"/>
      <c r="AK404" s="165"/>
      <c r="AL404" s="165"/>
      <c r="AM404" s="163"/>
      <c r="AN404" s="163"/>
      <c r="AO404" s="166"/>
    </row>
    <row r="405" spans="23:41">
      <c r="W405" s="212" t="s">
        <v>215</v>
      </c>
      <c r="X405" s="217">
        <f>'PRECIOS CYE'!H26</f>
        <v>0</v>
      </c>
      <c r="Y405" s="163">
        <f>'PRECIOS CYE'!I26</f>
        <v>0</v>
      </c>
      <c r="Z405" s="163">
        <f>'PRECIOS CYE'!J26</f>
        <v>0</v>
      </c>
      <c r="AA405" s="163"/>
      <c r="AB405" s="163"/>
      <c r="AC405" s="205"/>
      <c r="AD405" s="217"/>
      <c r="AE405" s="163"/>
      <c r="AF405" s="163"/>
      <c r="AG405" s="163"/>
      <c r="AH405" s="163"/>
      <c r="AI405" s="166"/>
      <c r="AJ405" s="172"/>
      <c r="AK405" s="163"/>
      <c r="AL405" s="163"/>
      <c r="AM405" s="163"/>
      <c r="AN405" s="163"/>
      <c r="AO405" s="166"/>
    </row>
    <row r="406" spans="23:41" ht="14.45" thickBot="1">
      <c r="W406" s="212" t="s">
        <v>200</v>
      </c>
      <c r="X406" s="217">
        <f>'PRECIOS CYE'!H17</f>
        <v>0</v>
      </c>
      <c r="Y406" s="163">
        <f>'PRECIOS CYE'!I17</f>
        <v>0</v>
      </c>
      <c r="Z406" s="163">
        <f>'PRECIOS CYE'!J17</f>
        <v>0</v>
      </c>
      <c r="AA406" s="163"/>
      <c r="AB406" s="163"/>
      <c r="AC406" s="205"/>
      <c r="AD406" s="223"/>
      <c r="AE406" s="170"/>
      <c r="AF406" s="170"/>
      <c r="AG406" s="170"/>
      <c r="AH406" s="170"/>
      <c r="AI406" s="171"/>
      <c r="AJ406" s="172"/>
      <c r="AK406" s="163"/>
      <c r="AL406" s="163"/>
      <c r="AM406" s="163"/>
      <c r="AN406" s="163"/>
      <c r="AO406" s="166"/>
    </row>
    <row r="407" spans="23:41" ht="14.45" thickBot="1">
      <c r="W407" s="215"/>
      <c r="X407" s="218">
        <f>('INTRODUCIR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DATOS'!$D$17)+'INTRODUCIR DATOS'!$D$15+'INTRODUCIR DATOS'!$D$16+(('INTRODUCIR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DATOS'!$D$17)+'INTRODUCIR DATOS'!$D$16)*21/100</f>
        <v>1.0285</v>
      </c>
      <c r="Y407" s="165">
        <f>IF(X407=0,"",'INTRODUCIR DATOS'!$D$14-X407)</f>
        <v>113.12150000000001</v>
      </c>
      <c r="Z407" s="165">
        <f>IF(X407=0,"",('INTRODUCIR DATOS'!$D$14-X407)/'INTRODUCIR DATOS'!$D$14)</f>
        <v>0.99098992553657472</v>
      </c>
      <c r="AA407" s="170"/>
      <c r="AB407" s="170"/>
      <c r="AC407" s="170"/>
      <c r="AD407" s="220"/>
      <c r="AE407" s="221"/>
      <c r="AF407" s="221"/>
      <c r="AG407" s="222"/>
      <c r="AH407" s="222"/>
      <c r="AI407" s="222"/>
      <c r="AJ407" s="168"/>
      <c r="AK407" s="169"/>
      <c r="AL407" s="169"/>
      <c r="AM407" s="170"/>
      <c r="AN407" s="170"/>
      <c r="AO407" s="171"/>
    </row>
    <row r="408" spans="23:41">
      <c r="W408" s="162"/>
      <c r="X408" s="161"/>
    </row>
    <row r="409" spans="23:41">
      <c r="W409" s="162"/>
      <c r="X409" s="161"/>
    </row>
    <row r="410" spans="23:41">
      <c r="W410" s="162"/>
      <c r="X410" s="161"/>
    </row>
    <row r="411" spans="23:41">
      <c r="W411" s="162"/>
      <c r="X411" s="161"/>
    </row>
    <row r="412" spans="23:41">
      <c r="W412" s="162"/>
      <c r="X412" s="161"/>
    </row>
    <row r="413" spans="23:41">
      <c r="W413" s="162"/>
      <c r="X413" s="161"/>
    </row>
  </sheetData>
  <sheetProtection algorithmName="SHA-512" hashValue="F4N6cssScAhrq/aCSucd9gOjf7pdN/y0SPQD7RBZp36WVj0Nz784ptWD0rbVJcwdbO5q1SDJ2jnHWNKfgOrRAQ==" saltValue="mj5D6fmXaFh/65++rs0ejA==" spinCount="100000" sheet="1" objects="1" scenarios="1"/>
  <mergeCells count="35">
    <mergeCell ref="O1:U1"/>
    <mergeCell ref="X2:AC2"/>
    <mergeCell ref="AD2:AI2"/>
    <mergeCell ref="M3:M11"/>
    <mergeCell ref="M12:M20"/>
    <mergeCell ref="M129:M137"/>
    <mergeCell ref="AJ2:AO2"/>
    <mergeCell ref="M21:M29"/>
    <mergeCell ref="M30:M38"/>
    <mergeCell ref="M39:M47"/>
    <mergeCell ref="M48:M56"/>
    <mergeCell ref="M57:M65"/>
    <mergeCell ref="M66:M74"/>
    <mergeCell ref="M75:M83"/>
    <mergeCell ref="M111:M119"/>
    <mergeCell ref="M120:M128"/>
    <mergeCell ref="M84:M92"/>
    <mergeCell ref="M93:M101"/>
    <mergeCell ref="M102:M110"/>
    <mergeCell ref="F2:G2"/>
    <mergeCell ref="H2:K2"/>
    <mergeCell ref="F3:G3"/>
    <mergeCell ref="H3:K3"/>
    <mergeCell ref="F4:G4"/>
    <mergeCell ref="H4:K4"/>
    <mergeCell ref="F5:G5"/>
    <mergeCell ref="B36:K36"/>
    <mergeCell ref="B37:K37"/>
    <mergeCell ref="H5:K5"/>
    <mergeCell ref="F6:G6"/>
    <mergeCell ref="H6:K6"/>
    <mergeCell ref="B15:K15"/>
    <mergeCell ref="E27:G27"/>
    <mergeCell ref="E30:G30"/>
    <mergeCell ref="I27:J27"/>
  </mergeCells>
  <conditionalFormatting sqref="K13">
    <cfRule type="expression" dxfId="490" priority="23159">
      <formula>#REF!&lt;&gt;""</formula>
    </cfRule>
  </conditionalFormatting>
  <conditionalFormatting sqref="K13">
    <cfRule type="expression" dxfId="489" priority="23158">
      <formula>#REF!&lt;&gt;""</formula>
    </cfRule>
  </conditionalFormatting>
  <conditionalFormatting sqref="E13 D12:I12 G13:K13">
    <cfRule type="expression" dxfId="488" priority="23157">
      <formula>LEFT(#REF!,3)="Fee"</formula>
    </cfRule>
  </conditionalFormatting>
  <conditionalFormatting sqref="B14:K14">
    <cfRule type="expression" dxfId="487" priority="23162">
      <formula>LEFT(#REF!,3)&lt;&gt;"Fee"</formula>
    </cfRule>
  </conditionalFormatting>
  <conditionalFormatting sqref="F13">
    <cfRule type="expression" dxfId="486" priority="2672">
      <formula>LEFT(#REF!,3)&lt;&gt;"Fee"</formula>
    </cfRule>
  </conditionalFormatting>
  <conditionalFormatting sqref="AK407">
    <cfRule type="expression" dxfId="485" priority="2068">
      <formula>LEFT(#REF!,3)="Fee"</formula>
    </cfRule>
  </conditionalFormatting>
  <conditionalFormatting sqref="AL407">
    <cfRule type="expression" dxfId="484" priority="2067">
      <formula>LEFT(#REF!,3)&lt;&gt;"Fee"</formula>
    </cfRule>
  </conditionalFormatting>
  <conditionalFormatting sqref="AE5">
    <cfRule type="expression" dxfId="483" priority="2658">
      <formula>LEFT(#REF!,3)="Fee"</formula>
    </cfRule>
  </conditionalFormatting>
  <conditionalFormatting sqref="AF5">
    <cfRule type="expression" dxfId="482" priority="2657">
      <formula>LEFT(#REF!,3)&lt;&gt;"Fee"</formula>
    </cfRule>
  </conditionalFormatting>
  <conditionalFormatting sqref="Y8">
    <cfRule type="expression" dxfId="481" priority="2648">
      <formula>LEFT(#REF!,3)="Fee"</formula>
    </cfRule>
  </conditionalFormatting>
  <conditionalFormatting sqref="Z8">
    <cfRule type="expression" dxfId="480" priority="2647">
      <formula>LEFT(#REF!,3)&lt;&gt;"Fee"</formula>
    </cfRule>
  </conditionalFormatting>
  <conditionalFormatting sqref="AE83">
    <cfRule type="expression" dxfId="479" priority="2433">
      <formula>LEFT(#REF!,3)="Fee"</formula>
    </cfRule>
  </conditionalFormatting>
  <conditionalFormatting sqref="AF83">
    <cfRule type="expression" dxfId="478" priority="2432">
      <formula>LEFT(#REF!,3)&lt;&gt;"Fee"</formula>
    </cfRule>
  </conditionalFormatting>
  <conditionalFormatting sqref="AE407">
    <cfRule type="expression" dxfId="477" priority="2073">
      <formula>LEFT(#REF!,3)="Fee"</formula>
    </cfRule>
  </conditionalFormatting>
  <conditionalFormatting sqref="AF407">
    <cfRule type="expression" dxfId="476" priority="2072">
      <formula>LEFT(#REF!,3)&lt;&gt;"Fee"</formula>
    </cfRule>
  </conditionalFormatting>
  <conditionalFormatting sqref="Y5">
    <cfRule type="expression" dxfId="475" priority="2063">
      <formula>LEFT(#REF!,3)="Fee"</formula>
    </cfRule>
  </conditionalFormatting>
  <conditionalFormatting sqref="Z5">
    <cfRule type="expression" dxfId="474" priority="2062">
      <formula>LEFT(#REF!,3)&lt;&gt;"Fee"</formula>
    </cfRule>
  </conditionalFormatting>
  <conditionalFormatting sqref="AE404 AE401 AE398 AE380 AE377 AE374">
    <cfRule type="expression" dxfId="473" priority="2088">
      <formula>LEFT(#REF!,3)="Fee"</formula>
    </cfRule>
  </conditionalFormatting>
  <conditionalFormatting sqref="AF404 AF401 AF398 AF380 AF377 AF374">
    <cfRule type="expression" dxfId="472" priority="2087">
      <formula>LEFT(#REF!,3)&lt;&gt;"Fee"</formula>
    </cfRule>
  </conditionalFormatting>
  <conditionalFormatting sqref="AK404 AK401 AK398 AK380 AK377 AK374">
    <cfRule type="expression" dxfId="471" priority="2083">
      <formula>LEFT(#REF!,3)="Fee"</formula>
    </cfRule>
  </conditionalFormatting>
  <conditionalFormatting sqref="AL404 AL401 AL398 AL380 AL377 AL374">
    <cfRule type="expression" dxfId="470" priority="2082">
      <formula>LEFT(#REF!,3)&lt;&gt;"Fee"</formula>
    </cfRule>
  </conditionalFormatting>
  <conditionalFormatting sqref="Y32">
    <cfRule type="expression" dxfId="469" priority="2058">
      <formula>LEFT(#REF!,3)="Fee"</formula>
    </cfRule>
  </conditionalFormatting>
  <conditionalFormatting sqref="Z32">
    <cfRule type="expression" dxfId="468" priority="2057">
      <formula>LEFT(#REF!,3)&lt;&gt;"Fee"</formula>
    </cfRule>
  </conditionalFormatting>
  <conditionalFormatting sqref="AE101">
    <cfRule type="expression" dxfId="467" priority="2023">
      <formula>LEFT(#REF!,3)="Fee"</formula>
    </cfRule>
  </conditionalFormatting>
  <conditionalFormatting sqref="AF101">
    <cfRule type="expression" dxfId="466" priority="2022">
      <formula>LEFT(#REF!,3)&lt;&gt;"Fee"</formula>
    </cfRule>
  </conditionalFormatting>
  <conditionalFormatting sqref="Y101">
    <cfRule type="expression" dxfId="465" priority="2028">
      <formula>LEFT(#REF!,3)="Fee"</formula>
    </cfRule>
  </conditionalFormatting>
  <conditionalFormatting sqref="Z101">
    <cfRule type="expression" dxfId="464" priority="2027">
      <formula>LEFT(#REF!,3)&lt;&gt;"Fee"</formula>
    </cfRule>
  </conditionalFormatting>
  <conditionalFormatting sqref="AK101">
    <cfRule type="expression" dxfId="463" priority="2018">
      <formula>LEFT(#REF!,3)="Fee"</formula>
    </cfRule>
  </conditionalFormatting>
  <conditionalFormatting sqref="AL101">
    <cfRule type="expression" dxfId="462" priority="2017">
      <formula>LEFT(#REF!,3)&lt;&gt;"Fee"</formula>
    </cfRule>
  </conditionalFormatting>
  <conditionalFormatting sqref="Y41 Y38 Y35 Y29 Y26 Y23 Y20 Y17 Y14 Y11">
    <cfRule type="expression" dxfId="461" priority="2498">
      <formula>LEFT(#REF!,3)="Fee"</formula>
    </cfRule>
  </conditionalFormatting>
  <conditionalFormatting sqref="Z41 Z38 Z35 Z29 Z26 Z23 Z20 Z17 Z14 Z11">
    <cfRule type="expression" dxfId="460" priority="2497">
      <formula>LEFT(#REF!,3)&lt;&gt;"Fee"</formula>
    </cfRule>
  </conditionalFormatting>
  <conditionalFormatting sqref="AE29 AE26 AE23 AE20">
    <cfRule type="expression" dxfId="459" priority="2493">
      <formula>LEFT(#REF!,3)="Fee"</formula>
    </cfRule>
  </conditionalFormatting>
  <conditionalFormatting sqref="AF29 AF26 AF23 AF20">
    <cfRule type="expression" dxfId="458" priority="2492">
      <formula>LEFT(#REF!,3)&lt;&gt;"Fee"</formula>
    </cfRule>
  </conditionalFormatting>
  <conditionalFormatting sqref="AK29 AK26 AK23 AK20">
    <cfRule type="expression" dxfId="457" priority="2488">
      <formula>LEFT(#REF!,3)="Fee"</formula>
    </cfRule>
  </conditionalFormatting>
  <conditionalFormatting sqref="AL29 AL26 AL23 AL20">
    <cfRule type="expression" dxfId="456" priority="2487">
      <formula>LEFT(#REF!,3)&lt;&gt;"Fee"</formula>
    </cfRule>
  </conditionalFormatting>
  <conditionalFormatting sqref="Y44">
    <cfRule type="expression" dxfId="455" priority="2483">
      <formula>LEFT(#REF!,3)="Fee"</formula>
    </cfRule>
  </conditionalFormatting>
  <conditionalFormatting sqref="Z44">
    <cfRule type="expression" dxfId="454" priority="2482">
      <formula>LEFT(#REF!,3)&lt;&gt;"Fee"</formula>
    </cfRule>
  </conditionalFormatting>
  <conditionalFormatting sqref="Y47">
    <cfRule type="expression" dxfId="453" priority="2468">
      <formula>LEFT(#REF!,3)="Fee"</formula>
    </cfRule>
  </conditionalFormatting>
  <conditionalFormatting sqref="Z47">
    <cfRule type="expression" dxfId="452" priority="2467">
      <formula>LEFT(#REF!,3)&lt;&gt;"Fee"</formula>
    </cfRule>
  </conditionalFormatting>
  <conditionalFormatting sqref="AE47">
    <cfRule type="expression" dxfId="451" priority="2463">
      <formula>LEFT(#REF!,3)="Fee"</formula>
    </cfRule>
  </conditionalFormatting>
  <conditionalFormatting sqref="AF47">
    <cfRule type="expression" dxfId="450" priority="2462">
      <formula>LEFT(#REF!,3)&lt;&gt;"Fee"</formula>
    </cfRule>
  </conditionalFormatting>
  <conditionalFormatting sqref="AK47">
    <cfRule type="expression" dxfId="449" priority="2458">
      <formula>LEFT(#REF!,3)="Fee"</formula>
    </cfRule>
  </conditionalFormatting>
  <conditionalFormatting sqref="AL47">
    <cfRule type="expression" dxfId="448" priority="2457">
      <formula>LEFT(#REF!,3)&lt;&gt;"Fee"</formula>
    </cfRule>
  </conditionalFormatting>
  <conditionalFormatting sqref="Y80 Y77 Y74 Y71 Y68 Y65 Y62 Y56 Y53 Y50">
    <cfRule type="expression" dxfId="447" priority="2453">
      <formula>LEFT(#REF!,3)="Fee"</formula>
    </cfRule>
  </conditionalFormatting>
  <conditionalFormatting sqref="Z80 Z77 Z74 Z71 Z68 Z65 Z62 Z56 Z53 Z50">
    <cfRule type="expression" dxfId="446" priority="2452">
      <formula>LEFT(#REF!,3)&lt;&gt;"Fee"</formula>
    </cfRule>
  </conditionalFormatting>
  <conditionalFormatting sqref="AE80 AE77 AE74 AE56 AE53 AE50">
    <cfRule type="expression" dxfId="445" priority="2448">
      <formula>LEFT(#REF!,3)="Fee"</formula>
    </cfRule>
  </conditionalFormatting>
  <conditionalFormatting sqref="AF80 AF77 AF74 AF56 AF53 AF50">
    <cfRule type="expression" dxfId="444" priority="2447">
      <formula>LEFT(#REF!,3)&lt;&gt;"Fee"</formula>
    </cfRule>
  </conditionalFormatting>
  <conditionalFormatting sqref="AK80 AK77 AK74 AK56 AK53 AK50">
    <cfRule type="expression" dxfId="443" priority="2443">
      <formula>LEFT(#REF!,3)="Fee"</formula>
    </cfRule>
  </conditionalFormatting>
  <conditionalFormatting sqref="AL80 AL77 AL74 AL56 AL53 AL50">
    <cfRule type="expression" dxfId="442" priority="2442">
      <formula>LEFT(#REF!,3)&lt;&gt;"Fee"</formula>
    </cfRule>
  </conditionalFormatting>
  <conditionalFormatting sqref="Y83">
    <cfRule type="expression" dxfId="441" priority="2438">
      <formula>LEFT(#REF!,3)="Fee"</formula>
    </cfRule>
  </conditionalFormatting>
  <conditionalFormatting sqref="Z83">
    <cfRule type="expression" dxfId="440" priority="2437">
      <formula>LEFT(#REF!,3)&lt;&gt;"Fee"</formula>
    </cfRule>
  </conditionalFormatting>
  <conditionalFormatting sqref="AK83">
    <cfRule type="expression" dxfId="439" priority="2428">
      <formula>LEFT(#REF!,3)="Fee"</formula>
    </cfRule>
  </conditionalFormatting>
  <conditionalFormatting sqref="AL83">
    <cfRule type="expression" dxfId="438" priority="2427">
      <formula>LEFT(#REF!,3)&lt;&gt;"Fee"</formula>
    </cfRule>
  </conditionalFormatting>
  <conditionalFormatting sqref="Y89">
    <cfRule type="expression" dxfId="437" priority="2423">
      <formula>LEFT(#REF!,3)="Fee"</formula>
    </cfRule>
  </conditionalFormatting>
  <conditionalFormatting sqref="Z89">
    <cfRule type="expression" dxfId="436" priority="2422">
      <formula>LEFT(#REF!,3)&lt;&gt;"Fee"</formula>
    </cfRule>
  </conditionalFormatting>
  <conditionalFormatting sqref="Y122 Y119 Y116 Y110 Y107 Y104 Y98 Y95 Y92">
    <cfRule type="expression" dxfId="435" priority="2408">
      <formula>LEFT(#REF!,3)="Fee"</formula>
    </cfRule>
  </conditionalFormatting>
  <conditionalFormatting sqref="Z122 Z119 Z116 Z110 Z107 Z104 Z98 Z95 Z92">
    <cfRule type="expression" dxfId="434" priority="2407">
      <formula>LEFT(#REF!,3)&lt;&gt;"Fee"</formula>
    </cfRule>
  </conditionalFormatting>
  <conditionalFormatting sqref="AE110 AE107 AE104">
    <cfRule type="expression" dxfId="433" priority="2403">
      <formula>LEFT(#REF!,3)="Fee"</formula>
    </cfRule>
  </conditionalFormatting>
  <conditionalFormatting sqref="AF110 AF107 AF104">
    <cfRule type="expression" dxfId="432" priority="2402">
      <formula>LEFT(#REF!,3)&lt;&gt;"Fee"</formula>
    </cfRule>
  </conditionalFormatting>
  <conditionalFormatting sqref="AK110 AK107 AK104">
    <cfRule type="expression" dxfId="431" priority="2398">
      <formula>LEFT(#REF!,3)="Fee"</formula>
    </cfRule>
  </conditionalFormatting>
  <conditionalFormatting sqref="AL110 AL107 AL104">
    <cfRule type="expression" dxfId="430" priority="2397">
      <formula>LEFT(#REF!,3)&lt;&gt;"Fee"</formula>
    </cfRule>
  </conditionalFormatting>
  <conditionalFormatting sqref="Y125">
    <cfRule type="expression" dxfId="429" priority="2393">
      <formula>LEFT(#REF!,3)="Fee"</formula>
    </cfRule>
  </conditionalFormatting>
  <conditionalFormatting sqref="Z125">
    <cfRule type="expression" dxfId="428" priority="2392">
      <formula>LEFT(#REF!,3)&lt;&gt;"Fee"</formula>
    </cfRule>
  </conditionalFormatting>
  <conditionalFormatting sqref="Y128">
    <cfRule type="expression" dxfId="427" priority="2378">
      <formula>LEFT(#REF!,3)="Fee"</formula>
    </cfRule>
  </conditionalFormatting>
  <conditionalFormatting sqref="Z128">
    <cfRule type="expression" dxfId="426" priority="2377">
      <formula>LEFT(#REF!,3)&lt;&gt;"Fee"</formula>
    </cfRule>
  </conditionalFormatting>
  <conditionalFormatting sqref="AE128">
    <cfRule type="expression" dxfId="425" priority="2373">
      <formula>LEFT(#REF!,3)="Fee"</formula>
    </cfRule>
  </conditionalFormatting>
  <conditionalFormatting sqref="AF128">
    <cfRule type="expression" dxfId="424" priority="2372">
      <formula>LEFT(#REF!,3)&lt;&gt;"Fee"</formula>
    </cfRule>
  </conditionalFormatting>
  <conditionalFormatting sqref="AK128">
    <cfRule type="expression" dxfId="423" priority="2368">
      <formula>LEFT(#REF!,3)="Fee"</formula>
    </cfRule>
  </conditionalFormatting>
  <conditionalFormatting sqref="AL128">
    <cfRule type="expression" dxfId="422" priority="2367">
      <formula>LEFT(#REF!,3)&lt;&gt;"Fee"</formula>
    </cfRule>
  </conditionalFormatting>
  <conditionalFormatting sqref="Y137 Y134 Y131">
    <cfRule type="expression" dxfId="421" priority="2363">
      <formula>LEFT(#REF!,3)="Fee"</formula>
    </cfRule>
  </conditionalFormatting>
  <conditionalFormatting sqref="Z137 Z134 Z131">
    <cfRule type="expression" dxfId="420" priority="2362">
      <formula>LEFT(#REF!,3)&lt;&gt;"Fee"</formula>
    </cfRule>
  </conditionalFormatting>
  <conditionalFormatting sqref="AE161 AE158 AE155 AE137 AE134 AE131">
    <cfRule type="expression" dxfId="419" priority="2358">
      <formula>LEFT(#REF!,3)="Fee"</formula>
    </cfRule>
  </conditionalFormatting>
  <conditionalFormatting sqref="AF161 AF158 AF155 AF137 AF134 AF131">
    <cfRule type="expression" dxfId="418" priority="2357">
      <formula>LEFT(#REF!,3)&lt;&gt;"Fee"</formula>
    </cfRule>
  </conditionalFormatting>
  <conditionalFormatting sqref="AK161 AK158 AK155 AK137 AK134 AK131">
    <cfRule type="expression" dxfId="417" priority="2353">
      <formula>LEFT(#REF!,3)="Fee"</formula>
    </cfRule>
  </conditionalFormatting>
  <conditionalFormatting sqref="AL161 AL158 AL155 AL137 AL134 AL131">
    <cfRule type="expression" dxfId="416" priority="2352">
      <formula>LEFT(#REF!,3)&lt;&gt;"Fee"</formula>
    </cfRule>
  </conditionalFormatting>
  <conditionalFormatting sqref="AE164">
    <cfRule type="expression" dxfId="415" priority="2343">
      <formula>LEFT(#REF!,3)="Fee"</formula>
    </cfRule>
  </conditionalFormatting>
  <conditionalFormatting sqref="AF164">
    <cfRule type="expression" dxfId="414" priority="2342">
      <formula>LEFT(#REF!,3)&lt;&gt;"Fee"</formula>
    </cfRule>
  </conditionalFormatting>
  <conditionalFormatting sqref="AK164">
    <cfRule type="expression" dxfId="413" priority="2338">
      <formula>LEFT(#REF!,3)="Fee"</formula>
    </cfRule>
  </conditionalFormatting>
  <conditionalFormatting sqref="AL164">
    <cfRule type="expression" dxfId="412" priority="2337">
      <formula>LEFT(#REF!,3)&lt;&gt;"Fee"</formula>
    </cfRule>
  </conditionalFormatting>
  <conditionalFormatting sqref="AE191 AE188 AE185 AE182">
    <cfRule type="expression" dxfId="411" priority="2313">
      <formula>LEFT(#REF!,3)="Fee"</formula>
    </cfRule>
  </conditionalFormatting>
  <conditionalFormatting sqref="AF191 AF188 AF185 AF182">
    <cfRule type="expression" dxfId="410" priority="2312">
      <formula>LEFT(#REF!,3)&lt;&gt;"Fee"</formula>
    </cfRule>
  </conditionalFormatting>
  <conditionalFormatting sqref="AK191 AK188 AK185 AK182">
    <cfRule type="expression" dxfId="409" priority="2308">
      <formula>LEFT(#REF!,3)="Fee"</formula>
    </cfRule>
  </conditionalFormatting>
  <conditionalFormatting sqref="AL191 AL188 AL185 AL182">
    <cfRule type="expression" dxfId="408" priority="2307">
      <formula>LEFT(#REF!,3)&lt;&gt;"Fee"</formula>
    </cfRule>
  </conditionalFormatting>
  <conditionalFormatting sqref="AE209">
    <cfRule type="expression" dxfId="407" priority="2283">
      <formula>LEFT(#REF!,3)="Fee"</formula>
    </cfRule>
  </conditionalFormatting>
  <conditionalFormatting sqref="AF209">
    <cfRule type="expression" dxfId="406" priority="2282">
      <formula>LEFT(#REF!,3)&lt;&gt;"Fee"</formula>
    </cfRule>
  </conditionalFormatting>
  <conditionalFormatting sqref="AK209">
    <cfRule type="expression" dxfId="405" priority="2278">
      <formula>LEFT(#REF!,3)="Fee"</formula>
    </cfRule>
  </conditionalFormatting>
  <conditionalFormatting sqref="AL209">
    <cfRule type="expression" dxfId="404" priority="2277">
      <formula>LEFT(#REF!,3)&lt;&gt;"Fee"</formula>
    </cfRule>
  </conditionalFormatting>
  <conditionalFormatting sqref="AE242 AE239 AE236 AE218 AE215 AE212">
    <cfRule type="expression" dxfId="403" priority="2268">
      <formula>LEFT(#REF!,3)="Fee"</formula>
    </cfRule>
  </conditionalFormatting>
  <conditionalFormatting sqref="AF242 AF239 AF236 AF218 AF215 AF212">
    <cfRule type="expression" dxfId="402" priority="2267">
      <formula>LEFT(#REF!,3)&lt;&gt;"Fee"</formula>
    </cfRule>
  </conditionalFormatting>
  <conditionalFormatting sqref="AK242 AK239 AK236 AK218 AK215 AK212">
    <cfRule type="expression" dxfId="401" priority="2263">
      <formula>LEFT(#REF!,3)="Fee"</formula>
    </cfRule>
  </conditionalFormatting>
  <conditionalFormatting sqref="AL242 AL239 AL236 AL218 AL215 AL212">
    <cfRule type="expression" dxfId="400" priority="2262">
      <formula>LEFT(#REF!,3)&lt;&gt;"Fee"</formula>
    </cfRule>
  </conditionalFormatting>
  <conditionalFormatting sqref="AE245">
    <cfRule type="expression" dxfId="399" priority="2253">
      <formula>LEFT(#REF!,3)="Fee"</formula>
    </cfRule>
  </conditionalFormatting>
  <conditionalFormatting sqref="AF245">
    <cfRule type="expression" dxfId="398" priority="2252">
      <formula>LEFT(#REF!,3)&lt;&gt;"Fee"</formula>
    </cfRule>
  </conditionalFormatting>
  <conditionalFormatting sqref="AK245">
    <cfRule type="expression" dxfId="397" priority="2248">
      <formula>LEFT(#REF!,3)="Fee"</formula>
    </cfRule>
  </conditionalFormatting>
  <conditionalFormatting sqref="AL245">
    <cfRule type="expression" dxfId="396" priority="2247">
      <formula>LEFT(#REF!,3)&lt;&gt;"Fee"</formula>
    </cfRule>
  </conditionalFormatting>
  <conditionalFormatting sqref="AE272 AE269 AE266 AE263">
    <cfRule type="expression" dxfId="395" priority="2223">
      <formula>LEFT(#REF!,3)="Fee"</formula>
    </cfRule>
  </conditionalFormatting>
  <conditionalFormatting sqref="AF272 AF269 AF266 AF263">
    <cfRule type="expression" dxfId="394" priority="2222">
      <formula>LEFT(#REF!,3)&lt;&gt;"Fee"</formula>
    </cfRule>
  </conditionalFormatting>
  <conditionalFormatting sqref="AK272 AK269 AK266 AK263">
    <cfRule type="expression" dxfId="393" priority="2218">
      <formula>LEFT(#REF!,3)="Fee"</formula>
    </cfRule>
  </conditionalFormatting>
  <conditionalFormatting sqref="AL272 AL269 AL266 AL263">
    <cfRule type="expression" dxfId="392" priority="2217">
      <formula>LEFT(#REF!,3)&lt;&gt;"Fee"</formula>
    </cfRule>
  </conditionalFormatting>
  <conditionalFormatting sqref="AE290">
    <cfRule type="expression" dxfId="391" priority="2193">
      <formula>LEFT(#REF!,3)="Fee"</formula>
    </cfRule>
  </conditionalFormatting>
  <conditionalFormatting sqref="AF290">
    <cfRule type="expression" dxfId="390" priority="2192">
      <formula>LEFT(#REF!,3)&lt;&gt;"Fee"</formula>
    </cfRule>
  </conditionalFormatting>
  <conditionalFormatting sqref="AK290">
    <cfRule type="expression" dxfId="389" priority="2188">
      <formula>LEFT(#REF!,3)="Fee"</formula>
    </cfRule>
  </conditionalFormatting>
  <conditionalFormatting sqref="AL290">
    <cfRule type="expression" dxfId="388" priority="2187">
      <formula>LEFT(#REF!,3)&lt;&gt;"Fee"</formula>
    </cfRule>
  </conditionalFormatting>
  <conditionalFormatting sqref="AE323 AE320 AE317 AE299 AE296 AE293">
    <cfRule type="expression" dxfId="387" priority="2178">
      <formula>LEFT(#REF!,3)="Fee"</formula>
    </cfRule>
  </conditionalFormatting>
  <conditionalFormatting sqref="AF323 AF320 AF317 AF299 AF296 AF293">
    <cfRule type="expression" dxfId="386" priority="2177">
      <formula>LEFT(#REF!,3)&lt;&gt;"Fee"</formula>
    </cfRule>
  </conditionalFormatting>
  <conditionalFormatting sqref="AK323 AK320 AK317 AK299 AK296 AK293">
    <cfRule type="expression" dxfId="385" priority="2173">
      <formula>LEFT(#REF!,3)="Fee"</formula>
    </cfRule>
  </conditionalFormatting>
  <conditionalFormatting sqref="AL323 AL320 AL317 AL299 AL296 AL293">
    <cfRule type="expression" dxfId="384" priority="2172">
      <formula>LEFT(#REF!,3)&lt;&gt;"Fee"</formula>
    </cfRule>
  </conditionalFormatting>
  <conditionalFormatting sqref="AE326">
    <cfRule type="expression" dxfId="383" priority="2163">
      <formula>LEFT(#REF!,3)="Fee"</formula>
    </cfRule>
  </conditionalFormatting>
  <conditionalFormatting sqref="AF326">
    <cfRule type="expression" dxfId="382" priority="2162">
      <formula>LEFT(#REF!,3)&lt;&gt;"Fee"</formula>
    </cfRule>
  </conditionalFormatting>
  <conditionalFormatting sqref="AK326">
    <cfRule type="expression" dxfId="381" priority="2158">
      <formula>LEFT(#REF!,3)="Fee"</formula>
    </cfRule>
  </conditionalFormatting>
  <conditionalFormatting sqref="AL326">
    <cfRule type="expression" dxfId="380" priority="2157">
      <formula>LEFT(#REF!,3)&lt;&gt;"Fee"</formula>
    </cfRule>
  </conditionalFormatting>
  <conditionalFormatting sqref="AE353 AE350 AE347 AE344">
    <cfRule type="expression" dxfId="379" priority="2133">
      <formula>LEFT(#REF!,3)="Fee"</formula>
    </cfRule>
  </conditionalFormatting>
  <conditionalFormatting sqref="AF353 AF350 AF347 AF344">
    <cfRule type="expression" dxfId="378" priority="2132">
      <formula>LEFT(#REF!,3)&lt;&gt;"Fee"</formula>
    </cfRule>
  </conditionalFormatting>
  <conditionalFormatting sqref="AK353 AK350 AK347 AK344">
    <cfRule type="expression" dxfId="377" priority="2128">
      <formula>LEFT(#REF!,3)="Fee"</formula>
    </cfRule>
  </conditionalFormatting>
  <conditionalFormatting sqref="AL353 AL350 AL347 AL344">
    <cfRule type="expression" dxfId="376" priority="2127">
      <formula>LEFT(#REF!,3)&lt;&gt;"Fee"</formula>
    </cfRule>
  </conditionalFormatting>
  <conditionalFormatting sqref="AE371">
    <cfRule type="expression" dxfId="375" priority="2103">
      <formula>LEFT(#REF!,3)="Fee"</formula>
    </cfRule>
  </conditionalFormatting>
  <conditionalFormatting sqref="AF371">
    <cfRule type="expression" dxfId="374" priority="2102">
      <formula>LEFT(#REF!,3)&lt;&gt;"Fee"</formula>
    </cfRule>
  </conditionalFormatting>
  <conditionalFormatting sqref="AK371">
    <cfRule type="expression" dxfId="373" priority="2098">
      <formula>LEFT(#REF!,3)="Fee"</formula>
    </cfRule>
  </conditionalFormatting>
  <conditionalFormatting sqref="AL371">
    <cfRule type="expression" dxfId="372" priority="2097">
      <formula>LEFT(#REF!,3)&lt;&gt;"Fee"</formula>
    </cfRule>
  </conditionalFormatting>
  <conditionalFormatting sqref="Y59">
    <cfRule type="expression" dxfId="371" priority="2043">
      <formula>LEFT(#REF!,3)="Fee"</formula>
    </cfRule>
  </conditionalFormatting>
  <conditionalFormatting sqref="Z59">
    <cfRule type="expression" dxfId="370" priority="2042">
      <formula>LEFT(#REF!,3)&lt;&gt;"Fee"</formula>
    </cfRule>
  </conditionalFormatting>
  <conditionalFormatting sqref="Y86">
    <cfRule type="expression" dxfId="369" priority="2013">
      <formula>LEFT(#REF!,3)="Fee"</formula>
    </cfRule>
  </conditionalFormatting>
  <conditionalFormatting sqref="Z86">
    <cfRule type="expression" dxfId="368" priority="2012">
      <formula>LEFT(#REF!,3)&lt;&gt;"Fee"</formula>
    </cfRule>
  </conditionalFormatting>
  <conditionalFormatting sqref="Y113">
    <cfRule type="expression" dxfId="367" priority="1848">
      <formula>LEFT(#REF!,3)="Fee"</formula>
    </cfRule>
  </conditionalFormatting>
  <conditionalFormatting sqref="Z113">
    <cfRule type="expression" dxfId="366" priority="1847">
      <formula>LEFT(#REF!,3)&lt;&gt;"Fee"</formula>
    </cfRule>
  </conditionalFormatting>
  <conditionalFormatting sqref="AK5">
    <cfRule type="expression" dxfId="365" priority="628">
      <formula>LEFT(#REF!,3)="Fee"</formula>
    </cfRule>
  </conditionalFormatting>
  <conditionalFormatting sqref="AL5">
    <cfRule type="expression" dxfId="364" priority="627">
      <formula>LEFT(#REF!,3)&lt;&gt;"Fee"</formula>
    </cfRule>
  </conditionalFormatting>
  <conditionalFormatting sqref="AK8 AK11 AK14 AK17 AE17 AE14 AE11 AE8">
    <cfRule type="expression" dxfId="363" priority="588">
      <formula>LEFT(#REF!,3)="Fee"</formula>
    </cfRule>
  </conditionalFormatting>
  <conditionalFormatting sqref="AL8 AL11 AL14 AL17 AF17 AF14 AF11 AF8">
    <cfRule type="expression" dxfId="362" priority="587">
      <formula>LEFT(#REF!,3)&lt;&gt;"Fee"</formula>
    </cfRule>
  </conditionalFormatting>
  <conditionalFormatting sqref="AK32 AK35 AK38 AK41 AK44 AE44 AE41 AE38 AE35 AE32">
    <cfRule type="expression" dxfId="361" priority="538">
      <formula>LEFT(#REF!,3)="Fee"</formula>
    </cfRule>
  </conditionalFormatting>
  <conditionalFormatting sqref="AL32 AL35 AL38 AL41 AL44 AF44 AF41 AF38 AF35 AF32">
    <cfRule type="expression" dxfId="360" priority="537">
      <formula>LEFT(#REF!,3)&lt;&gt;"Fee"</formula>
    </cfRule>
  </conditionalFormatting>
  <conditionalFormatting sqref="AK59 AE59">
    <cfRule type="expression" dxfId="359" priority="533">
      <formula>LEFT(#REF!,3)="Fee"</formula>
    </cfRule>
  </conditionalFormatting>
  <conditionalFormatting sqref="AL59 AF59">
    <cfRule type="expression" dxfId="358" priority="532">
      <formula>LEFT(#REF!,3)&lt;&gt;"Fee"</formula>
    </cfRule>
  </conditionalFormatting>
  <conditionalFormatting sqref="AK65 AE65 AK62 AE62">
    <cfRule type="expression" dxfId="357" priority="523">
      <formula>LEFT(#REF!,3)="Fee"</formula>
    </cfRule>
  </conditionalFormatting>
  <conditionalFormatting sqref="AL65 AF65 AL62 AF62">
    <cfRule type="expression" dxfId="356" priority="522">
      <formula>LEFT(#REF!,3)&lt;&gt;"Fee"</formula>
    </cfRule>
  </conditionalFormatting>
  <conditionalFormatting sqref="AK98 AE98 AK95 AE95 AK92 AE92 AK89 AE89 AK86 AE86 AK71 AE71 AK68 AE68">
    <cfRule type="expression" dxfId="355" priority="488">
      <formula>LEFT(#REF!,3)="Fee"</formula>
    </cfRule>
  </conditionalFormatting>
  <conditionalFormatting sqref="AL98 AF98 AL95 AF95 AL92 AF92 AL89 AF89 AL86 AF86 AL71 AF71 AL68 AF68">
    <cfRule type="expression" dxfId="354" priority="487">
      <formula>LEFT(#REF!,3)&lt;&gt;"Fee"</formula>
    </cfRule>
  </conditionalFormatting>
  <conditionalFormatting sqref="AK125 AE125 AK122 AE122 AK119 AE119 AK116 AE116 AK113 AE113">
    <cfRule type="expression" dxfId="353" priority="463">
      <formula>LEFT(#REF!,3)="Fee"</formula>
    </cfRule>
  </conditionalFormatting>
  <conditionalFormatting sqref="AL125 AF125 AL122 AF122 AL119 AF119 AL116 AF116 AL113 AF113">
    <cfRule type="expression" dxfId="352" priority="462">
      <formula>LEFT(#REF!,3)&lt;&gt;"Fee"</formula>
    </cfRule>
  </conditionalFormatting>
  <conditionalFormatting sqref="AK140 AE140 Y140">
    <cfRule type="expression" dxfId="351" priority="448">
      <formula>LEFT(#REF!,3)="Fee"</formula>
    </cfRule>
  </conditionalFormatting>
  <conditionalFormatting sqref="AL140 AF140 Z140">
    <cfRule type="expression" dxfId="350" priority="447">
      <formula>LEFT(#REF!,3)&lt;&gt;"Fee"</formula>
    </cfRule>
  </conditionalFormatting>
  <conditionalFormatting sqref="AK152 AE152 Y152 AK149 AE149 Y149 AK146 AE146 Y146 AK143 AE143 Y143">
    <cfRule type="expression" dxfId="349" priority="428">
      <formula>LEFT(#REF!,3)="Fee"</formula>
    </cfRule>
  </conditionalFormatting>
  <conditionalFormatting sqref="AL152 AF152 Z152 AL149 AF149 Z149 AL146 AF146 Z146 AL143 AF143 Z143">
    <cfRule type="expression" dxfId="348" priority="427">
      <formula>LEFT(#REF!,3)&lt;&gt;"Fee"</formula>
    </cfRule>
  </conditionalFormatting>
  <conditionalFormatting sqref="Y164 Y161 Y158 Y155">
    <cfRule type="expression" dxfId="347" priority="408">
      <formula>LEFT(#REF!,3)="Fee"</formula>
    </cfRule>
  </conditionalFormatting>
  <conditionalFormatting sqref="Z164 Z161 Z158 Z155">
    <cfRule type="expression" dxfId="346" priority="407">
      <formula>LEFT(#REF!,3)&lt;&gt;"Fee"</formula>
    </cfRule>
  </conditionalFormatting>
  <conditionalFormatting sqref="AK206 AE206 Y206 AK203 AE203 Y203 AK200 AE200 Y200 AK197 AE197 Y197 AK194 AE194 Y194 AK179 AE179 Y179 AK176 AE176 Y176 AK173 AE173 Y173 AK170 AE170 Y170 AK167 AE167 Y167">
    <cfRule type="expression" dxfId="345" priority="358">
      <formula>LEFT(#REF!,3)="Fee"</formula>
    </cfRule>
  </conditionalFormatting>
  <conditionalFormatting sqref="AL206 AF206 Z206 AL203 AF203 Z203 AL200 AF200 Z200 AL197 AF197 Z197 AL194 AF194 Z194 AL179 AF179 Z179 AL176 AF176 Z176 AL173 AF173 Z173 AL170 AF170 Z170 AL167 AF167 Z167">
    <cfRule type="expression" dxfId="344" priority="357">
      <formula>LEFT(#REF!,3)&lt;&gt;"Fee"</formula>
    </cfRule>
  </conditionalFormatting>
  <conditionalFormatting sqref="AK233 AE233 Y233 AK230 AE230 Y230 AK227 AE227 Y227 AK224 AE224 Y224 AK221 AE221 Y221">
    <cfRule type="expression" dxfId="343" priority="333">
      <formula>LEFT(#REF!,3)="Fee"</formula>
    </cfRule>
  </conditionalFormatting>
  <conditionalFormatting sqref="AL233 AF233 Z233 AL230 AF230 Z230 AL227 AF227 Z227 AL224 AF224 Z224 AL221 AF221 Z221">
    <cfRule type="expression" dxfId="342" priority="332">
      <formula>LEFT(#REF!,3)&lt;&gt;"Fee"</formula>
    </cfRule>
  </conditionalFormatting>
  <conditionalFormatting sqref="AK260 AE260 Y260 AK257 AE257 Y257 AK254 AE254 Y254 AK251 AE251 Y251 AK248 AE248 Y248">
    <cfRule type="expression" dxfId="341" priority="308">
      <formula>LEFT(#REF!,3)="Fee"</formula>
    </cfRule>
  </conditionalFormatting>
  <conditionalFormatting sqref="AL260 AF260 Z260 AL257 AF257 Z257 AL254 AF254 Z254 AL251 AF251 Z251 AL248 AF248 Z248">
    <cfRule type="expression" dxfId="340" priority="307">
      <formula>LEFT(#REF!,3)&lt;&gt;"Fee"</formula>
    </cfRule>
  </conditionalFormatting>
  <conditionalFormatting sqref="AK287 AE287 Y287 AK284 AE284 Y284 AK281 AE281 Y281 AK278 AE278 Y278 AK275 AE275 Y275">
    <cfRule type="expression" dxfId="339" priority="283">
      <formula>LEFT(#REF!,3)="Fee"</formula>
    </cfRule>
  </conditionalFormatting>
  <conditionalFormatting sqref="AL287 AF287 Z287 AL284 AF284 Z284 AL281 AF281 Z281 AL278 AF278 Z278 AL275 AF275 Z275">
    <cfRule type="expression" dxfId="338" priority="282">
      <formula>LEFT(#REF!,3)&lt;&gt;"Fee"</formula>
    </cfRule>
  </conditionalFormatting>
  <conditionalFormatting sqref="AK314 AE314 Y314 AK311 AE311 Y311 AK308 AE308 Y308 AK305 AE305 Y305 AK302 AE302 Y302">
    <cfRule type="expression" dxfId="337" priority="258">
      <formula>LEFT(#REF!,3)="Fee"</formula>
    </cfRule>
  </conditionalFormatting>
  <conditionalFormatting sqref="AL314 AF314 Z314 AL311 AF311 Z311 AL308 AF308 Z308 AL305 AF305 Z305 AL302 AF302 Z302">
    <cfRule type="expression" dxfId="336" priority="257">
      <formula>LEFT(#REF!,3)&lt;&gt;"Fee"</formula>
    </cfRule>
  </conditionalFormatting>
  <conditionalFormatting sqref="AK341 AE341 Y341 AK338 AE338 Y338 AK335 AE335 Y335 AK332 AE332 Y332 AK329 AE329 Y329">
    <cfRule type="expression" dxfId="335" priority="233">
      <formula>LEFT(#REF!,3)="Fee"</formula>
    </cfRule>
  </conditionalFormatting>
  <conditionalFormatting sqref="AL341 AF341 Z341 AL338 AF338 Z338 AL335 AF335 Z335 AL332 AF332 Z332 AL329 AF329 Z329">
    <cfRule type="expression" dxfId="334" priority="232">
      <formula>LEFT(#REF!,3)&lt;&gt;"Fee"</formula>
    </cfRule>
  </conditionalFormatting>
  <conditionalFormatting sqref="AK368 AE368 Y368 AK365 AE365 Y365 AK362 AE362 Y362 AK359 AE359 Y359 AK356 AE356 Y356">
    <cfRule type="expression" dxfId="333" priority="208">
      <formula>LEFT(#REF!,3)="Fee"</formula>
    </cfRule>
  </conditionalFormatting>
  <conditionalFormatting sqref="AL368 AF368 Z368 AL365 AF365 Z365 AL362 AF362 Z362 AL359 AF359 Z359 AL356 AF356 Z356">
    <cfRule type="expression" dxfId="332" priority="207">
      <formula>LEFT(#REF!,3)&lt;&gt;"Fee"</formula>
    </cfRule>
  </conditionalFormatting>
  <conditionalFormatting sqref="AK395 AE395 Y395 AK392 AE392 Y392 AK389 AE389 Y389 AK386 AE386 Y386 AK383 AE383 Y383">
    <cfRule type="expression" dxfId="331" priority="183">
      <formula>LEFT(#REF!,3)="Fee"</formula>
    </cfRule>
  </conditionalFormatting>
  <conditionalFormatting sqref="AL395 AF395 Z395 AL392 AF392 Z392 AL389 AF389 Z389 AL386 AF386 Z386 AL383 AF383 Z383">
    <cfRule type="expression" dxfId="330" priority="182">
      <formula>LEFT(#REF!,3)&lt;&gt;"Fee"</formula>
    </cfRule>
  </conditionalFormatting>
  <conditionalFormatting sqref="Y182 Y185 Y188 Y191 Y209 Y212 Y215 Y218 Y236 Y239 Y242 Y245 Y263 Y266 Y269 Y272 Y290 Y293 Y296 Y299 Y317 Y320 Y323 Y326 Y344 Y347 Y350 Y353 Y371 Y374 Y377 Y380 Y398 Y401 Y404 Y407">
    <cfRule type="expression" dxfId="329" priority="3">
      <formula>LEFT(#REF!,3)="Fee"</formula>
    </cfRule>
  </conditionalFormatting>
  <conditionalFormatting sqref="Z182 Z185 Z188 Z191 Z209 Z212 Z215 Z218 Z236 Z239 Z242 Z245 Z263 Z266 Z269 Z272 Z290 Z293 Z296 Z299 Z317 Z320 Z323 Z326 Z344 Z347 Z350 Z353 Z371 Z374 Z377 Z380 Z398 Z401 Z404 Z407">
    <cfRule type="expression" dxfId="328" priority="2">
      <formula>LEFT(#REF!,3)&lt;&gt;"Fee"</formula>
    </cfRule>
  </conditionalFormatting>
  <pageMargins left="0.7" right="0.7" top="0.75" bottom="0.75" header="0.3" footer="0.3"/>
  <pageSetup paperSize="9"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3167" id="{32D736B1-49D4-4CF8-9FDC-A6D560442728}">
            <xm:f>AND('G:\Users\GEC\Documents\LUZ\[Copia de 20200615.xlsx]DATOS'!#REF!="NO",'G:\Users\GEC\Documents\LUZ\[Copia de 20200615.xlsx]DATOS'!#REF!="NO")</xm:f>
            <x14:dxf>
              <font>
                <color theme="0"/>
              </font>
              <fill>
                <patternFill>
                  <bgColor theme="0"/>
                </patternFill>
              </fill>
              <border>
                <left/>
                <right/>
                <top/>
                <bottom/>
                <vertical/>
                <horizontal/>
              </border>
            </x14:dxf>
          </x14:cfRule>
          <xm:sqref>C17:C18</xm:sqref>
        </x14:conditionalFormatting>
        <x14:conditionalFormatting xmlns:xm="http://schemas.microsoft.com/office/excel/2006/main">
          <x14:cfRule type="expression" priority="23166" id="{44C3F60C-1C69-477E-A664-6FB283F37164}">
            <xm:f>OR('G:\Users\GEC\Documents\LUZ\[Copia de 20200615.xlsx]AUX'!#REF!=TRUE,'G:\Users\GEC\Documents\LUZ\[Copia de 20200615.xlsx]AUX'!#REF!=TRUE)</xm:f>
            <x14:dxf>
              <font>
                <color theme="0"/>
              </font>
              <fill>
                <patternFill>
                  <bgColor theme="0"/>
                </patternFill>
              </fill>
              <border>
                <left/>
                <right/>
                <top/>
                <bottom/>
                <vertical/>
                <horizontal/>
              </border>
            </x14:dxf>
          </x14:cfRule>
          <xm:sqref>C17:C18</xm:sqref>
        </x14:conditionalFormatting>
        <x14:conditionalFormatting xmlns:xm="http://schemas.microsoft.com/office/excel/2006/main">
          <x14:cfRule type="expression" priority="23165" id="{3EF74A98-20A0-47F5-8A30-D3366C2A548D}">
            <xm:f>'G:\Users\GEC\Documents\LUZ\[Copia de 20200615.xlsx]AUX'!#REF!=TRUE</xm:f>
            <x14:dxf>
              <font>
                <color theme="0"/>
              </font>
              <fill>
                <patternFill>
                  <bgColor theme="0"/>
                </patternFill>
              </fill>
              <border>
                <left/>
                <right/>
                <top/>
                <bottom/>
                <vertical/>
                <horizontal/>
              </border>
            </x14:dxf>
          </x14:cfRule>
          <xm:sqref>B20:C20 C17:C19</xm:sqref>
        </x14:conditionalFormatting>
        <x14:conditionalFormatting xmlns:xm="http://schemas.microsoft.com/office/excel/2006/main">
          <x14:cfRule type="expression" priority="23164" id="{997452C6-6F77-4944-83A0-71ED9E370741}">
            <xm:f>AND('G:\Users\GEC\Documents\LUZ\[Copia de 20200615.xlsx]DATOS'!#REF!="NO",'G:\Users\GEC\Documents\LUZ\[Copia de 20200615.xlsx]DATOS'!#REF!="NO")</xm:f>
            <x14:dxf>
              <font>
                <color theme="0"/>
              </font>
              <fill>
                <patternFill>
                  <bgColor theme="0"/>
                </patternFill>
              </fill>
              <border>
                <left/>
                <right/>
                <top/>
                <bottom/>
                <vertical/>
                <horizontal/>
              </border>
            </x14:dxf>
          </x14:cfRule>
          <xm:sqref>B20:C20 C19</xm:sqref>
        </x14:conditionalFormatting>
        <x14:conditionalFormatting xmlns:xm="http://schemas.microsoft.com/office/excel/2006/main">
          <x14:cfRule type="expression" priority="23163" id="{D1ACFA75-4CFC-4128-A8AE-3805FE89C1F3}">
            <xm:f>OR('G:\Users\GEC\Documents\LUZ\[Copia de 20200615.xlsx]AUX'!#REF!=TRUE,'G:\Users\GEC\Documents\LUZ\[Copia de 20200615.xlsx]AUX'!#REF!=TRUE)</xm:f>
            <x14:dxf>
              <font>
                <color theme="0"/>
              </font>
              <fill>
                <patternFill>
                  <bgColor theme="0"/>
                </patternFill>
              </fill>
              <border>
                <left/>
                <right/>
                <top/>
                <bottom/>
                <vertical/>
                <horizontal/>
              </border>
            </x14:dxf>
          </x14:cfRule>
          <xm:sqref>B20:C20 C19</xm:sqref>
        </x14:conditionalFormatting>
        <x14:conditionalFormatting xmlns:xm="http://schemas.microsoft.com/office/excel/2006/main">
          <x14:cfRule type="expression" priority="23161" id="{E2AB3057-D682-4E76-AEFA-9EF28B5F3C48}">
            <xm:f>'G:\Users\GEC\Documents\LUZ\[Copia de 20200615.xlsx]DATOS'!#REF!="NO"</xm:f>
            <x14:dxf>
              <border>
                <left/>
                <right/>
                <top/>
                <bottom/>
                <vertical/>
                <horizontal/>
              </border>
            </x14:dxf>
          </x14:cfRule>
          <xm:sqref>E13 D11:I12 G13:K13</xm:sqref>
        </x14:conditionalFormatting>
        <x14:conditionalFormatting xmlns:xm="http://schemas.microsoft.com/office/excel/2006/main">
          <x14:cfRule type="expression" priority="23160" id="{B854743A-BA55-4FF3-A450-F50BB999E019}">
            <xm:f>OR('G:\Users\GEC\Documents\LUZ\[Copia de 20200615.xlsx]AUX'!#REF!=TRUE,'G:\Users\GEC\Documents\LUZ\[Copia de 20200615.xlsx]AUX'!#REF!=TRUE)</xm:f>
            <x14:dxf>
              <font>
                <color theme="0"/>
              </font>
              <fill>
                <patternFill>
                  <bgColor theme="0"/>
                </patternFill>
              </fill>
              <border>
                <left/>
                <right/>
                <top/>
                <bottom/>
                <vertical/>
                <horizontal/>
              </border>
            </x14:dxf>
          </x14:cfRule>
          <xm:sqref>B14:K14 K9 C10:F10 B10:B12 B8 C11:I12 G13:K13 B13:E13</xm:sqref>
        </x14:conditionalFormatting>
        <x14:conditionalFormatting xmlns:xm="http://schemas.microsoft.com/office/excel/2006/main">
          <x14:cfRule type="expression" priority="23155" id="{41722ABF-B11F-4E02-B5C7-C64B07490AFE}">
            <xm:f>AND('G:\Users\GEC\Documents\LUZ\[Copia de 20200615.xlsx]DATOS'!#REF!="NO",'G:\Users\GEC\Documents\LUZ\[Copia de 20200615.xlsx]DATOS'!#REF!="NO")</xm:f>
            <x14:dxf>
              <font>
                <color theme="0"/>
              </font>
              <fill>
                <patternFill>
                  <bgColor theme="0"/>
                </patternFill>
              </fill>
              <border>
                <left/>
                <right/>
                <top/>
                <bottom/>
                <vertical/>
                <horizontal/>
              </border>
            </x14:dxf>
          </x14:cfRule>
          <xm:sqref>B33:I33 B15:K16 B32:K32 K22:K24 J17:K18</xm:sqref>
        </x14:conditionalFormatting>
        <x14:conditionalFormatting xmlns:xm="http://schemas.microsoft.com/office/excel/2006/main">
          <x14:cfRule type="expression" priority="23154" id="{5699724C-BA8B-4E9E-A4F8-A4CF3DB6AF38}">
            <xm:f>OR('G:\Users\GEC\Documents\LUZ\[Copia de 20200615.xlsx]AUX'!#REF!=TRUE,'G:\Users\GEC\Documents\LUZ\[Copia de 20200615.xlsx]AUX'!#REF!=TRUE)</xm:f>
            <x14:dxf>
              <font>
                <color theme="0"/>
              </font>
              <fill>
                <patternFill>
                  <bgColor theme="0"/>
                </patternFill>
              </fill>
              <border>
                <left/>
                <right/>
                <top/>
                <bottom/>
                <vertical/>
                <horizontal/>
              </border>
            </x14:dxf>
          </x14:cfRule>
          <xm:sqref>B33:I33 B32:K32 B15:K16 K22:K24 J17:K18</xm:sqref>
        </x14:conditionalFormatting>
        <x14:conditionalFormatting xmlns:xm="http://schemas.microsoft.com/office/excel/2006/main">
          <x14:cfRule type="expression" priority="23153" id="{BCAFC8F3-8A22-4127-8D5F-6BFF1926C32C}">
            <xm:f>'G:\Users\GEC\Documents\LUZ\[Copia de 20200615.xlsx]AUX'!#REF!=TRUE</xm:f>
            <x14:dxf>
              <font>
                <color theme="0"/>
              </font>
              <fill>
                <patternFill>
                  <bgColor theme="0"/>
                </patternFill>
              </fill>
              <border>
                <left/>
                <right/>
                <top/>
                <bottom/>
                <vertical/>
                <horizontal/>
              </border>
            </x14:dxf>
          </x14:cfRule>
          <xm:sqref>B33:I33 B15:K16 B32:K32 D8:K8 H7:K7 E20:K20 K22:K24 J17:K19</xm:sqref>
        </x14:conditionalFormatting>
        <x14:conditionalFormatting xmlns:xm="http://schemas.microsoft.com/office/excel/2006/main">
          <x14:cfRule type="expression" priority="23151" id="{82A7F257-4770-4E95-802F-70F5C3EC0FDB}">
            <xm:f>OR('G:\Users\GEC\Documents\LUZ\[Copia de 20200615.xlsx]AUX'!#REF!=TRUE,'G:\Users\GEC\Documents\LUZ\[Copia de 20200615.xlsx]AUX'!#REF!=TRUE)</xm:f>
            <x14:dxf>
              <font>
                <color theme="0"/>
              </font>
              <fill>
                <patternFill>
                  <bgColor theme="0"/>
                </patternFill>
              </fill>
              <border>
                <left/>
                <right/>
                <top/>
                <bottom/>
                <vertical/>
                <horizontal/>
              </border>
            </x14:dxf>
          </x14:cfRule>
          <xm:sqref>B2:E2 D8:K8 H7:K7</xm:sqref>
        </x14:conditionalFormatting>
        <x14:conditionalFormatting xmlns:xm="http://schemas.microsoft.com/office/excel/2006/main">
          <x14:cfRule type="expression" priority="23150" id="{AB830545-D223-4BF6-8D71-7FA1447142B1}">
            <xm:f>'G:\Users\GEC\Documents\LUZ\[Copia de 20200615.xlsx]AUX'!#REF!=TRUE</xm:f>
            <x14:dxf>
              <font>
                <color theme="0"/>
              </font>
              <fill>
                <patternFill>
                  <bgColor theme="0"/>
                </patternFill>
              </fill>
              <border>
                <left/>
                <right/>
                <top/>
                <bottom/>
                <vertical/>
                <horizontal/>
              </border>
            </x14:dxf>
          </x14:cfRule>
          <xm:sqref>C2:E2</xm:sqref>
        </x14:conditionalFormatting>
        <x14:conditionalFormatting xmlns:xm="http://schemas.microsoft.com/office/excel/2006/main">
          <x14:cfRule type="expression" priority="23152" id="{46A66970-C428-4EB5-91E9-5EEA9056FA30}">
            <xm:f>AND('G:\Users\GEC\Documents\LUZ\[Copia de 20200615.xlsx]DATOS'!#REF!="NO",'G:\Users\GEC\Documents\LUZ\[Copia de 20200615.xlsx]DATOS'!#REF!="NO")</xm:f>
            <x14:dxf>
              <font>
                <color theme="0"/>
              </font>
              <fill>
                <patternFill>
                  <bgColor theme="0"/>
                </patternFill>
              </fill>
              <border>
                <left/>
                <right/>
                <top/>
                <bottom/>
                <vertical/>
                <horizontal/>
              </border>
            </x14:dxf>
          </x14:cfRule>
          <xm:sqref>C2:E2 D8:K8 H7:K7</xm:sqref>
        </x14:conditionalFormatting>
        <x14:conditionalFormatting xmlns:xm="http://schemas.microsoft.com/office/excel/2006/main">
          <x14:cfRule type="expression" priority="23149" id="{E214FC9C-2A65-4177-A6D3-9DED7435D2A6}">
            <xm:f>AND('G:\Users\GEC\Documents\LUZ\[Copia de 20200615.xlsx]DATOS'!#REF!="NO",'G:\Users\GEC\Documents\LUZ\[Copia de 20200615.xlsx]DATOS'!#REF!="NO")</xm:f>
            <x14:dxf>
              <font>
                <color theme="0"/>
              </font>
              <fill>
                <patternFill>
                  <bgColor theme="0"/>
                </patternFill>
              </fill>
              <border>
                <left/>
                <right/>
                <top/>
                <bottom/>
                <vertical/>
                <horizontal/>
              </border>
            </x14:dxf>
          </x14:cfRule>
          <xm:sqref>C7:G7 C3:E6</xm:sqref>
        </x14:conditionalFormatting>
        <x14:conditionalFormatting xmlns:xm="http://schemas.microsoft.com/office/excel/2006/main">
          <x14:cfRule type="expression" priority="23148" id="{E671489C-B57C-4F52-A15C-A5CE39D4B66C}">
            <xm:f>OR('G:\Users\GEC\Documents\LUZ\[Copia de 20200615.xlsx]AUX'!#REF!=TRUE,'G:\Users\GEC\Documents\LUZ\[Copia de 20200615.xlsx]AUX'!#REF!=TRUE)</xm:f>
            <x14:dxf>
              <font>
                <color theme="0"/>
              </font>
              <fill>
                <patternFill>
                  <bgColor theme="0"/>
                </patternFill>
              </fill>
              <border>
                <left/>
                <right/>
                <top/>
                <bottom/>
                <vertical/>
                <horizontal/>
              </border>
            </x14:dxf>
          </x14:cfRule>
          <xm:sqref>B7:G7 C3:E4 B5:E6</xm:sqref>
        </x14:conditionalFormatting>
        <x14:conditionalFormatting xmlns:xm="http://schemas.microsoft.com/office/excel/2006/main">
          <x14:cfRule type="expression" priority="23147" id="{67509474-B4AC-4109-B947-93326450EF58}">
            <xm:f>'G:\Users\GEC\Documents\LUZ\[Copia de 20200615.xlsx]AUX'!#REF!=TRUE</xm:f>
            <x14:dxf>
              <font>
                <color theme="0"/>
              </font>
              <fill>
                <patternFill>
                  <bgColor theme="0"/>
                </patternFill>
              </fill>
              <border>
                <left/>
                <right/>
                <top/>
                <bottom/>
                <vertical/>
                <horizontal/>
              </border>
            </x14:dxf>
          </x14:cfRule>
          <xm:sqref>C7:G7 C3:E6</xm:sqref>
        </x14:conditionalFormatting>
        <x14:conditionalFormatting xmlns:xm="http://schemas.microsoft.com/office/excel/2006/main">
          <x14:cfRule type="expression" priority="23146" id="{0BD01020-8B7E-4FAC-94E0-C7811E9C4F5F}">
            <xm:f>AND('G:\Users\GEC\Documents\LUZ\[Copia de 20200615.xlsx]DATOS'!#REF!="NO",'G:\Users\GEC\Documents\LUZ\[Copia de 20200615.xlsx]DATOS'!#REF!="NO")</xm:f>
            <x14:dxf>
              <font>
                <color theme="0"/>
              </font>
              <fill>
                <patternFill>
                  <bgColor theme="0"/>
                </patternFill>
              </fill>
              <border>
                <left/>
                <right/>
                <top/>
                <bottom/>
                <vertical/>
                <horizontal/>
              </border>
            </x14:dxf>
          </x14:cfRule>
          <xm:sqref>J19:K19 E20:K20</xm:sqref>
        </x14:conditionalFormatting>
        <x14:conditionalFormatting xmlns:xm="http://schemas.microsoft.com/office/excel/2006/main">
          <x14:cfRule type="expression" priority="23145" id="{4A5AF287-3172-4CC5-8D9D-449E1BB3D65A}">
            <xm:f>OR('G:\Users\GEC\Documents\LUZ\[Copia de 20200615.xlsx]AUX'!#REF!=TRUE,'G:\Users\GEC\Documents\LUZ\[Copia de 20200615.xlsx]AUX'!#REF!=TRUE)</xm:f>
            <x14:dxf>
              <font>
                <color theme="0"/>
              </font>
              <fill>
                <patternFill>
                  <bgColor theme="0"/>
                </patternFill>
              </fill>
              <border>
                <left/>
                <right/>
                <top/>
                <bottom/>
                <vertical/>
                <horizontal/>
              </border>
            </x14:dxf>
          </x14:cfRule>
          <xm:sqref>J19:K19 E20:K20</xm:sqref>
        </x14:conditionalFormatting>
        <x14:conditionalFormatting xmlns:xm="http://schemas.microsoft.com/office/excel/2006/main">
          <x14:cfRule type="expression" priority="23138" id="{AF29341C-2B23-4A20-8AC8-14CF1F9DDE85}">
            <xm:f>'G:\Users\GEC\Documents\LUZ\[Copia de 20200615.xlsx]AUX'!#REF!=TRUE</xm:f>
            <x14:dxf>
              <font>
                <color theme="0"/>
              </font>
              <fill>
                <patternFill>
                  <bgColor theme="0"/>
                </patternFill>
              </fill>
              <border>
                <left/>
                <right/>
                <top/>
                <bottom/>
                <vertical/>
                <horizontal/>
              </border>
            </x14:dxf>
          </x14:cfRule>
          <xm:sqref>D20</xm:sqref>
        </x14:conditionalFormatting>
        <x14:conditionalFormatting xmlns:xm="http://schemas.microsoft.com/office/excel/2006/main">
          <x14:cfRule type="expression" priority="23137" id="{68B0D375-6B6A-4252-9E5A-5DA0D89BBF0C}">
            <xm:f>AND('G:\Users\GEC\Documents\LUZ\[Copia de 20200615.xlsx]DATOS'!#REF!="NO",'G:\Users\GEC\Documents\LUZ\[Copia de 20200615.xlsx]DATOS'!#REF!="NO")</xm:f>
            <x14:dxf>
              <font>
                <color theme="0"/>
              </font>
              <fill>
                <patternFill>
                  <bgColor theme="0"/>
                </patternFill>
              </fill>
              <border>
                <left/>
                <right/>
                <top/>
                <bottom/>
                <vertical/>
                <horizontal/>
              </border>
            </x14:dxf>
          </x14:cfRule>
          <xm:sqref>D20</xm:sqref>
        </x14:conditionalFormatting>
        <x14:conditionalFormatting xmlns:xm="http://schemas.microsoft.com/office/excel/2006/main">
          <x14:cfRule type="expression" priority="23136" id="{2B284F4E-A697-4009-9CF7-92D0C5A0F0F9}">
            <xm:f>OR('G:\Users\GEC\Documents\LUZ\[Copia de 20200615.xlsx]AUX'!#REF!=TRUE,'G:\Users\GEC\Documents\LUZ\[Copia de 20200615.xlsx]AUX'!#REF!=TRUE)</xm:f>
            <x14:dxf>
              <font>
                <color theme="0"/>
              </font>
              <fill>
                <patternFill>
                  <bgColor theme="0"/>
                </patternFill>
              </fill>
              <border>
                <left/>
                <right/>
                <top/>
                <bottom/>
                <vertical/>
                <horizontal/>
              </border>
            </x14:dxf>
          </x14:cfRule>
          <xm:sqref>D20</xm:sqref>
        </x14:conditionalFormatting>
        <x14:conditionalFormatting xmlns:xm="http://schemas.microsoft.com/office/excel/2006/main">
          <x14:cfRule type="expression" priority="23135" id="{4425A826-5E83-470D-9DB4-4E1BF541A82F}">
            <xm:f>AND('G:\Users\GEC\Documents\LUZ\[Copia de 20200615.xlsx]DATOS'!#REF!="NO",'G:\Users\GEC\Documents\LUZ\[Copia de 20200615.xlsx]DATOS'!#REF!="NO")</xm:f>
            <x14:dxf>
              <font>
                <color theme="0"/>
              </font>
              <fill>
                <patternFill>
                  <bgColor theme="0"/>
                </patternFill>
              </fill>
              <border>
                <left/>
                <right/>
                <top/>
                <bottom/>
                <vertical/>
                <horizontal/>
              </border>
            </x14:dxf>
          </x14:cfRule>
          <xm:sqref>B22:C24 J22:J24</xm:sqref>
        </x14:conditionalFormatting>
        <x14:conditionalFormatting xmlns:xm="http://schemas.microsoft.com/office/excel/2006/main">
          <x14:cfRule type="expression" priority="23134" id="{08EC6974-AF28-4ACA-A1F6-566BDE2003A1}">
            <xm:f>OR('G:\Users\GEC\Documents\LUZ\[Copia de 20200615.xlsx]AUX'!#REF!=TRUE,'G:\Users\GEC\Documents\LUZ\[Copia de 20200615.xlsx]AUX'!#REF!=TRUE)</xm:f>
            <x14:dxf>
              <font>
                <color theme="0"/>
              </font>
              <fill>
                <patternFill>
                  <bgColor theme="0"/>
                </patternFill>
              </fill>
              <border>
                <left/>
                <right/>
                <top/>
                <bottom/>
                <vertical/>
                <horizontal/>
              </border>
            </x14:dxf>
          </x14:cfRule>
          <xm:sqref>B22:C24 J22:J24</xm:sqref>
        </x14:conditionalFormatting>
        <x14:conditionalFormatting xmlns:xm="http://schemas.microsoft.com/office/excel/2006/main">
          <x14:cfRule type="expression" priority="23133" id="{FAB8A476-C000-472E-BEA9-8A709C807775}">
            <xm:f>'G:\Users\GEC\Documents\LUZ\[Copia de 20200615.xlsx]AUX'!#REF!=TRUE</xm:f>
            <x14:dxf>
              <font>
                <color theme="0"/>
              </font>
              <fill>
                <patternFill>
                  <bgColor theme="0"/>
                </patternFill>
              </fill>
              <border>
                <left/>
                <right/>
                <top/>
                <bottom/>
                <vertical/>
                <horizontal/>
              </border>
            </x14:dxf>
          </x14:cfRule>
          <xm:sqref>B22:C24 J22:J24</xm:sqref>
        </x14:conditionalFormatting>
        <x14:conditionalFormatting xmlns:xm="http://schemas.microsoft.com/office/excel/2006/main">
          <x14:cfRule type="expression" priority="23132" id="{8A170CC2-82D5-4B6B-9FAA-B9445AABA250}">
            <xm:f>AND('G:\Users\GEC\Documents\LUZ\[Copia de 20200615.xlsx]DATOS'!#REF!="NO",'G:\Users\GEC\Documents\LUZ\[Copia de 20200615.xlsx]DATOS'!#REF!="NO")</xm:f>
            <x14:dxf>
              <font>
                <color theme="0"/>
              </font>
              <fill>
                <patternFill>
                  <bgColor theme="0"/>
                </patternFill>
              </fill>
              <border>
                <left/>
                <right/>
                <top/>
                <bottom/>
                <vertical/>
                <horizontal/>
              </border>
            </x14:dxf>
          </x14:cfRule>
          <xm:sqref>B21:K21</xm:sqref>
        </x14:conditionalFormatting>
        <x14:conditionalFormatting xmlns:xm="http://schemas.microsoft.com/office/excel/2006/main">
          <x14:cfRule type="expression" priority="23131" id="{5B4DF19C-C368-4DBB-872A-A42A047D65E4}">
            <xm:f>OR('G:\Users\GEC\Documents\LUZ\[Copia de 20200615.xlsx]AUX'!#REF!=TRUE,'G:\Users\GEC\Documents\LUZ\[Copia de 20200615.xlsx]AUX'!#REF!=TRUE)</xm:f>
            <x14:dxf>
              <font>
                <color theme="0"/>
              </font>
              <fill>
                <patternFill>
                  <bgColor theme="0"/>
                </patternFill>
              </fill>
              <border>
                <left/>
                <right/>
                <top/>
                <bottom/>
                <vertical/>
                <horizontal/>
              </border>
            </x14:dxf>
          </x14:cfRule>
          <xm:sqref>B21:K21</xm:sqref>
        </x14:conditionalFormatting>
        <x14:conditionalFormatting xmlns:xm="http://schemas.microsoft.com/office/excel/2006/main">
          <x14:cfRule type="expression" priority="23130" id="{6733CA08-3220-4F2C-834D-8C45462D6854}">
            <xm:f>'G:\Users\GEC\Documents\LUZ\[Copia de 20200615.xlsx]AUX'!#REF!=TRUE</xm:f>
            <x14:dxf>
              <font>
                <color theme="0"/>
              </font>
              <fill>
                <patternFill>
                  <bgColor theme="0"/>
                </patternFill>
              </fill>
              <border>
                <left/>
                <right/>
                <top/>
                <bottom/>
                <vertical/>
                <horizontal/>
              </border>
            </x14:dxf>
          </x14:cfRule>
          <xm:sqref>B21:K21</xm:sqref>
        </x14:conditionalFormatting>
        <x14:conditionalFormatting xmlns:xm="http://schemas.microsoft.com/office/excel/2006/main">
          <x14:cfRule type="expression" priority="23129" id="{9D2A7A34-C8C5-42AD-B15F-57C3D54ADC45}">
            <xm:f>AND('G:\Users\GEC\Documents\LUZ\[Copia de 20200615.xlsx]DATOS'!#REF!="NO",'G:\Users\GEC\Documents\LUZ\[Copia de 20200615.xlsx]DATOS'!#REF!="NO")</xm:f>
            <x14:dxf>
              <font>
                <color theme="0"/>
              </font>
              <fill>
                <patternFill>
                  <bgColor theme="0"/>
                </patternFill>
              </fill>
              <border>
                <left/>
                <right/>
                <top/>
                <bottom/>
                <vertical/>
                <horizontal/>
              </border>
            </x14:dxf>
          </x14:cfRule>
          <xm:sqref>B31:K31</xm:sqref>
        </x14:conditionalFormatting>
        <x14:conditionalFormatting xmlns:xm="http://schemas.microsoft.com/office/excel/2006/main">
          <x14:cfRule type="expression" priority="23128" id="{8CBAB7D8-F2FD-4410-A758-736D4B63F82C}">
            <xm:f>OR('G:\Users\GEC\Documents\LUZ\[Copia de 20200615.xlsx]AUX'!#REF!=TRUE,'G:\Users\GEC\Documents\LUZ\[Copia de 20200615.xlsx]AUX'!#REF!=TRUE)</xm:f>
            <x14:dxf>
              <font>
                <color theme="0"/>
              </font>
              <fill>
                <patternFill>
                  <bgColor theme="0"/>
                </patternFill>
              </fill>
              <border>
                <left/>
                <right/>
                <top/>
                <bottom/>
                <vertical/>
                <horizontal/>
              </border>
            </x14:dxf>
          </x14:cfRule>
          <xm:sqref>B31:K31</xm:sqref>
        </x14:conditionalFormatting>
        <x14:conditionalFormatting xmlns:xm="http://schemas.microsoft.com/office/excel/2006/main">
          <x14:cfRule type="expression" priority="23127" id="{2759B1E3-746B-46EE-AE4D-7BE39466B3EF}">
            <xm:f>'G:\Users\GEC\Documents\LUZ\[Copia de 20200615.xlsx]AUX'!#REF!=TRUE</xm:f>
            <x14:dxf>
              <font>
                <color theme="0"/>
              </font>
              <fill>
                <patternFill>
                  <bgColor theme="0"/>
                </patternFill>
              </fill>
              <border>
                <left/>
                <right/>
                <top/>
                <bottom/>
                <vertical/>
                <horizontal/>
              </border>
            </x14:dxf>
          </x14:cfRule>
          <xm:sqref>B31:K31</xm:sqref>
        </x14:conditionalFormatting>
        <x14:conditionalFormatting xmlns:xm="http://schemas.microsoft.com/office/excel/2006/main">
          <x14:cfRule type="expression" priority="22983" id="{0E13CABC-23FC-4632-96FD-E20B0A89CB26}">
            <xm:f>OR('G:\Users\GEC\Documents\LUZ\[Copia de 20200615.xlsx]AUX'!#REF!=TRUE,'G:\Users\GEC\Documents\LUZ\[Copia de 20200615.xlsx]AUX'!#REF!=TRUE)</xm:f>
            <x14:dxf>
              <font>
                <color theme="0"/>
              </font>
              <fill>
                <patternFill>
                  <bgColor theme="0"/>
                </patternFill>
              </fill>
              <border>
                <left/>
                <right/>
                <top/>
                <bottom/>
                <vertical/>
                <horizontal/>
              </border>
            </x14:dxf>
          </x14:cfRule>
          <xm:sqref>G10:H10</xm:sqref>
        </x14:conditionalFormatting>
        <x14:conditionalFormatting xmlns:xm="http://schemas.microsoft.com/office/excel/2006/main">
          <x14:cfRule type="expression" priority="22982" id="{4B53A1D9-A28A-4A43-92FD-EFB178554BD3}">
            <xm:f>OR('G:\Users\GEC\Documents\LUZ\[Copia de 20200615.xlsx]AUX'!#REF!=TRUE,'G:\Users\GEC\Documents\LUZ\[Copia de 20200615.xlsx]AUX'!#REF!=TRUE)</xm:f>
            <x14:dxf>
              <font>
                <color theme="0"/>
              </font>
              <fill>
                <patternFill>
                  <bgColor theme="0"/>
                </patternFill>
              </fill>
              <border>
                <left/>
                <right/>
                <top/>
                <bottom/>
                <vertical/>
                <horizontal/>
              </border>
            </x14:dxf>
          </x14:cfRule>
          <xm:sqref>I10</xm:sqref>
        </x14:conditionalFormatting>
        <x14:conditionalFormatting xmlns:xm="http://schemas.microsoft.com/office/excel/2006/main">
          <x14:cfRule type="expression" priority="22839" id="{1EAB09B7-FF15-4EE9-9FB1-03F4B0162E83}">
            <xm:f>OR('G:\Users\GEC\Documents\LUZ\[Copia de 20200615.xlsx]AUX'!#REF!=TRUE,'G:\Users\GEC\Documents\LUZ\[Copia de 20200615.xlsx]AUX'!#REF!=TRUE)</xm:f>
            <x14:dxf>
              <font>
                <color theme="0"/>
              </font>
              <fill>
                <patternFill>
                  <bgColor theme="0"/>
                </patternFill>
              </fill>
              <border>
                <left/>
                <right/>
                <top/>
                <bottom/>
                <vertical/>
                <horizontal/>
              </border>
            </x14:dxf>
          </x14:cfRule>
          <xm:sqref>H2:H3</xm:sqref>
        </x14:conditionalFormatting>
        <x14:conditionalFormatting xmlns:xm="http://schemas.microsoft.com/office/excel/2006/main">
          <x14:cfRule type="expression" priority="22838" id="{36BB6036-F1F7-46BC-9035-A4B3CD02FE54}">
            <xm:f>OR('G:\Users\GEC\Documents\LUZ\[Copia de 20200615.xlsx]AUX'!#REF!=TRUE,'G:\Users\GEC\Documents\LUZ\[Copia de 20200615.xlsx]AUX'!#REF!=TRUE)</xm:f>
            <x14:dxf>
              <font>
                <color theme="0"/>
              </font>
              <fill>
                <patternFill>
                  <bgColor theme="0"/>
                </patternFill>
              </fill>
              <border>
                <left/>
                <right/>
                <top/>
                <bottom/>
                <vertical/>
                <horizontal/>
              </border>
            </x14:dxf>
          </x14:cfRule>
          <xm:sqref>F2</xm:sqref>
        </x14:conditionalFormatting>
        <x14:conditionalFormatting xmlns:xm="http://schemas.microsoft.com/office/excel/2006/main">
          <x14:cfRule type="expression" priority="22837" id="{7FBD16C7-0848-498C-BBA0-4903DC816A24}">
            <xm:f>OR('G:\Users\GEC\Documents\LUZ\[Copia de 20200615.xlsx]AUX'!#REF!=TRUE,'G:\Users\GEC\Documents\LUZ\[Copia de 20200615.xlsx]AUX'!#REF!=TRUE)</xm:f>
            <x14:dxf>
              <font>
                <color theme="0"/>
              </font>
              <fill>
                <patternFill>
                  <bgColor theme="0"/>
                </patternFill>
              </fill>
              <border>
                <left/>
                <right/>
                <top/>
                <bottom/>
                <vertical/>
                <horizontal/>
              </border>
            </x14:dxf>
          </x14:cfRule>
          <xm:sqref>F3:F6</xm:sqref>
        </x14:conditionalFormatting>
        <x14:conditionalFormatting xmlns:xm="http://schemas.microsoft.com/office/excel/2006/main">
          <x14:cfRule type="expression" priority="22836" id="{C6CDC694-283E-4595-927C-436201828ED4}">
            <xm:f>OR('G:\Users\GEC\Documents\LUZ\[Copia de 20200615.xlsx]AUX'!#REF!=TRUE,'G:\Users\GEC\Documents\LUZ\[Copia de 20200615.xlsx]AUX'!#REF!=TRUE)</xm:f>
            <x14:dxf>
              <font>
                <color theme="0"/>
              </font>
              <fill>
                <patternFill>
                  <bgColor theme="0"/>
                </patternFill>
              </fill>
              <border>
                <left/>
                <right/>
                <top/>
                <bottom/>
                <vertical/>
                <horizontal/>
              </border>
            </x14:dxf>
          </x14:cfRule>
          <xm:sqref>H6</xm:sqref>
        </x14:conditionalFormatting>
        <x14:conditionalFormatting xmlns:xm="http://schemas.microsoft.com/office/excel/2006/main">
          <x14:cfRule type="expression" priority="22835" id="{9D80C9C8-4760-4365-9885-1253F9FC07D4}">
            <xm:f>OR('G:\Users\GEC\Documents\LUZ\[Copia de 20200615.xlsx]AUX'!#REF!=TRUE,'G:\Users\GEC\Documents\LUZ\[Copia de 20200615.xlsx]AUX'!#REF!=TRUE)</xm:f>
            <x14:dxf>
              <font>
                <color theme="0"/>
              </font>
              <fill>
                <patternFill>
                  <bgColor theme="0"/>
                </patternFill>
              </fill>
              <border>
                <left/>
                <right/>
                <top/>
                <bottom/>
                <vertical/>
                <horizontal/>
              </border>
            </x14:dxf>
          </x14:cfRule>
          <xm:sqref>H4</xm:sqref>
        </x14:conditionalFormatting>
        <x14:conditionalFormatting xmlns:xm="http://schemas.microsoft.com/office/excel/2006/main">
          <x14:cfRule type="expression" priority="20654" id="{F0B3AD09-692F-4BF4-BD01-1717C7B9F1BE}">
            <xm:f>AND('G:\Users\GEC\Documents\LUZ\[Copia de 20200615.xlsx]DATOS'!#REF!="NO",'G:\Users\GEC\Documents\LUZ\[Copia de 20200615.xlsx]DATOS'!#REF!="NO")</xm:f>
            <x14:dxf>
              <font>
                <color theme="0"/>
              </font>
              <fill>
                <patternFill>
                  <bgColor theme="0"/>
                </patternFill>
              </fill>
              <border>
                <left/>
                <right/>
                <top/>
                <bottom/>
                <vertical/>
                <horizontal/>
              </border>
            </x14:dxf>
          </x14:cfRule>
          <xm:sqref>K33</xm:sqref>
        </x14:conditionalFormatting>
        <x14:conditionalFormatting xmlns:xm="http://schemas.microsoft.com/office/excel/2006/main">
          <x14:cfRule type="expression" priority="20653" id="{E2C4CBAD-6EB2-496F-A5E8-6ABF8476FAD3}">
            <xm:f>OR('G:\Users\GEC\Documents\LUZ\[Copia de 20200615.xlsx]AUX'!#REF!=TRUE,'G:\Users\GEC\Documents\LUZ\[Copia de 20200615.xlsx]AUX'!#REF!=TRUE)</xm:f>
            <x14:dxf>
              <font>
                <color theme="0"/>
              </font>
              <fill>
                <patternFill>
                  <bgColor theme="0"/>
                </patternFill>
              </fill>
              <border>
                <left/>
                <right/>
                <top/>
                <bottom/>
                <vertical/>
                <horizontal/>
              </border>
            </x14:dxf>
          </x14:cfRule>
          <xm:sqref>K33</xm:sqref>
        </x14:conditionalFormatting>
        <x14:conditionalFormatting xmlns:xm="http://schemas.microsoft.com/office/excel/2006/main">
          <x14:cfRule type="expression" priority="20652" id="{18B98BCF-28C5-42EB-972F-949FD2536637}">
            <xm:f>'G:\Users\GEC\Documents\LUZ\[Copia de 20200615.xlsx]AUX'!#REF!=TRUE</xm:f>
            <x14:dxf>
              <font>
                <color theme="0"/>
              </font>
              <fill>
                <patternFill>
                  <bgColor theme="0"/>
                </patternFill>
              </fill>
              <border>
                <left/>
                <right/>
                <top/>
                <bottom/>
                <vertical/>
                <horizontal/>
              </border>
            </x14:dxf>
          </x14:cfRule>
          <xm:sqref>K33</xm:sqref>
        </x14:conditionalFormatting>
        <x14:conditionalFormatting xmlns:xm="http://schemas.microsoft.com/office/excel/2006/main">
          <x14:cfRule type="expression" priority="20651" id="{A934D97C-6D7A-49A2-8BB0-77D40B1920B9}">
            <xm:f>AND('G:\Users\GEC\Documents\LUZ\[Copia de 20200615.xlsx]DATOS'!#REF!="NO",'G:\Users\GEC\Documents\LUZ\[Copia de 20200615.xlsx]DATOS'!#REF!="NO")</xm:f>
            <x14:dxf>
              <font>
                <color theme="0"/>
              </font>
              <fill>
                <patternFill>
                  <bgColor theme="0"/>
                </patternFill>
              </fill>
              <border>
                <left/>
                <right/>
                <top/>
                <bottom/>
                <vertical/>
                <horizontal/>
              </border>
            </x14:dxf>
          </x14:cfRule>
          <xm:sqref>J33</xm:sqref>
        </x14:conditionalFormatting>
        <x14:conditionalFormatting xmlns:xm="http://schemas.microsoft.com/office/excel/2006/main">
          <x14:cfRule type="expression" priority="20650" id="{82F0EF28-674F-4B80-BB4D-B1363AF65045}">
            <xm:f>OR('G:\Users\GEC\Documents\LUZ\[Copia de 20200615.xlsx]AUX'!#REF!=TRUE,'G:\Users\GEC\Documents\LUZ\[Copia de 20200615.xlsx]AUX'!#REF!=TRUE)</xm:f>
            <x14:dxf>
              <font>
                <color theme="0"/>
              </font>
              <fill>
                <patternFill>
                  <bgColor theme="0"/>
                </patternFill>
              </fill>
              <border>
                <left/>
                <right/>
                <top/>
                <bottom/>
                <vertical/>
                <horizontal/>
              </border>
            </x14:dxf>
          </x14:cfRule>
          <xm:sqref>J33</xm:sqref>
        </x14:conditionalFormatting>
        <x14:conditionalFormatting xmlns:xm="http://schemas.microsoft.com/office/excel/2006/main">
          <x14:cfRule type="expression" priority="20649" id="{E6CEADA4-6F90-4850-AD3E-E693B7DCB7F4}">
            <xm:f>'G:\Users\GEC\Documents\LUZ\[Copia de 20200615.xlsx]AUX'!#REF!=TRUE</xm:f>
            <x14:dxf>
              <font>
                <color theme="0"/>
              </font>
              <fill>
                <patternFill>
                  <bgColor theme="0"/>
                </patternFill>
              </fill>
              <border>
                <left/>
                <right/>
                <top/>
                <bottom/>
                <vertical/>
                <horizontal/>
              </border>
            </x14:dxf>
          </x14:cfRule>
          <xm:sqref>J33</xm:sqref>
        </x14:conditionalFormatting>
        <x14:conditionalFormatting xmlns:xm="http://schemas.microsoft.com/office/excel/2006/main">
          <x14:cfRule type="expression" priority="20648" id="{574B9616-5706-4F4B-8975-DDE7FD83A6C0}">
            <xm:f>AND('G:\Users\GEC\Documents\LUZ\[Copia de 20200615.xlsx]DATOS'!#REF!="NO",'G:\Users\GEC\Documents\LUZ\[Copia de 20200615.xlsx]DATOS'!#REF!="NO")</xm:f>
            <x14:dxf>
              <font>
                <color theme="0"/>
              </font>
              <fill>
                <patternFill>
                  <bgColor theme="0"/>
                </patternFill>
              </fill>
              <border>
                <left/>
                <right/>
                <top/>
                <bottom/>
                <vertical/>
                <horizontal/>
              </border>
            </x14:dxf>
          </x14:cfRule>
          <xm:sqref>F17:G17 G18 F18:F19 I17:I19</xm:sqref>
        </x14:conditionalFormatting>
        <x14:conditionalFormatting xmlns:xm="http://schemas.microsoft.com/office/excel/2006/main">
          <x14:cfRule type="expression" priority="20647" id="{F578FE92-7A4A-490D-87C6-5693AB2A874D}">
            <xm:f>OR('G:\Users\GEC\Documents\LUZ\[Copia de 20200615.xlsx]AUX'!#REF!=TRUE,'G:\Users\GEC\Documents\LUZ\[Copia de 20200615.xlsx]AUX'!#REF!=TRUE)</xm:f>
            <x14:dxf>
              <font>
                <color theme="0"/>
              </font>
              <fill>
                <patternFill>
                  <bgColor theme="0"/>
                </patternFill>
              </fill>
              <border>
                <left/>
                <right/>
                <top/>
                <bottom/>
                <vertical/>
                <horizontal/>
              </border>
            </x14:dxf>
          </x14:cfRule>
          <xm:sqref>F17:G17 G18 F18:F19 I17:I19</xm:sqref>
        </x14:conditionalFormatting>
        <x14:conditionalFormatting xmlns:xm="http://schemas.microsoft.com/office/excel/2006/main">
          <x14:cfRule type="expression" priority="20646" id="{852BE2AA-38E9-4680-AC60-7B346DAEDA3B}">
            <xm:f>'G:\Users\GEC\Documents\LUZ\[Copia de 20200615.xlsx]AUX'!#REF!=TRUE</xm:f>
            <x14:dxf>
              <font>
                <color theme="0"/>
              </font>
              <fill>
                <patternFill>
                  <bgColor theme="0"/>
                </patternFill>
              </fill>
              <border>
                <left/>
                <right/>
                <top/>
                <bottom/>
                <vertical/>
                <horizontal/>
              </border>
            </x14:dxf>
          </x14:cfRule>
          <xm:sqref>E17:F17 E18 F18:F19 G17:G19 I17:I19</xm:sqref>
        </x14:conditionalFormatting>
        <x14:conditionalFormatting xmlns:xm="http://schemas.microsoft.com/office/excel/2006/main">
          <x14:cfRule type="expression" priority="20645" id="{07392EED-859F-4D4D-9765-661319845AE3}">
            <xm:f>AND('G:\Users\GEC\Documents\LUZ\[Copia de 20200615.xlsx]DATOS'!#REF!="NO",'G:\Users\GEC\Documents\LUZ\[Copia de 20200615.xlsx]DATOS'!#REF!="NO")</xm:f>
            <x14:dxf>
              <font>
                <color theme="0"/>
              </font>
              <fill>
                <patternFill>
                  <bgColor theme="0"/>
                </patternFill>
              </fill>
              <border>
                <left/>
                <right/>
                <top/>
                <bottom/>
                <vertical/>
                <horizontal/>
              </border>
            </x14:dxf>
          </x14:cfRule>
          <xm:sqref>G19 I19</xm:sqref>
        </x14:conditionalFormatting>
        <x14:conditionalFormatting xmlns:xm="http://schemas.microsoft.com/office/excel/2006/main">
          <x14:cfRule type="expression" priority="20644" id="{88981C55-BCB2-46B5-968D-297B0E886A39}">
            <xm:f>OR('G:\Users\GEC\Documents\LUZ\[Copia de 20200615.xlsx]AUX'!#REF!=TRUE,'G:\Users\GEC\Documents\LUZ\[Copia de 20200615.xlsx]AUX'!#REF!=TRUE)</xm:f>
            <x14:dxf>
              <font>
                <color theme="0"/>
              </font>
              <fill>
                <patternFill>
                  <bgColor theme="0"/>
                </patternFill>
              </fill>
              <border>
                <left/>
                <right/>
                <top/>
                <bottom/>
                <vertical/>
                <horizontal/>
              </border>
            </x14:dxf>
          </x14:cfRule>
          <xm:sqref>G19 I19</xm:sqref>
        </x14:conditionalFormatting>
        <x14:conditionalFormatting xmlns:xm="http://schemas.microsoft.com/office/excel/2006/main">
          <x14:cfRule type="expression" priority="20643" id="{5A12F2D7-800E-4070-8CED-C7C173FDCDE1}">
            <xm:f>AND('G:\Users\GEC\Documents\LUZ\[Copia de 20200615.xlsx]DATOS'!#REF!="NO",'G:\Users\GEC\Documents\LUZ\[Copia de 20200615.xlsx]DATOS'!#REF!="NO")</xm:f>
            <x14:dxf>
              <font>
                <color theme="0"/>
              </font>
              <fill>
                <patternFill>
                  <bgColor theme="0"/>
                </patternFill>
              </fill>
              <border>
                <left/>
                <right/>
                <top/>
                <bottom/>
                <vertical/>
                <horizontal/>
              </border>
            </x14:dxf>
          </x14:cfRule>
          <xm:sqref>E17:E18</xm:sqref>
        </x14:conditionalFormatting>
        <x14:conditionalFormatting xmlns:xm="http://schemas.microsoft.com/office/excel/2006/main">
          <x14:cfRule type="expression" priority="20642" id="{5A38E9FC-15ED-4361-8492-D23FB45EA22F}">
            <xm:f>OR('G:\Users\GEC\Documents\LUZ\[Copia de 20200615.xlsx]AUX'!#REF!=TRUE,'G:\Users\GEC\Documents\LUZ\[Copia de 20200615.xlsx]AUX'!#REF!=TRUE)</xm:f>
            <x14:dxf>
              <font>
                <color theme="0"/>
              </font>
              <fill>
                <patternFill>
                  <bgColor theme="0"/>
                </patternFill>
              </fill>
              <border>
                <left/>
                <right/>
                <top/>
                <bottom/>
                <vertical/>
                <horizontal/>
              </border>
            </x14:dxf>
          </x14:cfRule>
          <xm:sqref>E17:E18</xm:sqref>
        </x14:conditionalFormatting>
        <x14:conditionalFormatting xmlns:xm="http://schemas.microsoft.com/office/excel/2006/main">
          <x14:cfRule type="expression" priority="20639" id="{94732010-F08D-4DAB-A473-AF49F72D7AB2}">
            <xm:f>'G:\Users\GEC\Documents\LUZ\[Copia de 20200615.xlsx]AUX'!#REF!=TRUE</xm:f>
            <x14:dxf>
              <font>
                <color theme="0"/>
              </font>
              <fill>
                <patternFill>
                  <bgColor theme="0"/>
                </patternFill>
              </fill>
              <border>
                <left/>
                <right/>
                <top/>
                <bottom/>
                <vertical/>
                <horizontal/>
              </border>
            </x14:dxf>
          </x14:cfRule>
          <xm:sqref>D19</xm:sqref>
        </x14:conditionalFormatting>
        <x14:conditionalFormatting xmlns:xm="http://schemas.microsoft.com/office/excel/2006/main">
          <x14:cfRule type="expression" priority="20641" id="{E707A651-B439-4916-969C-BF506C7736FD}">
            <xm:f>AND('G:\Users\GEC\Documents\LUZ\[Copia de 20200615.xlsx]DATOS'!#REF!="NO",'G:\Users\GEC\Documents\LUZ\[Copia de 20200615.xlsx]DATOS'!#REF!="NO")</xm:f>
            <x14:dxf>
              <font>
                <color theme="0"/>
              </font>
              <fill>
                <patternFill>
                  <bgColor theme="0"/>
                </patternFill>
              </fill>
              <border>
                <left/>
                <right/>
                <top/>
                <bottom/>
                <vertical/>
                <horizontal/>
              </border>
            </x14:dxf>
          </x14:cfRule>
          <xm:sqref>D19</xm:sqref>
        </x14:conditionalFormatting>
        <x14:conditionalFormatting xmlns:xm="http://schemas.microsoft.com/office/excel/2006/main">
          <x14:cfRule type="expression" priority="20640" id="{9AF005E3-534E-47C4-959B-FEECDCAE255E}">
            <xm:f>OR('G:\Users\GEC\Documents\LUZ\[Copia de 20200615.xlsx]AUX'!#REF!=TRUE,'G:\Users\GEC\Documents\LUZ\[Copia de 20200615.xlsx]AUX'!#REF!=TRUE)</xm:f>
            <x14:dxf>
              <font>
                <color theme="0"/>
              </font>
              <fill>
                <patternFill>
                  <bgColor theme="0"/>
                </patternFill>
              </fill>
              <border>
                <left/>
                <right/>
                <top/>
                <bottom/>
                <vertical/>
                <horizontal/>
              </border>
            </x14:dxf>
          </x14:cfRule>
          <xm:sqref>D19</xm:sqref>
        </x14:conditionalFormatting>
        <x14:conditionalFormatting xmlns:xm="http://schemas.microsoft.com/office/excel/2006/main">
          <x14:cfRule type="expression" priority="20638" id="{28D171EE-4768-4037-B432-BC4FA0C29CFF}">
            <xm:f>AND('G:\Users\GEC\Documents\LUZ\[Copia de 20200615.xlsx]DATOS'!#REF!="NO",'G:\Users\GEC\Documents\LUZ\[Copia de 20200615.xlsx]DATOS'!#REF!="NO")</xm:f>
            <x14:dxf>
              <font>
                <color theme="0"/>
              </font>
              <fill>
                <patternFill>
                  <bgColor theme="0"/>
                </patternFill>
              </fill>
              <border>
                <left/>
                <right/>
                <top/>
                <bottom/>
                <vertical/>
                <horizontal/>
              </border>
            </x14:dxf>
          </x14:cfRule>
          <xm:sqref>D17:D18</xm:sqref>
        </x14:conditionalFormatting>
        <x14:conditionalFormatting xmlns:xm="http://schemas.microsoft.com/office/excel/2006/main">
          <x14:cfRule type="expression" priority="20637" id="{3A1B9256-4E64-437F-9F58-E48D086213C7}">
            <xm:f>OR('G:\Users\GEC\Documents\LUZ\[Copia de 20200615.xlsx]AUX'!#REF!=TRUE,'G:\Users\GEC\Documents\LUZ\[Copia de 20200615.xlsx]AUX'!#REF!=TRUE)</xm:f>
            <x14:dxf>
              <font>
                <color theme="0"/>
              </font>
              <fill>
                <patternFill>
                  <bgColor theme="0"/>
                </patternFill>
              </fill>
              <border>
                <left/>
                <right/>
                <top/>
                <bottom/>
                <vertical/>
                <horizontal/>
              </border>
            </x14:dxf>
          </x14:cfRule>
          <xm:sqref>D17:D18</xm:sqref>
        </x14:conditionalFormatting>
        <x14:conditionalFormatting xmlns:xm="http://schemas.microsoft.com/office/excel/2006/main">
          <x14:cfRule type="expression" priority="20636" id="{6299EF92-471D-421A-BF18-28C9CF652434}">
            <xm:f>'G:\Users\GEC\Documents\LUZ\[Copia de 20200615.xlsx]AUX'!#REF!=TRUE</xm:f>
            <x14:dxf>
              <font>
                <color theme="0"/>
              </font>
              <fill>
                <patternFill>
                  <bgColor theme="0"/>
                </patternFill>
              </fill>
              <border>
                <left/>
                <right/>
                <top/>
                <bottom/>
                <vertical/>
                <horizontal/>
              </border>
            </x14:dxf>
          </x14:cfRule>
          <xm:sqref>D17:D18</xm:sqref>
        </x14:conditionalFormatting>
        <x14:conditionalFormatting xmlns:xm="http://schemas.microsoft.com/office/excel/2006/main">
          <x14:cfRule type="expression" priority="20635" id="{A567CAB2-C35A-4F05-8578-C177732FDA52}">
            <xm:f>'G:\Users\GEC\Documents\LUZ\[Copia de 20200615.xlsx]AUX'!#REF!=TRUE</xm:f>
            <x14:dxf>
              <font>
                <color theme="0"/>
              </font>
              <fill>
                <patternFill>
                  <bgColor theme="0"/>
                </patternFill>
              </fill>
              <border>
                <left/>
                <right/>
                <top/>
                <bottom/>
                <vertical/>
                <horizontal/>
              </border>
            </x14:dxf>
          </x14:cfRule>
          <xm:sqref>E19</xm:sqref>
        </x14:conditionalFormatting>
        <x14:conditionalFormatting xmlns:xm="http://schemas.microsoft.com/office/excel/2006/main">
          <x14:cfRule type="expression" priority="20634" id="{80E64C0F-7884-4D10-87B3-92E486628641}">
            <xm:f>AND('G:\Users\GEC\Documents\LUZ\[Copia de 20200615.xlsx]DATOS'!#REF!="NO",'G:\Users\GEC\Documents\LUZ\[Copia de 20200615.xlsx]DATOS'!#REF!="NO")</xm:f>
            <x14:dxf>
              <font>
                <color theme="0"/>
              </font>
              <fill>
                <patternFill>
                  <bgColor theme="0"/>
                </patternFill>
              </fill>
              <border>
                <left/>
                <right/>
                <top/>
                <bottom/>
                <vertical/>
                <horizontal/>
              </border>
            </x14:dxf>
          </x14:cfRule>
          <xm:sqref>E19</xm:sqref>
        </x14:conditionalFormatting>
        <x14:conditionalFormatting xmlns:xm="http://schemas.microsoft.com/office/excel/2006/main">
          <x14:cfRule type="expression" priority="20633" id="{E3DBBBF2-B51E-40CE-B78C-5A76D9137254}">
            <xm:f>OR('G:\Users\GEC\Documents\LUZ\[Copia de 20200615.xlsx]AUX'!#REF!=TRUE,'G:\Users\GEC\Documents\LUZ\[Copia de 20200615.xlsx]AUX'!#REF!=TRUE)</xm:f>
            <x14:dxf>
              <font>
                <color theme="0"/>
              </font>
              <fill>
                <patternFill>
                  <bgColor theme="0"/>
                </patternFill>
              </fill>
              <border>
                <left/>
                <right/>
                <top/>
                <bottom/>
                <vertical/>
                <horizontal/>
              </border>
            </x14:dxf>
          </x14:cfRule>
          <xm:sqref>E19</xm:sqref>
        </x14:conditionalFormatting>
        <x14:conditionalFormatting xmlns:xm="http://schemas.microsoft.com/office/excel/2006/main">
          <x14:cfRule type="expression" priority="20632" id="{ABF36A55-B228-4740-A128-3FF98D458729}">
            <xm:f>'G:\Users\GEC\Documents\LUZ\[Copia de 20200615.xlsx]AUX'!#REF!=TRUE</xm:f>
            <x14:dxf>
              <font>
                <color theme="0"/>
              </font>
              <fill>
                <patternFill>
                  <bgColor theme="0"/>
                </patternFill>
              </fill>
              <border>
                <left/>
                <right/>
                <top/>
                <bottom/>
                <vertical/>
                <horizontal/>
              </border>
            </x14:dxf>
          </x14:cfRule>
          <xm:sqref>H17:H19</xm:sqref>
        </x14:conditionalFormatting>
        <x14:conditionalFormatting xmlns:xm="http://schemas.microsoft.com/office/excel/2006/main">
          <x14:cfRule type="expression" priority="20631" id="{BC5E791E-7DBC-4B81-A02B-D78B77F39473}">
            <xm:f>AND('G:\Users\GEC\Documents\LUZ\[Copia de 20200615.xlsx]DATOS'!#REF!="NO",'G:\Users\GEC\Documents\LUZ\[Copia de 20200615.xlsx]DATOS'!#REF!="NO")</xm:f>
            <x14:dxf>
              <font>
                <color theme="0"/>
              </font>
              <fill>
                <patternFill>
                  <bgColor theme="0"/>
                </patternFill>
              </fill>
              <border>
                <left/>
                <right/>
                <top/>
                <bottom/>
                <vertical/>
                <horizontal/>
              </border>
            </x14:dxf>
          </x14:cfRule>
          <xm:sqref>H17:H19</xm:sqref>
        </x14:conditionalFormatting>
        <x14:conditionalFormatting xmlns:xm="http://schemas.microsoft.com/office/excel/2006/main">
          <x14:cfRule type="expression" priority="20630" id="{7D11FDF0-634B-45A1-B915-311C79FB7CD2}">
            <xm:f>OR('G:\Users\GEC\Documents\LUZ\[Copia de 20200615.xlsx]AUX'!#REF!=TRUE,'G:\Users\GEC\Documents\LUZ\[Copia de 20200615.xlsx]AUX'!#REF!=TRUE)</xm:f>
            <x14:dxf>
              <font>
                <color theme="0"/>
              </font>
              <fill>
                <patternFill>
                  <bgColor theme="0"/>
                </patternFill>
              </fill>
              <border>
                <left/>
                <right/>
                <top/>
                <bottom/>
                <vertical/>
                <horizontal/>
              </border>
            </x14:dxf>
          </x14:cfRule>
          <xm:sqref>H17:H19</xm:sqref>
        </x14:conditionalFormatting>
        <x14:conditionalFormatting xmlns:xm="http://schemas.microsoft.com/office/excel/2006/main">
          <x14:cfRule type="expression" priority="20605" id="{200C2BEB-287A-4215-A555-007B8FF8A95D}">
            <xm:f>'G:\Users\GEC\Documents\LUZ\[Copia de 20200615.xlsx]DATOS'!#REF!="NO"</xm:f>
            <x14:dxf>
              <font>
                <color theme="0"/>
              </font>
              <fill>
                <patternFill>
                  <bgColor theme="0"/>
                </patternFill>
              </fill>
            </x14:dxf>
          </x14:cfRule>
          <xm:sqref>C25:K25</xm:sqref>
        </x14:conditionalFormatting>
        <x14:conditionalFormatting xmlns:xm="http://schemas.microsoft.com/office/excel/2006/main">
          <x14:cfRule type="expression" priority="20604" id="{C84520F8-5769-4D74-952C-06CB12E9FC0E}">
            <xm:f>AND('G:\Users\GEC\Documents\LUZ\[Copia de 20200615.xlsx]DATOS'!#REF!="NO",'G:\Users\GEC\Documents\LUZ\[Copia de 20200615.xlsx]DATOS'!#REF!="NO")</xm:f>
            <x14:dxf>
              <font>
                <color theme="0"/>
              </font>
              <fill>
                <patternFill>
                  <bgColor theme="0"/>
                </patternFill>
              </fill>
              <border>
                <left/>
                <right/>
                <top/>
                <bottom/>
                <vertical/>
                <horizontal/>
              </border>
            </x14:dxf>
          </x14:cfRule>
          <xm:sqref>B28:I28 K27:K28 I30:K30 B29:K29 B25:K26 H27:I27 B27:E27 B30:E30</xm:sqref>
        </x14:conditionalFormatting>
        <x14:conditionalFormatting xmlns:xm="http://schemas.microsoft.com/office/excel/2006/main">
          <x14:cfRule type="expression" priority="20603" id="{273EFFA0-3BF6-4C12-A87F-F9C152B45B80}">
            <xm:f>OR('G:\Users\GEC\Documents\LUZ\[Copia de 20200615.xlsx]AUX'!#REF!=TRUE,'G:\Users\GEC\Documents\LUZ\[Copia de 20200615.xlsx]AUX'!#REF!=TRUE)</xm:f>
            <x14:dxf>
              <font>
                <color theme="0"/>
              </font>
              <fill>
                <patternFill>
                  <bgColor theme="0"/>
                </patternFill>
              </fill>
              <border>
                <left/>
                <right/>
                <top/>
                <bottom/>
                <vertical/>
                <horizontal/>
              </border>
            </x14:dxf>
          </x14:cfRule>
          <xm:sqref>B28:I28 K27:K28 I30:K30 B29:K29 B25:K26 H27:I27 B27:E27 B30:E30</xm:sqref>
        </x14:conditionalFormatting>
        <x14:conditionalFormatting xmlns:xm="http://schemas.microsoft.com/office/excel/2006/main">
          <x14:cfRule type="expression" priority="20602" id="{79EA1B4C-7F51-4E30-873A-DD87055E7C71}">
            <xm:f>'G:\Users\GEC\Documents\LUZ\[Copia de 20200615.xlsx]AUX'!#REF!=TRUE</xm:f>
            <x14:dxf>
              <font>
                <color theme="0"/>
              </font>
              <fill>
                <patternFill>
                  <bgColor theme="0"/>
                </patternFill>
              </fill>
              <border>
                <left/>
                <right/>
                <top/>
                <bottom/>
                <vertical/>
                <horizontal/>
              </border>
            </x14:dxf>
          </x14:cfRule>
          <xm:sqref>B28:I28 K27:K28 I30:K30 B29:K29 B25:K26 H27:I27 B27:E27 B30:E30</xm:sqref>
        </x14:conditionalFormatting>
        <x14:conditionalFormatting xmlns:xm="http://schemas.microsoft.com/office/excel/2006/main">
          <x14:cfRule type="expression" priority="20591" id="{357DE209-D50D-4C33-BC5C-D4208C15324C}">
            <xm:f>AND('G:\Users\GEC\Documents\LUZ\[Copia de 20200615.xlsx]DATOS'!#REF!="NO",'G:\Users\GEC\Documents\LUZ\[Copia de 20200615.xlsx]DATOS'!#REF!="NO")</xm:f>
            <x14:dxf>
              <font>
                <color theme="0"/>
              </font>
              <fill>
                <patternFill>
                  <bgColor theme="0"/>
                </patternFill>
              </fill>
              <border>
                <left/>
                <right/>
                <top/>
                <bottom/>
                <vertical/>
                <horizontal/>
              </border>
            </x14:dxf>
          </x14:cfRule>
          <xm:sqref>G22:G24</xm:sqref>
        </x14:conditionalFormatting>
        <x14:conditionalFormatting xmlns:xm="http://schemas.microsoft.com/office/excel/2006/main">
          <x14:cfRule type="expression" priority="20590" id="{3543ED31-8E63-4BBA-AD45-29E03DEB1ED7}">
            <xm:f>OR('G:\Users\GEC\Documents\LUZ\[Copia de 20200615.xlsx]AUX'!#REF!=TRUE,'G:\Users\GEC\Documents\LUZ\[Copia de 20200615.xlsx]AUX'!#REF!=TRUE)</xm:f>
            <x14:dxf>
              <font>
                <color theme="0"/>
              </font>
              <fill>
                <patternFill>
                  <bgColor theme="0"/>
                </patternFill>
              </fill>
              <border>
                <left/>
                <right/>
                <top/>
                <bottom/>
                <vertical/>
                <horizontal/>
              </border>
            </x14:dxf>
          </x14:cfRule>
          <xm:sqref>G22:G24</xm:sqref>
        </x14:conditionalFormatting>
        <x14:conditionalFormatting xmlns:xm="http://schemas.microsoft.com/office/excel/2006/main">
          <x14:cfRule type="expression" priority="20601" id="{91B2930A-7EC5-491D-9218-95B065601664}">
            <xm:f>AND('G:\Users\GEC\Documents\LUZ\[Copia de 20200615.xlsx]DATOS'!#REF!="NO",'G:\Users\GEC\Documents\LUZ\[Copia de 20200615.xlsx]DATOS'!#REF!="NO")</xm:f>
            <x14:dxf>
              <font>
                <color theme="0"/>
              </font>
              <fill>
                <patternFill>
                  <bgColor theme="0"/>
                </patternFill>
              </fill>
              <border>
                <left/>
                <right/>
                <top/>
                <bottom/>
                <vertical/>
                <horizontal/>
              </border>
            </x14:dxf>
          </x14:cfRule>
          <xm:sqref>F22:F24 I22:I24</xm:sqref>
        </x14:conditionalFormatting>
        <x14:conditionalFormatting xmlns:xm="http://schemas.microsoft.com/office/excel/2006/main">
          <x14:cfRule type="expression" priority="20600" id="{37341D32-0EB4-496E-9603-D5E999B10D7E}">
            <xm:f>OR('G:\Users\GEC\Documents\LUZ\[Copia de 20200615.xlsx]AUX'!#REF!=TRUE,'G:\Users\GEC\Documents\LUZ\[Copia de 20200615.xlsx]AUX'!#REF!=TRUE)</xm:f>
            <x14:dxf>
              <font>
                <color theme="0"/>
              </font>
              <fill>
                <patternFill>
                  <bgColor theme="0"/>
                </patternFill>
              </fill>
              <border>
                <left/>
                <right/>
                <top/>
                <bottom/>
                <vertical/>
                <horizontal/>
              </border>
            </x14:dxf>
          </x14:cfRule>
          <xm:sqref>F22:F24 I22:I24</xm:sqref>
        </x14:conditionalFormatting>
        <x14:conditionalFormatting xmlns:xm="http://schemas.microsoft.com/office/excel/2006/main">
          <x14:cfRule type="expression" priority="20599" id="{392B5B90-143B-4720-B6E1-0D1ECD0B67FC}">
            <xm:f>'G:\Users\GEC\Documents\LUZ\[Copia de 20200615.xlsx]AUX'!#REF!=TRUE</xm:f>
            <x14:dxf>
              <font>
                <color theme="0"/>
              </font>
              <fill>
                <patternFill>
                  <bgColor theme="0"/>
                </patternFill>
              </fill>
              <border>
                <left/>
                <right/>
                <top/>
                <bottom/>
                <vertical/>
                <horizontal/>
              </border>
            </x14:dxf>
          </x14:cfRule>
          <xm:sqref>F22:F24 I22:I24</xm:sqref>
        </x14:conditionalFormatting>
        <x14:conditionalFormatting xmlns:xm="http://schemas.microsoft.com/office/excel/2006/main">
          <x14:cfRule type="expression" priority="20598" id="{6CC52294-31C2-4AAA-988A-84AD59F03FF0}">
            <xm:f>AND('G:\Users\GEC\Documents\LUZ\[Copia de 20200615.xlsx]DATOS'!#REF!="NO",'G:\Users\GEC\Documents\LUZ\[Copia de 20200615.xlsx]DATOS'!#REF!="NO")</xm:f>
            <x14:dxf>
              <font>
                <color theme="0"/>
              </font>
              <fill>
                <patternFill>
                  <bgColor theme="0"/>
                </patternFill>
              </fill>
              <border>
                <left/>
                <right/>
                <top/>
                <bottom/>
                <vertical/>
                <horizontal/>
              </border>
            </x14:dxf>
          </x14:cfRule>
          <xm:sqref>E22:E24</xm:sqref>
        </x14:conditionalFormatting>
        <x14:conditionalFormatting xmlns:xm="http://schemas.microsoft.com/office/excel/2006/main">
          <x14:cfRule type="expression" priority="20597" id="{A351D841-D700-485E-8349-35C36E5F039F}">
            <xm:f>OR('G:\Users\GEC\Documents\LUZ\[Copia de 20200615.xlsx]AUX'!#REF!=TRUE,'G:\Users\GEC\Documents\LUZ\[Copia de 20200615.xlsx]AUX'!#REF!=TRUE)</xm:f>
            <x14:dxf>
              <font>
                <color theme="0"/>
              </font>
              <fill>
                <patternFill>
                  <bgColor theme="0"/>
                </patternFill>
              </fill>
              <border>
                <left/>
                <right/>
                <top/>
                <bottom/>
                <vertical/>
                <horizontal/>
              </border>
            </x14:dxf>
          </x14:cfRule>
          <xm:sqref>E22:E24</xm:sqref>
        </x14:conditionalFormatting>
        <x14:conditionalFormatting xmlns:xm="http://schemas.microsoft.com/office/excel/2006/main">
          <x14:cfRule type="expression" priority="20596" id="{8EC79A0E-A778-4FE9-A794-81C3E10CC713}">
            <xm:f>'G:\Users\GEC\Documents\LUZ\[Copia de 20200615.xlsx]AUX'!#REF!=TRUE</xm:f>
            <x14:dxf>
              <font>
                <color theme="0"/>
              </font>
              <fill>
                <patternFill>
                  <bgColor theme="0"/>
                </patternFill>
              </fill>
              <border>
                <left/>
                <right/>
                <top/>
                <bottom/>
                <vertical/>
                <horizontal/>
              </border>
            </x14:dxf>
          </x14:cfRule>
          <xm:sqref>E22:E24</xm:sqref>
        </x14:conditionalFormatting>
        <x14:conditionalFormatting xmlns:xm="http://schemas.microsoft.com/office/excel/2006/main">
          <x14:cfRule type="expression" priority="20595" id="{8E9193BB-16FB-425F-AB38-201EA594A5ED}">
            <xm:f>AND('G:\Users\GEC\Documents\LUZ\[Copia de 20200615.xlsx]DATOS'!#REF!="NO",'G:\Users\GEC\Documents\LUZ\[Copia de 20200615.xlsx]DATOS'!#REF!="NO")</xm:f>
            <x14:dxf>
              <font>
                <color theme="0"/>
              </font>
              <fill>
                <patternFill>
                  <bgColor theme="0"/>
                </patternFill>
              </fill>
              <border>
                <left/>
                <right/>
                <top/>
                <bottom/>
                <vertical/>
                <horizontal/>
              </border>
            </x14:dxf>
          </x14:cfRule>
          <xm:sqref>D22:D24</xm:sqref>
        </x14:conditionalFormatting>
        <x14:conditionalFormatting xmlns:xm="http://schemas.microsoft.com/office/excel/2006/main">
          <x14:cfRule type="expression" priority="20594" id="{AD03FA36-D4FC-4684-812E-140BD6861A57}">
            <xm:f>OR('G:\Users\GEC\Documents\LUZ\[Copia de 20200615.xlsx]AUX'!#REF!=TRUE,'G:\Users\GEC\Documents\LUZ\[Copia de 20200615.xlsx]AUX'!#REF!=TRUE)</xm:f>
            <x14:dxf>
              <font>
                <color theme="0"/>
              </font>
              <fill>
                <patternFill>
                  <bgColor theme="0"/>
                </patternFill>
              </fill>
              <border>
                <left/>
                <right/>
                <top/>
                <bottom/>
                <vertical/>
                <horizontal/>
              </border>
            </x14:dxf>
          </x14:cfRule>
          <xm:sqref>D22:D24</xm:sqref>
        </x14:conditionalFormatting>
        <x14:conditionalFormatting xmlns:xm="http://schemas.microsoft.com/office/excel/2006/main">
          <x14:cfRule type="expression" priority="20593" id="{4ECDE803-EF6D-4AA4-A683-482496956A70}">
            <xm:f>'G:\Users\GEC\Documents\LUZ\[Copia de 20200615.xlsx]AUX'!#REF!=TRUE</xm:f>
            <x14:dxf>
              <font>
                <color theme="0"/>
              </font>
              <fill>
                <patternFill>
                  <bgColor theme="0"/>
                </patternFill>
              </fill>
              <border>
                <left/>
                <right/>
                <top/>
                <bottom/>
                <vertical/>
                <horizontal/>
              </border>
            </x14:dxf>
          </x14:cfRule>
          <xm:sqref>D22:D24</xm:sqref>
        </x14:conditionalFormatting>
        <x14:conditionalFormatting xmlns:xm="http://schemas.microsoft.com/office/excel/2006/main">
          <x14:cfRule type="expression" priority="20592" id="{B2F35537-5B5B-4427-8535-02F5DE65D56C}">
            <xm:f>'G:\Users\GEC\Documents\LUZ\[Copia de 20200615.xlsx]AUX'!#REF!=TRUE</xm:f>
            <x14:dxf>
              <font>
                <color theme="0"/>
              </font>
              <fill>
                <patternFill>
                  <bgColor theme="0"/>
                </patternFill>
              </fill>
              <border>
                <left/>
                <right/>
                <top/>
                <bottom/>
                <vertical/>
                <horizontal/>
              </border>
            </x14:dxf>
          </x14:cfRule>
          <xm:sqref>G22:G24</xm:sqref>
        </x14:conditionalFormatting>
        <x14:conditionalFormatting xmlns:xm="http://schemas.microsoft.com/office/excel/2006/main">
          <x14:cfRule type="expression" priority="20589" id="{B425777E-644E-4D0A-8FE0-08C11A3BABEF}">
            <xm:f>AND('G:\Users\GEC\Documents\LUZ\[Copia de 20200615.xlsx]DATOS'!#REF!="NO",'G:\Users\GEC\Documents\LUZ\[Copia de 20200615.xlsx]DATOS'!#REF!="NO")</xm:f>
            <x14:dxf>
              <font>
                <color theme="0"/>
              </font>
              <fill>
                <patternFill>
                  <bgColor theme="0"/>
                </patternFill>
              </fill>
              <border>
                <left/>
                <right/>
                <top/>
                <bottom/>
                <vertical/>
                <horizontal/>
              </border>
            </x14:dxf>
          </x14:cfRule>
          <xm:sqref>H22:H24</xm:sqref>
        </x14:conditionalFormatting>
        <x14:conditionalFormatting xmlns:xm="http://schemas.microsoft.com/office/excel/2006/main">
          <x14:cfRule type="expression" priority="20588" id="{4A41620A-69C0-4B23-ABE1-AA346BC01B67}">
            <xm:f>OR('G:\Users\GEC\Documents\LUZ\[Copia de 20200615.xlsx]AUX'!#REF!=TRUE,'G:\Users\GEC\Documents\LUZ\[Copia de 20200615.xlsx]AUX'!#REF!=TRUE)</xm:f>
            <x14:dxf>
              <font>
                <color theme="0"/>
              </font>
              <fill>
                <patternFill>
                  <bgColor theme="0"/>
                </patternFill>
              </fill>
              <border>
                <left/>
                <right/>
                <top/>
                <bottom/>
                <vertical/>
                <horizontal/>
              </border>
            </x14:dxf>
          </x14:cfRule>
          <xm:sqref>H22:H24</xm:sqref>
        </x14:conditionalFormatting>
        <x14:conditionalFormatting xmlns:xm="http://schemas.microsoft.com/office/excel/2006/main">
          <x14:cfRule type="expression" priority="20587" id="{6B382C55-F19D-436C-9418-FEA4038478A6}">
            <xm:f>'G:\Users\GEC\Documents\LUZ\[Copia de 20200615.xlsx]AUX'!#REF!=TRUE</xm:f>
            <x14:dxf>
              <font>
                <color theme="0"/>
              </font>
              <fill>
                <patternFill>
                  <bgColor theme="0"/>
                </patternFill>
              </fill>
              <border>
                <left/>
                <right/>
                <top/>
                <bottom/>
                <vertical/>
                <horizontal/>
              </border>
            </x14:dxf>
          </x14:cfRule>
          <xm:sqref>H22:H24</xm:sqref>
        </x14:conditionalFormatting>
        <x14:conditionalFormatting xmlns:xm="http://schemas.microsoft.com/office/excel/2006/main">
          <x14:cfRule type="expression" priority="2671" id="{ED996AFE-FA98-4C5D-9032-8284F36A0D66}">
            <xm:f>OR('G:\Users\GEC\Documents\LUZ\[Copia de 20200615.xlsx]AUX'!#REF!=TRUE,'G:\Users\GEC\Documents\LUZ\[Copia de 20200615.xlsx]AUX'!#REF!=TRUE)</xm:f>
            <x14:dxf>
              <font>
                <color theme="0"/>
              </font>
              <fill>
                <patternFill>
                  <bgColor theme="0"/>
                </patternFill>
              </fill>
              <border>
                <left/>
                <right/>
                <top/>
                <bottom/>
                <vertical/>
                <horizontal/>
              </border>
            </x14:dxf>
          </x14:cfRule>
          <xm:sqref>F13</xm:sqref>
        </x14:conditionalFormatting>
        <x14:conditionalFormatting xmlns:xm="http://schemas.microsoft.com/office/excel/2006/main">
          <x14:cfRule type="expression" priority="2070" id="{07BA6D6D-5F10-494C-AB59-18ED13DBF212}">
            <xm:f>'G:\Users\GEC\Documents\LUZ\[Copia de 20200615.xlsx]DATOS'!#REF!="NO"</xm:f>
            <x14:dxf>
              <border>
                <left/>
                <right/>
                <top/>
                <bottom/>
                <vertical/>
                <horizontal/>
              </border>
            </x14:dxf>
          </x14:cfRule>
          <xm:sqref>AK407</xm:sqref>
        </x14:conditionalFormatting>
        <x14:conditionalFormatting xmlns:xm="http://schemas.microsoft.com/office/excel/2006/main">
          <x14:cfRule type="expression" priority="2069" id="{4C42DA33-7C2F-4DF5-AAD1-1C8015842E4C}">
            <xm:f>OR('G:\Users\GEC\Documents\LUZ\[Copia de 20200615.xlsx]AUX'!#REF!=TRUE,'G:\Users\GEC\Documents\LUZ\[Copia de 20200615.xlsx]AUX'!#REF!=TRUE)</xm:f>
            <x14:dxf>
              <font>
                <color theme="0"/>
              </font>
              <fill>
                <patternFill>
                  <bgColor theme="0"/>
                </patternFill>
              </fill>
              <border>
                <left/>
                <right/>
                <top/>
                <bottom/>
                <vertical/>
                <horizontal/>
              </border>
            </x14:dxf>
          </x14:cfRule>
          <xm:sqref>AJ407:AK407</xm:sqref>
        </x14:conditionalFormatting>
        <x14:conditionalFormatting xmlns:xm="http://schemas.microsoft.com/office/excel/2006/main">
          <x14:cfRule type="expression" priority="2066" id="{CE58631A-928E-42D2-B194-3DDB162875A2}">
            <xm:f>OR('G:\Users\GEC\Documents\LUZ\[Copia de 20200615.xlsx]AUX'!#REF!=TRUE,'G:\Users\GEC\Documents\LUZ\[Copia de 20200615.xlsx]AUX'!#REF!=TRUE)</xm:f>
            <x14:dxf>
              <font>
                <color theme="0"/>
              </font>
              <fill>
                <patternFill>
                  <bgColor theme="0"/>
                </patternFill>
              </fill>
              <border>
                <left/>
                <right/>
                <top/>
                <bottom/>
                <vertical/>
                <horizontal/>
              </border>
            </x14:dxf>
          </x14:cfRule>
          <xm:sqref>AL407</xm:sqref>
        </x14:conditionalFormatting>
        <x14:conditionalFormatting xmlns:xm="http://schemas.microsoft.com/office/excel/2006/main">
          <x14:cfRule type="expression" priority="2660" id="{284DE8F0-03B1-463A-9A03-9EB95544FA92}">
            <xm:f>'G:\Users\GEC\Documents\LUZ\[Copia de 20200615.xlsx]DATOS'!#REF!="NO"</xm:f>
            <x14:dxf>
              <border>
                <left/>
                <right/>
                <top/>
                <bottom/>
                <vertical/>
                <horizontal/>
              </border>
            </x14:dxf>
          </x14:cfRule>
          <xm:sqref>AE5</xm:sqref>
        </x14:conditionalFormatting>
        <x14:conditionalFormatting xmlns:xm="http://schemas.microsoft.com/office/excel/2006/main">
          <x14:cfRule type="expression" priority="2659" id="{A6E04AC1-E39F-43FC-9C7A-D8D6C18D40EF}">
            <xm:f>OR('G:\Users\GEC\Documents\LUZ\[Copia de 20200615.xlsx]AUX'!#REF!=TRUE,'G:\Users\GEC\Documents\LUZ\[Copia de 20200615.xlsx]AUX'!#REF!=TRUE)</xm:f>
            <x14:dxf>
              <font>
                <color theme="0"/>
              </font>
              <fill>
                <patternFill>
                  <bgColor theme="0"/>
                </patternFill>
              </fill>
              <border>
                <left/>
                <right/>
                <top/>
                <bottom/>
                <vertical/>
                <horizontal/>
              </border>
            </x14:dxf>
          </x14:cfRule>
          <xm:sqref>AD5:AE5</xm:sqref>
        </x14:conditionalFormatting>
        <x14:conditionalFormatting xmlns:xm="http://schemas.microsoft.com/office/excel/2006/main">
          <x14:cfRule type="expression" priority="2656" id="{1FA87352-634A-4521-B2C4-7987875D8964}">
            <xm:f>OR('G:\Users\GEC\Documents\LUZ\[Copia de 20200615.xlsx]AUX'!#REF!=TRUE,'G:\Users\GEC\Documents\LUZ\[Copia de 20200615.xlsx]AUX'!#REF!=TRUE)</xm:f>
            <x14:dxf>
              <font>
                <color theme="0"/>
              </font>
              <fill>
                <patternFill>
                  <bgColor theme="0"/>
                </patternFill>
              </fill>
              <border>
                <left/>
                <right/>
                <top/>
                <bottom/>
                <vertical/>
                <horizontal/>
              </border>
            </x14:dxf>
          </x14:cfRule>
          <xm:sqref>AF5</xm:sqref>
        </x14:conditionalFormatting>
        <x14:conditionalFormatting xmlns:xm="http://schemas.microsoft.com/office/excel/2006/main">
          <x14:cfRule type="expression" priority="2650" id="{C134020A-6D18-4B72-B6F2-AA26CA93C019}">
            <xm:f>'G:\Users\GEC\Documents\LUZ\[Copia de 20200615.xlsx]DATOS'!#REF!="NO"</xm:f>
            <x14:dxf>
              <border>
                <left/>
                <right/>
                <top/>
                <bottom/>
                <vertical/>
                <horizontal/>
              </border>
            </x14:dxf>
          </x14:cfRule>
          <xm:sqref>Y8</xm:sqref>
        </x14:conditionalFormatting>
        <x14:conditionalFormatting xmlns:xm="http://schemas.microsoft.com/office/excel/2006/main">
          <x14:cfRule type="expression" priority="2649" id="{B76A71B3-5EA1-4019-AF7C-820AF14632FE}">
            <xm:f>OR('G:\Users\GEC\Documents\LUZ\[Copia de 20200615.xlsx]AUX'!#REF!=TRUE,'G:\Users\GEC\Documents\LUZ\[Copia de 20200615.xlsx]AUX'!#REF!=TRUE)</xm:f>
            <x14:dxf>
              <font>
                <color theme="0"/>
              </font>
              <fill>
                <patternFill>
                  <bgColor theme="0"/>
                </patternFill>
              </fill>
              <border>
                <left/>
                <right/>
                <top/>
                <bottom/>
                <vertical/>
                <horizontal/>
              </border>
            </x14:dxf>
          </x14:cfRule>
          <xm:sqref>X8:Y8</xm:sqref>
        </x14:conditionalFormatting>
        <x14:conditionalFormatting xmlns:xm="http://schemas.microsoft.com/office/excel/2006/main">
          <x14:cfRule type="expression" priority="2646" id="{ADE4C8DC-6859-4E25-AFF2-E6E6A87967C3}">
            <xm:f>OR('G:\Users\GEC\Documents\LUZ\[Copia de 20200615.xlsx]AUX'!#REF!=TRUE,'G:\Users\GEC\Documents\LUZ\[Copia de 20200615.xlsx]AUX'!#REF!=TRUE)</xm:f>
            <x14:dxf>
              <font>
                <color theme="0"/>
              </font>
              <fill>
                <patternFill>
                  <bgColor theme="0"/>
                </patternFill>
              </fill>
              <border>
                <left/>
                <right/>
                <top/>
                <bottom/>
                <vertical/>
                <horizontal/>
              </border>
            </x14:dxf>
          </x14:cfRule>
          <xm:sqref>Z8</xm:sqref>
        </x14:conditionalFormatting>
        <x14:conditionalFormatting xmlns:xm="http://schemas.microsoft.com/office/excel/2006/main">
          <x14:cfRule type="expression" priority="2435" id="{16D4C88B-1D8D-4060-A853-291791E45C7B}">
            <xm:f>'G:\Users\GEC\Documents\LUZ\[Copia de 20200615.xlsx]DATOS'!#REF!="NO"</xm:f>
            <x14:dxf>
              <border>
                <left/>
                <right/>
                <top/>
                <bottom/>
                <vertical/>
                <horizontal/>
              </border>
            </x14:dxf>
          </x14:cfRule>
          <xm:sqref>AE83</xm:sqref>
        </x14:conditionalFormatting>
        <x14:conditionalFormatting xmlns:xm="http://schemas.microsoft.com/office/excel/2006/main">
          <x14:cfRule type="expression" priority="2434" id="{416C3286-73FB-4045-9789-CDC61C62D922}">
            <xm:f>OR('G:\Users\GEC\Documents\LUZ\[Copia de 20200615.xlsx]AUX'!#REF!=TRUE,'G:\Users\GEC\Documents\LUZ\[Copia de 20200615.xlsx]AUX'!#REF!=TRUE)</xm:f>
            <x14:dxf>
              <font>
                <color theme="0"/>
              </font>
              <fill>
                <patternFill>
                  <bgColor theme="0"/>
                </patternFill>
              </fill>
              <border>
                <left/>
                <right/>
                <top/>
                <bottom/>
                <vertical/>
                <horizontal/>
              </border>
            </x14:dxf>
          </x14:cfRule>
          <xm:sqref>AD83:AE83</xm:sqref>
        </x14:conditionalFormatting>
        <x14:conditionalFormatting xmlns:xm="http://schemas.microsoft.com/office/excel/2006/main">
          <x14:cfRule type="expression" priority="2431" id="{33226BE9-7BDE-43F1-A81D-C563E8AC59DD}">
            <xm:f>OR('G:\Users\GEC\Documents\LUZ\[Copia de 20200615.xlsx]AUX'!#REF!=TRUE,'G:\Users\GEC\Documents\LUZ\[Copia de 20200615.xlsx]AUX'!#REF!=TRUE)</xm:f>
            <x14:dxf>
              <font>
                <color theme="0"/>
              </font>
              <fill>
                <patternFill>
                  <bgColor theme="0"/>
                </patternFill>
              </fill>
              <border>
                <left/>
                <right/>
                <top/>
                <bottom/>
                <vertical/>
                <horizontal/>
              </border>
            </x14:dxf>
          </x14:cfRule>
          <xm:sqref>AF83</xm:sqref>
        </x14:conditionalFormatting>
        <x14:conditionalFormatting xmlns:xm="http://schemas.microsoft.com/office/excel/2006/main">
          <x14:cfRule type="expression" priority="2075" id="{59222E27-7F3B-4CA8-8FD6-687EB65E015D}">
            <xm:f>'G:\Users\GEC\Documents\LUZ\[Copia de 20200615.xlsx]DATOS'!#REF!="NO"</xm:f>
            <x14:dxf>
              <border>
                <left/>
                <right/>
                <top/>
                <bottom/>
                <vertical/>
                <horizontal/>
              </border>
            </x14:dxf>
          </x14:cfRule>
          <xm:sqref>AE407</xm:sqref>
        </x14:conditionalFormatting>
        <x14:conditionalFormatting xmlns:xm="http://schemas.microsoft.com/office/excel/2006/main">
          <x14:cfRule type="expression" priority="2074" id="{891F95C1-9EFD-4334-88E5-9086142222FC}">
            <xm:f>OR('G:\Users\GEC\Documents\LUZ\[Copia de 20200615.xlsx]AUX'!#REF!=TRUE,'G:\Users\GEC\Documents\LUZ\[Copia de 20200615.xlsx]AUX'!#REF!=TRUE)</xm:f>
            <x14:dxf>
              <font>
                <color theme="0"/>
              </font>
              <fill>
                <patternFill>
                  <bgColor theme="0"/>
                </patternFill>
              </fill>
              <border>
                <left/>
                <right/>
                <top/>
                <bottom/>
                <vertical/>
                <horizontal/>
              </border>
            </x14:dxf>
          </x14:cfRule>
          <xm:sqref>AD407:AE407</xm:sqref>
        </x14:conditionalFormatting>
        <x14:conditionalFormatting xmlns:xm="http://schemas.microsoft.com/office/excel/2006/main">
          <x14:cfRule type="expression" priority="2071" id="{588DAE28-0201-4F33-A14B-C424B55967D7}">
            <xm:f>OR('G:\Users\GEC\Documents\LUZ\[Copia de 20200615.xlsx]AUX'!#REF!=TRUE,'G:\Users\GEC\Documents\LUZ\[Copia de 20200615.xlsx]AUX'!#REF!=TRUE)</xm:f>
            <x14:dxf>
              <font>
                <color theme="0"/>
              </font>
              <fill>
                <patternFill>
                  <bgColor theme="0"/>
                </patternFill>
              </fill>
              <border>
                <left/>
                <right/>
                <top/>
                <bottom/>
                <vertical/>
                <horizontal/>
              </border>
            </x14:dxf>
          </x14:cfRule>
          <xm:sqref>AF407</xm:sqref>
        </x14:conditionalFormatting>
        <x14:conditionalFormatting xmlns:xm="http://schemas.microsoft.com/office/excel/2006/main">
          <x14:cfRule type="expression" priority="2065" id="{FDFC4A64-99FF-45BA-A9D3-3E09B1F011ED}">
            <xm:f>'G:\Users\GEC\Documents\LUZ\[Copia de 20200615.xlsx]DATOS'!#REF!="NO"</xm:f>
            <x14:dxf>
              <border>
                <left/>
                <right/>
                <top/>
                <bottom/>
                <vertical/>
                <horizontal/>
              </border>
            </x14:dxf>
          </x14:cfRule>
          <xm:sqref>Y5</xm:sqref>
        </x14:conditionalFormatting>
        <x14:conditionalFormatting xmlns:xm="http://schemas.microsoft.com/office/excel/2006/main">
          <x14:cfRule type="expression" priority="2064" id="{77BEDD50-DEED-41BC-B63B-3D1DA6CD29F9}">
            <xm:f>OR('G:\Users\GEC\Documents\LUZ\[Copia de 20200615.xlsx]AUX'!#REF!=TRUE,'G:\Users\GEC\Documents\LUZ\[Copia de 20200615.xlsx]AUX'!#REF!=TRUE)</xm:f>
            <x14:dxf>
              <font>
                <color theme="0"/>
              </font>
              <fill>
                <patternFill>
                  <bgColor theme="0"/>
                </patternFill>
              </fill>
              <border>
                <left/>
                <right/>
                <top/>
                <bottom/>
                <vertical/>
                <horizontal/>
              </border>
            </x14:dxf>
          </x14:cfRule>
          <xm:sqref>X5:Y5</xm:sqref>
        </x14:conditionalFormatting>
        <x14:conditionalFormatting xmlns:xm="http://schemas.microsoft.com/office/excel/2006/main">
          <x14:cfRule type="expression" priority="2061" id="{7F70580E-27D9-409F-9926-F2BF617227AB}">
            <xm:f>OR('G:\Users\GEC\Documents\LUZ\[Copia de 20200615.xlsx]AUX'!#REF!=TRUE,'G:\Users\GEC\Documents\LUZ\[Copia de 20200615.xlsx]AUX'!#REF!=TRUE)</xm:f>
            <x14:dxf>
              <font>
                <color theme="0"/>
              </font>
              <fill>
                <patternFill>
                  <bgColor theme="0"/>
                </patternFill>
              </fill>
              <border>
                <left/>
                <right/>
                <top/>
                <bottom/>
                <vertical/>
                <horizontal/>
              </border>
            </x14:dxf>
          </x14:cfRule>
          <xm:sqref>Z5</xm:sqref>
        </x14:conditionalFormatting>
        <x14:conditionalFormatting xmlns:xm="http://schemas.microsoft.com/office/excel/2006/main">
          <x14:cfRule type="expression" priority="2090" id="{524C2E36-C439-443E-B676-15BB68735725}">
            <xm:f>'G:\Users\GEC\Documents\LUZ\[Copia de 20200615.xlsx]DATOS'!#REF!="NO"</xm:f>
            <x14:dxf>
              <border>
                <left/>
                <right/>
                <top/>
                <bottom/>
                <vertical/>
                <horizontal/>
              </border>
            </x14:dxf>
          </x14:cfRule>
          <xm:sqref>AE404 AE401 AE398 AE380 AE377 AE374</xm:sqref>
        </x14:conditionalFormatting>
        <x14:conditionalFormatting xmlns:xm="http://schemas.microsoft.com/office/excel/2006/main">
          <x14:cfRule type="expression" priority="2089" id="{252DF2F3-B5DE-43DE-A738-57D8A2174BCF}">
            <xm:f>OR('G:\Users\GEC\Documents\LUZ\[Copia de 20200615.xlsx]AUX'!#REF!=TRUE,'G:\Users\GEC\Documents\LUZ\[Copia de 20200615.xlsx]AUX'!#REF!=TRUE)</xm:f>
            <x14:dxf>
              <font>
                <color theme="0"/>
              </font>
              <fill>
                <patternFill>
                  <bgColor theme="0"/>
                </patternFill>
              </fill>
              <border>
                <left/>
                <right/>
                <top/>
                <bottom/>
                <vertical/>
                <horizontal/>
              </border>
            </x14:dxf>
          </x14:cfRule>
          <xm:sqref>AD404:AE404 AD401:AE401 AD398:AE398 AD380:AE380 AD377:AE377 AD374:AE374</xm:sqref>
        </x14:conditionalFormatting>
        <x14:conditionalFormatting xmlns:xm="http://schemas.microsoft.com/office/excel/2006/main">
          <x14:cfRule type="expression" priority="2086" id="{03C74A2A-EDEC-4FB2-B70A-72FA8BE39778}">
            <xm:f>OR('G:\Users\GEC\Documents\LUZ\[Copia de 20200615.xlsx]AUX'!#REF!=TRUE,'G:\Users\GEC\Documents\LUZ\[Copia de 20200615.xlsx]AUX'!#REF!=TRUE)</xm:f>
            <x14:dxf>
              <font>
                <color theme="0"/>
              </font>
              <fill>
                <patternFill>
                  <bgColor theme="0"/>
                </patternFill>
              </fill>
              <border>
                <left/>
                <right/>
                <top/>
                <bottom/>
                <vertical/>
                <horizontal/>
              </border>
            </x14:dxf>
          </x14:cfRule>
          <xm:sqref>AF404 AF401 AF398 AF380 AF377 AF374</xm:sqref>
        </x14:conditionalFormatting>
        <x14:conditionalFormatting xmlns:xm="http://schemas.microsoft.com/office/excel/2006/main">
          <x14:cfRule type="expression" priority="2085" id="{EF94801C-CEA9-401F-83EA-E01063461AB1}">
            <xm:f>'G:\Users\GEC\Documents\LUZ\[Copia de 20200615.xlsx]DATOS'!#REF!="NO"</xm:f>
            <x14:dxf>
              <border>
                <left/>
                <right/>
                <top/>
                <bottom/>
                <vertical/>
                <horizontal/>
              </border>
            </x14:dxf>
          </x14:cfRule>
          <xm:sqref>AK404 AK401 AK398 AK380 AK377 AK374</xm:sqref>
        </x14:conditionalFormatting>
        <x14:conditionalFormatting xmlns:xm="http://schemas.microsoft.com/office/excel/2006/main">
          <x14:cfRule type="expression" priority="2084" id="{6AEE4108-AF1B-4227-BD60-6A776985AB29}">
            <xm:f>OR('G:\Users\GEC\Documents\LUZ\[Copia de 20200615.xlsx]AUX'!#REF!=TRUE,'G:\Users\GEC\Documents\LUZ\[Copia de 20200615.xlsx]AUX'!#REF!=TRUE)</xm:f>
            <x14:dxf>
              <font>
                <color theme="0"/>
              </font>
              <fill>
                <patternFill>
                  <bgColor theme="0"/>
                </patternFill>
              </fill>
              <border>
                <left/>
                <right/>
                <top/>
                <bottom/>
                <vertical/>
                <horizontal/>
              </border>
            </x14:dxf>
          </x14:cfRule>
          <xm:sqref>AJ404:AK404 AJ401:AK401 AJ398:AK398 AJ380:AK380 AJ377:AK377 AJ374:AK374</xm:sqref>
        </x14:conditionalFormatting>
        <x14:conditionalFormatting xmlns:xm="http://schemas.microsoft.com/office/excel/2006/main">
          <x14:cfRule type="expression" priority="2081" id="{5C233773-DB85-4463-BB02-23F4617AAE2C}">
            <xm:f>OR('G:\Users\GEC\Documents\LUZ\[Copia de 20200615.xlsx]AUX'!#REF!=TRUE,'G:\Users\GEC\Documents\LUZ\[Copia de 20200615.xlsx]AUX'!#REF!=TRUE)</xm:f>
            <x14:dxf>
              <font>
                <color theme="0"/>
              </font>
              <fill>
                <patternFill>
                  <bgColor theme="0"/>
                </patternFill>
              </fill>
              <border>
                <left/>
                <right/>
                <top/>
                <bottom/>
                <vertical/>
                <horizontal/>
              </border>
            </x14:dxf>
          </x14:cfRule>
          <xm:sqref>AL404 AL401 AL398 AL380 AL377 AL374</xm:sqref>
        </x14:conditionalFormatting>
        <x14:conditionalFormatting xmlns:xm="http://schemas.microsoft.com/office/excel/2006/main">
          <x14:cfRule type="expression" priority="2060" id="{7648D134-6F8F-4D92-83ED-061CE16E12F5}">
            <xm:f>'G:\Users\GEC\Documents\LUZ\[Copia de 20200615.xlsx]DATOS'!#REF!="NO"</xm:f>
            <x14:dxf>
              <border>
                <left/>
                <right/>
                <top/>
                <bottom/>
                <vertical/>
                <horizontal/>
              </border>
            </x14:dxf>
          </x14:cfRule>
          <xm:sqref>Y32</xm:sqref>
        </x14:conditionalFormatting>
        <x14:conditionalFormatting xmlns:xm="http://schemas.microsoft.com/office/excel/2006/main">
          <x14:cfRule type="expression" priority="2059" id="{CCEB0EB1-5EC5-46D0-944B-1CD6EE696507}">
            <xm:f>OR('G:\Users\GEC\Documents\LUZ\[Copia de 20200615.xlsx]AUX'!#REF!=TRUE,'G:\Users\GEC\Documents\LUZ\[Copia de 20200615.xlsx]AUX'!#REF!=TRUE)</xm:f>
            <x14:dxf>
              <font>
                <color theme="0"/>
              </font>
              <fill>
                <patternFill>
                  <bgColor theme="0"/>
                </patternFill>
              </fill>
              <border>
                <left/>
                <right/>
                <top/>
                <bottom/>
                <vertical/>
                <horizontal/>
              </border>
            </x14:dxf>
          </x14:cfRule>
          <xm:sqref>X32:Y32</xm:sqref>
        </x14:conditionalFormatting>
        <x14:conditionalFormatting xmlns:xm="http://schemas.microsoft.com/office/excel/2006/main">
          <x14:cfRule type="expression" priority="2056" id="{2C889567-FC57-425B-86A4-6AF368478BD4}">
            <xm:f>OR('G:\Users\GEC\Documents\LUZ\[Copia de 20200615.xlsx]AUX'!#REF!=TRUE,'G:\Users\GEC\Documents\LUZ\[Copia de 20200615.xlsx]AUX'!#REF!=TRUE)</xm:f>
            <x14:dxf>
              <font>
                <color theme="0"/>
              </font>
              <fill>
                <patternFill>
                  <bgColor theme="0"/>
                </patternFill>
              </fill>
              <border>
                <left/>
                <right/>
                <top/>
                <bottom/>
                <vertical/>
                <horizontal/>
              </border>
            </x14:dxf>
          </x14:cfRule>
          <xm:sqref>Z32</xm:sqref>
        </x14:conditionalFormatting>
        <x14:conditionalFormatting xmlns:xm="http://schemas.microsoft.com/office/excel/2006/main">
          <x14:cfRule type="expression" priority="2025" id="{748850BA-516C-4DAD-A16F-D396C6A183AD}">
            <xm:f>'G:\Users\GEC\Documents\LUZ\[Copia de 20200615.xlsx]DATOS'!#REF!="NO"</xm:f>
            <x14:dxf>
              <border>
                <left/>
                <right/>
                <top/>
                <bottom/>
                <vertical/>
                <horizontal/>
              </border>
            </x14:dxf>
          </x14:cfRule>
          <xm:sqref>AE101</xm:sqref>
        </x14:conditionalFormatting>
        <x14:conditionalFormatting xmlns:xm="http://schemas.microsoft.com/office/excel/2006/main">
          <x14:cfRule type="expression" priority="2024" id="{31DF7368-B223-4D56-82D2-7757C4BD9D5B}">
            <xm:f>OR('G:\Users\GEC\Documents\LUZ\[Copia de 20200615.xlsx]AUX'!#REF!=TRUE,'G:\Users\GEC\Documents\LUZ\[Copia de 20200615.xlsx]AUX'!#REF!=TRUE)</xm:f>
            <x14:dxf>
              <font>
                <color theme="0"/>
              </font>
              <fill>
                <patternFill>
                  <bgColor theme="0"/>
                </patternFill>
              </fill>
              <border>
                <left/>
                <right/>
                <top/>
                <bottom/>
                <vertical/>
                <horizontal/>
              </border>
            </x14:dxf>
          </x14:cfRule>
          <xm:sqref>AD101:AE101</xm:sqref>
        </x14:conditionalFormatting>
        <x14:conditionalFormatting xmlns:xm="http://schemas.microsoft.com/office/excel/2006/main">
          <x14:cfRule type="expression" priority="2021" id="{4239CCF0-55CA-4276-85E9-1AFDE766D877}">
            <xm:f>OR('G:\Users\GEC\Documents\LUZ\[Copia de 20200615.xlsx]AUX'!#REF!=TRUE,'G:\Users\GEC\Documents\LUZ\[Copia de 20200615.xlsx]AUX'!#REF!=TRUE)</xm:f>
            <x14:dxf>
              <font>
                <color theme="0"/>
              </font>
              <fill>
                <patternFill>
                  <bgColor theme="0"/>
                </patternFill>
              </fill>
              <border>
                <left/>
                <right/>
                <top/>
                <bottom/>
                <vertical/>
                <horizontal/>
              </border>
            </x14:dxf>
          </x14:cfRule>
          <xm:sqref>AF101</xm:sqref>
        </x14:conditionalFormatting>
        <x14:conditionalFormatting xmlns:xm="http://schemas.microsoft.com/office/excel/2006/main">
          <x14:cfRule type="expression" priority="2030" id="{DD1032A0-D4EE-49ED-8FAE-0F8FB384A765}">
            <xm:f>'G:\Users\GEC\Documents\LUZ\[Copia de 20200615.xlsx]DATOS'!#REF!="NO"</xm:f>
            <x14:dxf>
              <border>
                <left/>
                <right/>
                <top/>
                <bottom/>
                <vertical/>
                <horizontal/>
              </border>
            </x14:dxf>
          </x14:cfRule>
          <xm:sqref>Y101</xm:sqref>
        </x14:conditionalFormatting>
        <x14:conditionalFormatting xmlns:xm="http://schemas.microsoft.com/office/excel/2006/main">
          <x14:cfRule type="expression" priority="2029" id="{1E2B7E8B-A477-4826-99CC-D3BBC9D286DC}">
            <xm:f>OR('G:\Users\GEC\Documents\LUZ\[Copia de 20200615.xlsx]AUX'!#REF!=TRUE,'G:\Users\GEC\Documents\LUZ\[Copia de 20200615.xlsx]AUX'!#REF!=TRUE)</xm:f>
            <x14:dxf>
              <font>
                <color theme="0"/>
              </font>
              <fill>
                <patternFill>
                  <bgColor theme="0"/>
                </patternFill>
              </fill>
              <border>
                <left/>
                <right/>
                <top/>
                <bottom/>
                <vertical/>
                <horizontal/>
              </border>
            </x14:dxf>
          </x14:cfRule>
          <xm:sqref>X101:Y101</xm:sqref>
        </x14:conditionalFormatting>
        <x14:conditionalFormatting xmlns:xm="http://schemas.microsoft.com/office/excel/2006/main">
          <x14:cfRule type="expression" priority="2026" id="{C989E46C-B261-4EC2-A875-2913F8A55010}">
            <xm:f>OR('G:\Users\GEC\Documents\LUZ\[Copia de 20200615.xlsx]AUX'!#REF!=TRUE,'G:\Users\GEC\Documents\LUZ\[Copia de 20200615.xlsx]AUX'!#REF!=TRUE)</xm:f>
            <x14:dxf>
              <font>
                <color theme="0"/>
              </font>
              <fill>
                <patternFill>
                  <bgColor theme="0"/>
                </patternFill>
              </fill>
              <border>
                <left/>
                <right/>
                <top/>
                <bottom/>
                <vertical/>
                <horizontal/>
              </border>
            </x14:dxf>
          </x14:cfRule>
          <xm:sqref>Z101</xm:sqref>
        </x14:conditionalFormatting>
        <x14:conditionalFormatting xmlns:xm="http://schemas.microsoft.com/office/excel/2006/main">
          <x14:cfRule type="expression" priority="2020" id="{EE907071-E0B5-4374-B580-A0B3FBC06DE4}">
            <xm:f>'G:\Users\GEC\Documents\LUZ\[Copia de 20200615.xlsx]DATOS'!#REF!="NO"</xm:f>
            <x14:dxf>
              <border>
                <left/>
                <right/>
                <top/>
                <bottom/>
                <vertical/>
                <horizontal/>
              </border>
            </x14:dxf>
          </x14:cfRule>
          <xm:sqref>AK101</xm:sqref>
        </x14:conditionalFormatting>
        <x14:conditionalFormatting xmlns:xm="http://schemas.microsoft.com/office/excel/2006/main">
          <x14:cfRule type="expression" priority="2019" id="{EDE62F80-D081-4F8C-A6AD-DF24591FD0BE}">
            <xm:f>OR('G:\Users\GEC\Documents\LUZ\[Copia de 20200615.xlsx]AUX'!#REF!=TRUE,'G:\Users\GEC\Documents\LUZ\[Copia de 20200615.xlsx]AUX'!#REF!=TRUE)</xm:f>
            <x14:dxf>
              <font>
                <color theme="0"/>
              </font>
              <fill>
                <patternFill>
                  <bgColor theme="0"/>
                </patternFill>
              </fill>
              <border>
                <left/>
                <right/>
                <top/>
                <bottom/>
                <vertical/>
                <horizontal/>
              </border>
            </x14:dxf>
          </x14:cfRule>
          <xm:sqref>AJ101:AK101</xm:sqref>
        </x14:conditionalFormatting>
        <x14:conditionalFormatting xmlns:xm="http://schemas.microsoft.com/office/excel/2006/main">
          <x14:cfRule type="expression" priority="2016" id="{6FFD81E9-F476-4DA4-ACE6-2490AE1FE95B}">
            <xm:f>OR('G:\Users\GEC\Documents\LUZ\[Copia de 20200615.xlsx]AUX'!#REF!=TRUE,'G:\Users\GEC\Documents\LUZ\[Copia de 20200615.xlsx]AUX'!#REF!=TRUE)</xm:f>
            <x14:dxf>
              <font>
                <color theme="0"/>
              </font>
              <fill>
                <patternFill>
                  <bgColor theme="0"/>
                </patternFill>
              </fill>
              <border>
                <left/>
                <right/>
                <top/>
                <bottom/>
                <vertical/>
                <horizontal/>
              </border>
            </x14:dxf>
          </x14:cfRule>
          <xm:sqref>AL101</xm:sqref>
        </x14:conditionalFormatting>
        <x14:conditionalFormatting xmlns:xm="http://schemas.microsoft.com/office/excel/2006/main">
          <x14:cfRule type="expression" priority="2500" id="{A8125D8C-B792-46F6-B94C-292F597FFC71}">
            <xm:f>'G:\Users\GEC\Documents\LUZ\[Copia de 20200615.xlsx]DATOS'!#REF!="NO"</xm:f>
            <x14:dxf>
              <border>
                <left/>
                <right/>
                <top/>
                <bottom/>
                <vertical/>
                <horizontal/>
              </border>
            </x14:dxf>
          </x14:cfRule>
          <xm:sqref>Y41 Y38 Y35 Y29 Y26 Y23 Y20 Y17 Y14 Y11</xm:sqref>
        </x14:conditionalFormatting>
        <x14:conditionalFormatting xmlns:xm="http://schemas.microsoft.com/office/excel/2006/main">
          <x14:cfRule type="expression" priority="2499" id="{54E9F547-6C3C-4C09-8E0D-0FB97B5BB5F6}">
            <xm:f>OR('G:\Users\GEC\Documents\LUZ\[Copia de 20200615.xlsx]AUX'!#REF!=TRUE,'G:\Users\GEC\Documents\LUZ\[Copia de 20200615.xlsx]AUX'!#REF!=TRUE)</xm:f>
            <x14:dxf>
              <font>
                <color theme="0"/>
              </font>
              <fill>
                <patternFill>
                  <bgColor theme="0"/>
                </patternFill>
              </fill>
              <border>
                <left/>
                <right/>
                <top/>
                <bottom/>
                <vertical/>
                <horizontal/>
              </border>
            </x14:dxf>
          </x14:cfRule>
          <xm:sqref>X41:Y41 X38:Y38 X35:Y35 X29:Y29 X26:Y26 X23:Y23 X20:Y20 X17:Y17 X14:Y14 X11:Y11</xm:sqref>
        </x14:conditionalFormatting>
        <x14:conditionalFormatting xmlns:xm="http://schemas.microsoft.com/office/excel/2006/main">
          <x14:cfRule type="expression" priority="2496" id="{A570C097-CAB9-49B8-936C-10CC0E211BA2}">
            <xm:f>OR('G:\Users\GEC\Documents\LUZ\[Copia de 20200615.xlsx]AUX'!#REF!=TRUE,'G:\Users\GEC\Documents\LUZ\[Copia de 20200615.xlsx]AUX'!#REF!=TRUE)</xm:f>
            <x14:dxf>
              <font>
                <color theme="0"/>
              </font>
              <fill>
                <patternFill>
                  <bgColor theme="0"/>
                </patternFill>
              </fill>
              <border>
                <left/>
                <right/>
                <top/>
                <bottom/>
                <vertical/>
                <horizontal/>
              </border>
            </x14:dxf>
          </x14:cfRule>
          <xm:sqref>Z41 Z38 Z35 Z29 Z26 Z23 Z20 Z17 Z14 Z11</xm:sqref>
        </x14:conditionalFormatting>
        <x14:conditionalFormatting xmlns:xm="http://schemas.microsoft.com/office/excel/2006/main">
          <x14:cfRule type="expression" priority="2495" id="{B95A7F7D-FB37-4A50-87A0-0769788DE22C}">
            <xm:f>'G:\Users\GEC\Documents\LUZ\[Copia de 20200615.xlsx]DATOS'!#REF!="NO"</xm:f>
            <x14:dxf>
              <border>
                <left/>
                <right/>
                <top/>
                <bottom/>
                <vertical/>
                <horizontal/>
              </border>
            </x14:dxf>
          </x14:cfRule>
          <xm:sqref>AE29 AE26 AE23 AE20</xm:sqref>
        </x14:conditionalFormatting>
        <x14:conditionalFormatting xmlns:xm="http://schemas.microsoft.com/office/excel/2006/main">
          <x14:cfRule type="expression" priority="2494" id="{50B16CF5-753F-45CE-81E7-E167A4D91B76}">
            <xm:f>OR('G:\Users\GEC\Documents\LUZ\[Copia de 20200615.xlsx]AUX'!#REF!=TRUE,'G:\Users\GEC\Documents\LUZ\[Copia de 20200615.xlsx]AUX'!#REF!=TRUE)</xm:f>
            <x14:dxf>
              <font>
                <color theme="0"/>
              </font>
              <fill>
                <patternFill>
                  <bgColor theme="0"/>
                </patternFill>
              </fill>
              <border>
                <left/>
                <right/>
                <top/>
                <bottom/>
                <vertical/>
                <horizontal/>
              </border>
            </x14:dxf>
          </x14:cfRule>
          <xm:sqref>AD29:AE29 AD26:AE26 AD23:AE23 AD20:AE20</xm:sqref>
        </x14:conditionalFormatting>
        <x14:conditionalFormatting xmlns:xm="http://schemas.microsoft.com/office/excel/2006/main">
          <x14:cfRule type="expression" priority="2491" id="{102A9519-04B2-4719-BD63-CDE2C6B871AE}">
            <xm:f>OR('G:\Users\GEC\Documents\LUZ\[Copia de 20200615.xlsx]AUX'!#REF!=TRUE,'G:\Users\GEC\Documents\LUZ\[Copia de 20200615.xlsx]AUX'!#REF!=TRUE)</xm:f>
            <x14:dxf>
              <font>
                <color theme="0"/>
              </font>
              <fill>
                <patternFill>
                  <bgColor theme="0"/>
                </patternFill>
              </fill>
              <border>
                <left/>
                <right/>
                <top/>
                <bottom/>
                <vertical/>
                <horizontal/>
              </border>
            </x14:dxf>
          </x14:cfRule>
          <xm:sqref>AF29 AF26 AF23 AF20</xm:sqref>
        </x14:conditionalFormatting>
        <x14:conditionalFormatting xmlns:xm="http://schemas.microsoft.com/office/excel/2006/main">
          <x14:cfRule type="expression" priority="2490" id="{CE96850E-33E0-48D8-9E26-5E47BB5FC740}">
            <xm:f>'G:\Users\GEC\Documents\LUZ\[Copia de 20200615.xlsx]DATOS'!#REF!="NO"</xm:f>
            <x14:dxf>
              <border>
                <left/>
                <right/>
                <top/>
                <bottom/>
                <vertical/>
                <horizontal/>
              </border>
            </x14:dxf>
          </x14:cfRule>
          <xm:sqref>AK29 AK26 AK23 AK20</xm:sqref>
        </x14:conditionalFormatting>
        <x14:conditionalFormatting xmlns:xm="http://schemas.microsoft.com/office/excel/2006/main">
          <x14:cfRule type="expression" priority="2489" id="{D3D05F0B-A671-4145-A86A-D2483884FF34}">
            <xm:f>OR('G:\Users\GEC\Documents\LUZ\[Copia de 20200615.xlsx]AUX'!#REF!=TRUE,'G:\Users\GEC\Documents\LUZ\[Copia de 20200615.xlsx]AUX'!#REF!=TRUE)</xm:f>
            <x14:dxf>
              <font>
                <color theme="0"/>
              </font>
              <fill>
                <patternFill>
                  <bgColor theme="0"/>
                </patternFill>
              </fill>
              <border>
                <left/>
                <right/>
                <top/>
                <bottom/>
                <vertical/>
                <horizontal/>
              </border>
            </x14:dxf>
          </x14:cfRule>
          <xm:sqref>AJ29:AK29 AJ26:AK26 AJ23:AK23 AJ20:AK20</xm:sqref>
        </x14:conditionalFormatting>
        <x14:conditionalFormatting xmlns:xm="http://schemas.microsoft.com/office/excel/2006/main">
          <x14:cfRule type="expression" priority="2486" id="{113ED09D-533A-43F5-AE55-2576686E0D9F}">
            <xm:f>OR('G:\Users\GEC\Documents\LUZ\[Copia de 20200615.xlsx]AUX'!#REF!=TRUE,'G:\Users\GEC\Documents\LUZ\[Copia de 20200615.xlsx]AUX'!#REF!=TRUE)</xm:f>
            <x14:dxf>
              <font>
                <color theme="0"/>
              </font>
              <fill>
                <patternFill>
                  <bgColor theme="0"/>
                </patternFill>
              </fill>
              <border>
                <left/>
                <right/>
                <top/>
                <bottom/>
                <vertical/>
                <horizontal/>
              </border>
            </x14:dxf>
          </x14:cfRule>
          <xm:sqref>AL29 AL26 AL23 AL20</xm:sqref>
        </x14:conditionalFormatting>
        <x14:conditionalFormatting xmlns:xm="http://schemas.microsoft.com/office/excel/2006/main">
          <x14:cfRule type="expression" priority="2485" id="{F4BFB370-3A83-43DD-B364-FA11498A6774}">
            <xm:f>'G:\Users\GEC\Documents\LUZ\[Copia de 20200615.xlsx]DATOS'!#REF!="NO"</xm:f>
            <x14:dxf>
              <border>
                <left/>
                <right/>
                <top/>
                <bottom/>
                <vertical/>
                <horizontal/>
              </border>
            </x14:dxf>
          </x14:cfRule>
          <xm:sqref>Y44</xm:sqref>
        </x14:conditionalFormatting>
        <x14:conditionalFormatting xmlns:xm="http://schemas.microsoft.com/office/excel/2006/main">
          <x14:cfRule type="expression" priority="2484" id="{7541F991-5F29-4B93-B97A-41635CF60100}">
            <xm:f>OR('G:\Users\GEC\Documents\LUZ\[Copia de 20200615.xlsx]AUX'!#REF!=TRUE,'G:\Users\GEC\Documents\LUZ\[Copia de 20200615.xlsx]AUX'!#REF!=TRUE)</xm:f>
            <x14:dxf>
              <font>
                <color theme="0"/>
              </font>
              <fill>
                <patternFill>
                  <bgColor theme="0"/>
                </patternFill>
              </fill>
              <border>
                <left/>
                <right/>
                <top/>
                <bottom/>
                <vertical/>
                <horizontal/>
              </border>
            </x14:dxf>
          </x14:cfRule>
          <xm:sqref>X44:Y44</xm:sqref>
        </x14:conditionalFormatting>
        <x14:conditionalFormatting xmlns:xm="http://schemas.microsoft.com/office/excel/2006/main">
          <x14:cfRule type="expression" priority="2481" id="{A26FC47B-321E-499B-A632-441268756319}">
            <xm:f>OR('G:\Users\GEC\Documents\LUZ\[Copia de 20200615.xlsx]AUX'!#REF!=TRUE,'G:\Users\GEC\Documents\LUZ\[Copia de 20200615.xlsx]AUX'!#REF!=TRUE)</xm:f>
            <x14:dxf>
              <font>
                <color theme="0"/>
              </font>
              <fill>
                <patternFill>
                  <bgColor theme="0"/>
                </patternFill>
              </fill>
              <border>
                <left/>
                <right/>
                <top/>
                <bottom/>
                <vertical/>
                <horizontal/>
              </border>
            </x14:dxf>
          </x14:cfRule>
          <xm:sqref>Z44</xm:sqref>
        </x14:conditionalFormatting>
        <x14:conditionalFormatting xmlns:xm="http://schemas.microsoft.com/office/excel/2006/main">
          <x14:cfRule type="expression" priority="2470" id="{1884C62D-CA90-4CA7-B39A-2C2DF34E15BD}">
            <xm:f>'G:\Users\GEC\Documents\LUZ\[Copia de 20200615.xlsx]DATOS'!#REF!="NO"</xm:f>
            <x14:dxf>
              <border>
                <left/>
                <right/>
                <top/>
                <bottom/>
                <vertical/>
                <horizontal/>
              </border>
            </x14:dxf>
          </x14:cfRule>
          <xm:sqref>Y47</xm:sqref>
        </x14:conditionalFormatting>
        <x14:conditionalFormatting xmlns:xm="http://schemas.microsoft.com/office/excel/2006/main">
          <x14:cfRule type="expression" priority="2469" id="{6B259654-5A89-47DA-8F88-2F01946AD08E}">
            <xm:f>OR('G:\Users\GEC\Documents\LUZ\[Copia de 20200615.xlsx]AUX'!#REF!=TRUE,'G:\Users\GEC\Documents\LUZ\[Copia de 20200615.xlsx]AUX'!#REF!=TRUE)</xm:f>
            <x14:dxf>
              <font>
                <color theme="0"/>
              </font>
              <fill>
                <patternFill>
                  <bgColor theme="0"/>
                </patternFill>
              </fill>
              <border>
                <left/>
                <right/>
                <top/>
                <bottom/>
                <vertical/>
                <horizontal/>
              </border>
            </x14:dxf>
          </x14:cfRule>
          <xm:sqref>X47:Y47</xm:sqref>
        </x14:conditionalFormatting>
        <x14:conditionalFormatting xmlns:xm="http://schemas.microsoft.com/office/excel/2006/main">
          <x14:cfRule type="expression" priority="2466" id="{BA38E02B-E1AC-441D-92D0-C5C8E8CBD4FC}">
            <xm:f>OR('G:\Users\GEC\Documents\LUZ\[Copia de 20200615.xlsx]AUX'!#REF!=TRUE,'G:\Users\GEC\Documents\LUZ\[Copia de 20200615.xlsx]AUX'!#REF!=TRUE)</xm:f>
            <x14:dxf>
              <font>
                <color theme="0"/>
              </font>
              <fill>
                <patternFill>
                  <bgColor theme="0"/>
                </patternFill>
              </fill>
              <border>
                <left/>
                <right/>
                <top/>
                <bottom/>
                <vertical/>
                <horizontal/>
              </border>
            </x14:dxf>
          </x14:cfRule>
          <xm:sqref>Z47</xm:sqref>
        </x14:conditionalFormatting>
        <x14:conditionalFormatting xmlns:xm="http://schemas.microsoft.com/office/excel/2006/main">
          <x14:cfRule type="expression" priority="2465" id="{44E5CC57-4701-4E8D-BCAA-86FD9D592F44}">
            <xm:f>'G:\Users\GEC\Documents\LUZ\[Copia de 20200615.xlsx]DATOS'!#REF!="NO"</xm:f>
            <x14:dxf>
              <border>
                <left/>
                <right/>
                <top/>
                <bottom/>
                <vertical/>
                <horizontal/>
              </border>
            </x14:dxf>
          </x14:cfRule>
          <xm:sqref>AE47</xm:sqref>
        </x14:conditionalFormatting>
        <x14:conditionalFormatting xmlns:xm="http://schemas.microsoft.com/office/excel/2006/main">
          <x14:cfRule type="expression" priority="2464" id="{D1381789-672C-4F20-A577-1286A1346A56}">
            <xm:f>OR('G:\Users\GEC\Documents\LUZ\[Copia de 20200615.xlsx]AUX'!#REF!=TRUE,'G:\Users\GEC\Documents\LUZ\[Copia de 20200615.xlsx]AUX'!#REF!=TRUE)</xm:f>
            <x14:dxf>
              <font>
                <color theme="0"/>
              </font>
              <fill>
                <patternFill>
                  <bgColor theme="0"/>
                </patternFill>
              </fill>
              <border>
                <left/>
                <right/>
                <top/>
                <bottom/>
                <vertical/>
                <horizontal/>
              </border>
            </x14:dxf>
          </x14:cfRule>
          <xm:sqref>AD47:AE47</xm:sqref>
        </x14:conditionalFormatting>
        <x14:conditionalFormatting xmlns:xm="http://schemas.microsoft.com/office/excel/2006/main">
          <x14:cfRule type="expression" priority="2461" id="{273AF7AE-482B-4F38-99E4-7682E31D8AD4}">
            <xm:f>OR('G:\Users\GEC\Documents\LUZ\[Copia de 20200615.xlsx]AUX'!#REF!=TRUE,'G:\Users\GEC\Documents\LUZ\[Copia de 20200615.xlsx]AUX'!#REF!=TRUE)</xm:f>
            <x14:dxf>
              <font>
                <color theme="0"/>
              </font>
              <fill>
                <patternFill>
                  <bgColor theme="0"/>
                </patternFill>
              </fill>
              <border>
                <left/>
                <right/>
                <top/>
                <bottom/>
                <vertical/>
                <horizontal/>
              </border>
            </x14:dxf>
          </x14:cfRule>
          <xm:sqref>AF47</xm:sqref>
        </x14:conditionalFormatting>
        <x14:conditionalFormatting xmlns:xm="http://schemas.microsoft.com/office/excel/2006/main">
          <x14:cfRule type="expression" priority="2460" id="{D703ED29-0B43-4D8D-81F6-9BA8B1926388}">
            <xm:f>'G:\Users\GEC\Documents\LUZ\[Copia de 20200615.xlsx]DATOS'!#REF!="NO"</xm:f>
            <x14:dxf>
              <border>
                <left/>
                <right/>
                <top/>
                <bottom/>
                <vertical/>
                <horizontal/>
              </border>
            </x14:dxf>
          </x14:cfRule>
          <xm:sqref>AK47</xm:sqref>
        </x14:conditionalFormatting>
        <x14:conditionalFormatting xmlns:xm="http://schemas.microsoft.com/office/excel/2006/main">
          <x14:cfRule type="expression" priority="2459" id="{21CFFD8C-866C-49B6-8847-6B9B848E3CB3}">
            <xm:f>OR('G:\Users\GEC\Documents\LUZ\[Copia de 20200615.xlsx]AUX'!#REF!=TRUE,'G:\Users\GEC\Documents\LUZ\[Copia de 20200615.xlsx]AUX'!#REF!=TRUE)</xm:f>
            <x14:dxf>
              <font>
                <color theme="0"/>
              </font>
              <fill>
                <patternFill>
                  <bgColor theme="0"/>
                </patternFill>
              </fill>
              <border>
                <left/>
                <right/>
                <top/>
                <bottom/>
                <vertical/>
                <horizontal/>
              </border>
            </x14:dxf>
          </x14:cfRule>
          <xm:sqref>AJ47:AK47</xm:sqref>
        </x14:conditionalFormatting>
        <x14:conditionalFormatting xmlns:xm="http://schemas.microsoft.com/office/excel/2006/main">
          <x14:cfRule type="expression" priority="2456" id="{8F3280B7-259F-41F8-91B5-CF72DB69DC6A}">
            <xm:f>OR('G:\Users\GEC\Documents\LUZ\[Copia de 20200615.xlsx]AUX'!#REF!=TRUE,'G:\Users\GEC\Documents\LUZ\[Copia de 20200615.xlsx]AUX'!#REF!=TRUE)</xm:f>
            <x14:dxf>
              <font>
                <color theme="0"/>
              </font>
              <fill>
                <patternFill>
                  <bgColor theme="0"/>
                </patternFill>
              </fill>
              <border>
                <left/>
                <right/>
                <top/>
                <bottom/>
                <vertical/>
                <horizontal/>
              </border>
            </x14:dxf>
          </x14:cfRule>
          <xm:sqref>AL47</xm:sqref>
        </x14:conditionalFormatting>
        <x14:conditionalFormatting xmlns:xm="http://schemas.microsoft.com/office/excel/2006/main">
          <x14:cfRule type="expression" priority="2455" id="{80D92DA5-C420-453C-97C0-BA134EFE148D}">
            <xm:f>'G:\Users\GEC\Documents\LUZ\[Copia de 20200615.xlsx]DATOS'!#REF!="NO"</xm:f>
            <x14:dxf>
              <border>
                <left/>
                <right/>
                <top/>
                <bottom/>
                <vertical/>
                <horizontal/>
              </border>
            </x14:dxf>
          </x14:cfRule>
          <xm:sqref>Y80 Y77 Y74 Y71 Y68 Y65 Y62 Y56 Y53 Y50</xm:sqref>
        </x14:conditionalFormatting>
        <x14:conditionalFormatting xmlns:xm="http://schemas.microsoft.com/office/excel/2006/main">
          <x14:cfRule type="expression" priority="2454" id="{FCC3B7FE-0E36-4C49-8C2E-3DADB909FA4C}">
            <xm:f>OR('G:\Users\GEC\Documents\LUZ\[Copia de 20200615.xlsx]AUX'!#REF!=TRUE,'G:\Users\GEC\Documents\LUZ\[Copia de 20200615.xlsx]AUX'!#REF!=TRUE)</xm:f>
            <x14:dxf>
              <font>
                <color theme="0"/>
              </font>
              <fill>
                <patternFill>
                  <bgColor theme="0"/>
                </patternFill>
              </fill>
              <border>
                <left/>
                <right/>
                <top/>
                <bottom/>
                <vertical/>
                <horizontal/>
              </border>
            </x14:dxf>
          </x14:cfRule>
          <xm:sqref>X80:Y80 X77:Y77 X74:Y74 X71:Y71 X68:Y68 X65:Y65 X62:Y62 X56:Y56 X53:Y53 X50:Y50 X57:AO58</xm:sqref>
        </x14:conditionalFormatting>
        <x14:conditionalFormatting xmlns:xm="http://schemas.microsoft.com/office/excel/2006/main">
          <x14:cfRule type="expression" priority="2451" id="{4C768242-DBBE-48F9-BA47-F093CB676C0D}">
            <xm:f>OR('G:\Users\GEC\Documents\LUZ\[Copia de 20200615.xlsx]AUX'!#REF!=TRUE,'G:\Users\GEC\Documents\LUZ\[Copia de 20200615.xlsx]AUX'!#REF!=TRUE)</xm:f>
            <x14:dxf>
              <font>
                <color theme="0"/>
              </font>
              <fill>
                <patternFill>
                  <bgColor theme="0"/>
                </patternFill>
              </fill>
              <border>
                <left/>
                <right/>
                <top/>
                <bottom/>
                <vertical/>
                <horizontal/>
              </border>
            </x14:dxf>
          </x14:cfRule>
          <xm:sqref>Z80 Z77 Z74 Z71 Z68 Z65 Z62 Z56 Z53 Z50</xm:sqref>
        </x14:conditionalFormatting>
        <x14:conditionalFormatting xmlns:xm="http://schemas.microsoft.com/office/excel/2006/main">
          <x14:cfRule type="expression" priority="2450" id="{2B874E77-3372-4060-B53E-A3264492DC79}">
            <xm:f>'G:\Users\GEC\Documents\LUZ\[Copia de 20200615.xlsx]DATOS'!#REF!="NO"</xm:f>
            <x14:dxf>
              <border>
                <left/>
                <right/>
                <top/>
                <bottom/>
                <vertical/>
                <horizontal/>
              </border>
            </x14:dxf>
          </x14:cfRule>
          <xm:sqref>AE80 AE77 AE74 AE56 AE53 AE50</xm:sqref>
        </x14:conditionalFormatting>
        <x14:conditionalFormatting xmlns:xm="http://schemas.microsoft.com/office/excel/2006/main">
          <x14:cfRule type="expression" priority="2449" id="{93C2DD3D-52FB-42FF-96FF-B0C5421E7A72}">
            <xm:f>OR('G:\Users\GEC\Documents\LUZ\[Copia de 20200615.xlsx]AUX'!#REF!=TRUE,'G:\Users\GEC\Documents\LUZ\[Copia de 20200615.xlsx]AUX'!#REF!=TRUE)</xm:f>
            <x14:dxf>
              <font>
                <color theme="0"/>
              </font>
              <fill>
                <patternFill>
                  <bgColor theme="0"/>
                </patternFill>
              </fill>
              <border>
                <left/>
                <right/>
                <top/>
                <bottom/>
                <vertical/>
                <horizontal/>
              </border>
            </x14:dxf>
          </x14:cfRule>
          <xm:sqref>AD80:AE80 AD77:AE77 AD74:AE74 AD56:AE56 AD53:AE53 AD50:AE50</xm:sqref>
        </x14:conditionalFormatting>
        <x14:conditionalFormatting xmlns:xm="http://schemas.microsoft.com/office/excel/2006/main">
          <x14:cfRule type="expression" priority="2446" id="{6E8B1A07-0F81-4909-AB2C-AD927F32B8FC}">
            <xm:f>OR('G:\Users\GEC\Documents\LUZ\[Copia de 20200615.xlsx]AUX'!#REF!=TRUE,'G:\Users\GEC\Documents\LUZ\[Copia de 20200615.xlsx]AUX'!#REF!=TRUE)</xm:f>
            <x14:dxf>
              <font>
                <color theme="0"/>
              </font>
              <fill>
                <patternFill>
                  <bgColor theme="0"/>
                </patternFill>
              </fill>
              <border>
                <left/>
                <right/>
                <top/>
                <bottom/>
                <vertical/>
                <horizontal/>
              </border>
            </x14:dxf>
          </x14:cfRule>
          <xm:sqref>AF80 AF77 AF74 AF56 AF53 AF50</xm:sqref>
        </x14:conditionalFormatting>
        <x14:conditionalFormatting xmlns:xm="http://schemas.microsoft.com/office/excel/2006/main">
          <x14:cfRule type="expression" priority="2445" id="{C1B97138-820D-4ED3-95FE-CE9350C2D2D4}">
            <xm:f>'G:\Users\GEC\Documents\LUZ\[Copia de 20200615.xlsx]DATOS'!#REF!="NO"</xm:f>
            <x14:dxf>
              <border>
                <left/>
                <right/>
                <top/>
                <bottom/>
                <vertical/>
                <horizontal/>
              </border>
            </x14:dxf>
          </x14:cfRule>
          <xm:sqref>AK80 AK77 AK74 AK56 AK53 AK50</xm:sqref>
        </x14:conditionalFormatting>
        <x14:conditionalFormatting xmlns:xm="http://schemas.microsoft.com/office/excel/2006/main">
          <x14:cfRule type="expression" priority="2444" id="{C9FD3A99-BC9C-407F-B57B-6A411FE3E36C}">
            <xm:f>OR('G:\Users\GEC\Documents\LUZ\[Copia de 20200615.xlsx]AUX'!#REF!=TRUE,'G:\Users\GEC\Documents\LUZ\[Copia de 20200615.xlsx]AUX'!#REF!=TRUE)</xm:f>
            <x14:dxf>
              <font>
                <color theme="0"/>
              </font>
              <fill>
                <patternFill>
                  <bgColor theme="0"/>
                </patternFill>
              </fill>
              <border>
                <left/>
                <right/>
                <top/>
                <bottom/>
                <vertical/>
                <horizontal/>
              </border>
            </x14:dxf>
          </x14:cfRule>
          <xm:sqref>AJ80:AK80 AJ77:AK77 AJ74:AK74 AJ56:AK56 AJ53:AK53 AJ50:AK50</xm:sqref>
        </x14:conditionalFormatting>
        <x14:conditionalFormatting xmlns:xm="http://schemas.microsoft.com/office/excel/2006/main">
          <x14:cfRule type="expression" priority="2441" id="{A931281D-0BF4-4BBF-8764-66AE6B94A6C7}">
            <xm:f>OR('G:\Users\GEC\Documents\LUZ\[Copia de 20200615.xlsx]AUX'!#REF!=TRUE,'G:\Users\GEC\Documents\LUZ\[Copia de 20200615.xlsx]AUX'!#REF!=TRUE)</xm:f>
            <x14:dxf>
              <font>
                <color theme="0"/>
              </font>
              <fill>
                <patternFill>
                  <bgColor theme="0"/>
                </patternFill>
              </fill>
              <border>
                <left/>
                <right/>
                <top/>
                <bottom/>
                <vertical/>
                <horizontal/>
              </border>
            </x14:dxf>
          </x14:cfRule>
          <xm:sqref>AL80 AL77 AL74 AL56 AL53 AL50</xm:sqref>
        </x14:conditionalFormatting>
        <x14:conditionalFormatting xmlns:xm="http://schemas.microsoft.com/office/excel/2006/main">
          <x14:cfRule type="expression" priority="2440" id="{A6EBC31A-5F43-4FD2-B1A9-E200A0921A8D}">
            <xm:f>'G:\Users\GEC\Documents\LUZ\[Copia de 20200615.xlsx]DATOS'!#REF!="NO"</xm:f>
            <x14:dxf>
              <border>
                <left/>
                <right/>
                <top/>
                <bottom/>
                <vertical/>
                <horizontal/>
              </border>
            </x14:dxf>
          </x14:cfRule>
          <xm:sqref>Y83</xm:sqref>
        </x14:conditionalFormatting>
        <x14:conditionalFormatting xmlns:xm="http://schemas.microsoft.com/office/excel/2006/main">
          <x14:cfRule type="expression" priority="2439" id="{460FA363-EED3-4923-86A5-21DB19CD6149}">
            <xm:f>OR('G:\Users\GEC\Documents\LUZ\[Copia de 20200615.xlsx]AUX'!#REF!=TRUE,'G:\Users\GEC\Documents\LUZ\[Copia de 20200615.xlsx]AUX'!#REF!=TRUE)</xm:f>
            <x14:dxf>
              <font>
                <color theme="0"/>
              </font>
              <fill>
                <patternFill>
                  <bgColor theme="0"/>
                </patternFill>
              </fill>
              <border>
                <left/>
                <right/>
                <top/>
                <bottom/>
                <vertical/>
                <horizontal/>
              </border>
            </x14:dxf>
          </x14:cfRule>
          <xm:sqref>X83:Y83 X84:AO85</xm:sqref>
        </x14:conditionalFormatting>
        <x14:conditionalFormatting xmlns:xm="http://schemas.microsoft.com/office/excel/2006/main">
          <x14:cfRule type="expression" priority="2436" id="{2FC1862F-FD1A-45E2-8CC2-543510AFBDA6}">
            <xm:f>OR('G:\Users\GEC\Documents\LUZ\[Copia de 20200615.xlsx]AUX'!#REF!=TRUE,'G:\Users\GEC\Documents\LUZ\[Copia de 20200615.xlsx]AUX'!#REF!=TRUE)</xm:f>
            <x14:dxf>
              <font>
                <color theme="0"/>
              </font>
              <fill>
                <patternFill>
                  <bgColor theme="0"/>
                </patternFill>
              </fill>
              <border>
                <left/>
                <right/>
                <top/>
                <bottom/>
                <vertical/>
                <horizontal/>
              </border>
            </x14:dxf>
          </x14:cfRule>
          <xm:sqref>Z83</xm:sqref>
        </x14:conditionalFormatting>
        <x14:conditionalFormatting xmlns:xm="http://schemas.microsoft.com/office/excel/2006/main">
          <x14:cfRule type="expression" priority="2430" id="{EEB58239-E510-434D-A926-0B34C28BA39A}">
            <xm:f>'G:\Users\GEC\Documents\LUZ\[Copia de 20200615.xlsx]DATOS'!#REF!="NO"</xm:f>
            <x14:dxf>
              <border>
                <left/>
                <right/>
                <top/>
                <bottom/>
                <vertical/>
                <horizontal/>
              </border>
            </x14:dxf>
          </x14:cfRule>
          <xm:sqref>AK83</xm:sqref>
        </x14:conditionalFormatting>
        <x14:conditionalFormatting xmlns:xm="http://schemas.microsoft.com/office/excel/2006/main">
          <x14:cfRule type="expression" priority="2429" id="{DF12B0BB-3ED9-4A89-BC25-6FAFFAD8D046}">
            <xm:f>OR('G:\Users\GEC\Documents\LUZ\[Copia de 20200615.xlsx]AUX'!#REF!=TRUE,'G:\Users\GEC\Documents\LUZ\[Copia de 20200615.xlsx]AUX'!#REF!=TRUE)</xm:f>
            <x14:dxf>
              <font>
                <color theme="0"/>
              </font>
              <fill>
                <patternFill>
                  <bgColor theme="0"/>
                </patternFill>
              </fill>
              <border>
                <left/>
                <right/>
                <top/>
                <bottom/>
                <vertical/>
                <horizontal/>
              </border>
            </x14:dxf>
          </x14:cfRule>
          <xm:sqref>AJ83:AK83</xm:sqref>
        </x14:conditionalFormatting>
        <x14:conditionalFormatting xmlns:xm="http://schemas.microsoft.com/office/excel/2006/main">
          <x14:cfRule type="expression" priority="2426" id="{03A57088-E6BA-41ED-8C4B-A1BB1C4374A7}">
            <xm:f>OR('G:\Users\GEC\Documents\LUZ\[Copia de 20200615.xlsx]AUX'!#REF!=TRUE,'G:\Users\GEC\Documents\LUZ\[Copia de 20200615.xlsx]AUX'!#REF!=TRUE)</xm:f>
            <x14:dxf>
              <font>
                <color theme="0"/>
              </font>
              <fill>
                <patternFill>
                  <bgColor theme="0"/>
                </patternFill>
              </fill>
              <border>
                <left/>
                <right/>
                <top/>
                <bottom/>
                <vertical/>
                <horizontal/>
              </border>
            </x14:dxf>
          </x14:cfRule>
          <xm:sqref>AL83</xm:sqref>
        </x14:conditionalFormatting>
        <x14:conditionalFormatting xmlns:xm="http://schemas.microsoft.com/office/excel/2006/main">
          <x14:cfRule type="expression" priority="2425" id="{7319C18D-9825-47BE-90A3-D268DB15A748}">
            <xm:f>'G:\Users\GEC\Documents\LUZ\[Copia de 20200615.xlsx]DATOS'!#REF!="NO"</xm:f>
            <x14:dxf>
              <border>
                <left/>
                <right/>
                <top/>
                <bottom/>
                <vertical/>
                <horizontal/>
              </border>
            </x14:dxf>
          </x14:cfRule>
          <xm:sqref>Y89</xm:sqref>
        </x14:conditionalFormatting>
        <x14:conditionalFormatting xmlns:xm="http://schemas.microsoft.com/office/excel/2006/main">
          <x14:cfRule type="expression" priority="2424" id="{F91BDEA7-BD33-4B58-BB3A-141A5ECE05AA}">
            <xm:f>OR('G:\Users\GEC\Documents\LUZ\[Copia de 20200615.xlsx]AUX'!#REF!=TRUE,'G:\Users\GEC\Documents\LUZ\[Copia de 20200615.xlsx]AUX'!#REF!=TRUE)</xm:f>
            <x14:dxf>
              <font>
                <color theme="0"/>
              </font>
              <fill>
                <patternFill>
                  <bgColor theme="0"/>
                </patternFill>
              </fill>
              <border>
                <left/>
                <right/>
                <top/>
                <bottom/>
                <vertical/>
                <horizontal/>
              </border>
            </x14:dxf>
          </x14:cfRule>
          <xm:sqref>X89:Y89</xm:sqref>
        </x14:conditionalFormatting>
        <x14:conditionalFormatting xmlns:xm="http://schemas.microsoft.com/office/excel/2006/main">
          <x14:cfRule type="expression" priority="2421" id="{6E327943-786A-4F56-9A7D-E4280FFFFED7}">
            <xm:f>OR('G:\Users\GEC\Documents\LUZ\[Copia de 20200615.xlsx]AUX'!#REF!=TRUE,'G:\Users\GEC\Documents\LUZ\[Copia de 20200615.xlsx]AUX'!#REF!=TRUE)</xm:f>
            <x14:dxf>
              <font>
                <color theme="0"/>
              </font>
              <fill>
                <patternFill>
                  <bgColor theme="0"/>
                </patternFill>
              </fill>
              <border>
                <left/>
                <right/>
                <top/>
                <bottom/>
                <vertical/>
                <horizontal/>
              </border>
            </x14:dxf>
          </x14:cfRule>
          <xm:sqref>Z89</xm:sqref>
        </x14:conditionalFormatting>
        <x14:conditionalFormatting xmlns:xm="http://schemas.microsoft.com/office/excel/2006/main">
          <x14:cfRule type="expression" priority="2410" id="{BA7DF587-4DC8-49AA-84F8-55C002FB287C}">
            <xm:f>'G:\Users\GEC\Documents\LUZ\[Copia de 20200615.xlsx]DATOS'!#REF!="NO"</xm:f>
            <x14:dxf>
              <border>
                <left/>
                <right/>
                <top/>
                <bottom/>
                <vertical/>
                <horizontal/>
              </border>
            </x14:dxf>
          </x14:cfRule>
          <xm:sqref>Y122 Y119 Y116 Y110 Y107 Y104 Y98 Y95 Y92</xm:sqref>
        </x14:conditionalFormatting>
        <x14:conditionalFormatting xmlns:xm="http://schemas.microsoft.com/office/excel/2006/main">
          <x14:cfRule type="expression" priority="2409" id="{ED14DEF8-019D-4E7D-9417-04B0DB39E64A}">
            <xm:f>OR('G:\Users\GEC\Documents\LUZ\[Copia de 20200615.xlsx]AUX'!#REF!=TRUE,'G:\Users\GEC\Documents\LUZ\[Copia de 20200615.xlsx]AUX'!#REF!=TRUE)</xm:f>
            <x14:dxf>
              <font>
                <color theme="0"/>
              </font>
              <fill>
                <patternFill>
                  <bgColor theme="0"/>
                </patternFill>
              </fill>
              <border>
                <left/>
                <right/>
                <top/>
                <bottom/>
                <vertical/>
                <horizontal/>
              </border>
            </x14:dxf>
          </x14:cfRule>
          <xm:sqref>X122:Y122 X119:Y119 X116:Y116 X110:Y110 X107:Y107 X104:Y104 X98:Y98 X95:Y95 X92:Y92 X111:AO112</xm:sqref>
        </x14:conditionalFormatting>
        <x14:conditionalFormatting xmlns:xm="http://schemas.microsoft.com/office/excel/2006/main">
          <x14:cfRule type="expression" priority="2406" id="{3D00B4DD-F17E-4142-AED5-E6FAFF250219}">
            <xm:f>OR('G:\Users\GEC\Documents\LUZ\[Copia de 20200615.xlsx]AUX'!#REF!=TRUE,'G:\Users\GEC\Documents\LUZ\[Copia de 20200615.xlsx]AUX'!#REF!=TRUE)</xm:f>
            <x14:dxf>
              <font>
                <color theme="0"/>
              </font>
              <fill>
                <patternFill>
                  <bgColor theme="0"/>
                </patternFill>
              </fill>
              <border>
                <left/>
                <right/>
                <top/>
                <bottom/>
                <vertical/>
                <horizontal/>
              </border>
            </x14:dxf>
          </x14:cfRule>
          <xm:sqref>Z122 Z119 Z116 Z110 Z107 Z104 Z98 Z95 Z92</xm:sqref>
        </x14:conditionalFormatting>
        <x14:conditionalFormatting xmlns:xm="http://schemas.microsoft.com/office/excel/2006/main">
          <x14:cfRule type="expression" priority="2405" id="{1E9340B1-5A51-48FA-88B3-FB2FBEEC6672}">
            <xm:f>'G:\Users\GEC\Documents\LUZ\[Copia de 20200615.xlsx]DATOS'!#REF!="NO"</xm:f>
            <x14:dxf>
              <border>
                <left/>
                <right/>
                <top/>
                <bottom/>
                <vertical/>
                <horizontal/>
              </border>
            </x14:dxf>
          </x14:cfRule>
          <xm:sqref>AE110 AE107 AE104</xm:sqref>
        </x14:conditionalFormatting>
        <x14:conditionalFormatting xmlns:xm="http://schemas.microsoft.com/office/excel/2006/main">
          <x14:cfRule type="expression" priority="2404" id="{DBCFBFC2-70C8-46BC-A177-4554FA7471A1}">
            <xm:f>OR('G:\Users\GEC\Documents\LUZ\[Copia de 20200615.xlsx]AUX'!#REF!=TRUE,'G:\Users\GEC\Documents\LUZ\[Copia de 20200615.xlsx]AUX'!#REF!=TRUE)</xm:f>
            <x14:dxf>
              <font>
                <color theme="0"/>
              </font>
              <fill>
                <patternFill>
                  <bgColor theme="0"/>
                </patternFill>
              </fill>
              <border>
                <left/>
                <right/>
                <top/>
                <bottom/>
                <vertical/>
                <horizontal/>
              </border>
            </x14:dxf>
          </x14:cfRule>
          <xm:sqref>AD110:AE110 AD107:AE107 AD104:AE104</xm:sqref>
        </x14:conditionalFormatting>
        <x14:conditionalFormatting xmlns:xm="http://schemas.microsoft.com/office/excel/2006/main">
          <x14:cfRule type="expression" priority="2401" id="{986420D9-66A9-4A80-9331-5AD70E2C9D5D}">
            <xm:f>OR('G:\Users\GEC\Documents\LUZ\[Copia de 20200615.xlsx]AUX'!#REF!=TRUE,'G:\Users\GEC\Documents\LUZ\[Copia de 20200615.xlsx]AUX'!#REF!=TRUE)</xm:f>
            <x14:dxf>
              <font>
                <color theme="0"/>
              </font>
              <fill>
                <patternFill>
                  <bgColor theme="0"/>
                </patternFill>
              </fill>
              <border>
                <left/>
                <right/>
                <top/>
                <bottom/>
                <vertical/>
                <horizontal/>
              </border>
            </x14:dxf>
          </x14:cfRule>
          <xm:sqref>AF110 AF107 AF104</xm:sqref>
        </x14:conditionalFormatting>
        <x14:conditionalFormatting xmlns:xm="http://schemas.microsoft.com/office/excel/2006/main">
          <x14:cfRule type="expression" priority="2400" id="{7309ED27-E50B-472C-8656-5307B369FE23}">
            <xm:f>'G:\Users\GEC\Documents\LUZ\[Copia de 20200615.xlsx]DATOS'!#REF!="NO"</xm:f>
            <x14:dxf>
              <border>
                <left/>
                <right/>
                <top/>
                <bottom/>
                <vertical/>
                <horizontal/>
              </border>
            </x14:dxf>
          </x14:cfRule>
          <xm:sqref>AK110 AK107 AK104</xm:sqref>
        </x14:conditionalFormatting>
        <x14:conditionalFormatting xmlns:xm="http://schemas.microsoft.com/office/excel/2006/main">
          <x14:cfRule type="expression" priority="2399" id="{1F6E0C69-C3A7-4187-A846-2C29A6E5C564}">
            <xm:f>OR('G:\Users\GEC\Documents\LUZ\[Copia de 20200615.xlsx]AUX'!#REF!=TRUE,'G:\Users\GEC\Documents\LUZ\[Copia de 20200615.xlsx]AUX'!#REF!=TRUE)</xm:f>
            <x14:dxf>
              <font>
                <color theme="0"/>
              </font>
              <fill>
                <patternFill>
                  <bgColor theme="0"/>
                </patternFill>
              </fill>
              <border>
                <left/>
                <right/>
                <top/>
                <bottom/>
                <vertical/>
                <horizontal/>
              </border>
            </x14:dxf>
          </x14:cfRule>
          <xm:sqref>AJ110:AK110 AJ107:AK107 AJ104:AK104</xm:sqref>
        </x14:conditionalFormatting>
        <x14:conditionalFormatting xmlns:xm="http://schemas.microsoft.com/office/excel/2006/main">
          <x14:cfRule type="expression" priority="2396" id="{86FE46F2-2B8D-4D91-A94A-BB15742E28F8}">
            <xm:f>OR('G:\Users\GEC\Documents\LUZ\[Copia de 20200615.xlsx]AUX'!#REF!=TRUE,'G:\Users\GEC\Documents\LUZ\[Copia de 20200615.xlsx]AUX'!#REF!=TRUE)</xm:f>
            <x14:dxf>
              <font>
                <color theme="0"/>
              </font>
              <fill>
                <patternFill>
                  <bgColor theme="0"/>
                </patternFill>
              </fill>
              <border>
                <left/>
                <right/>
                <top/>
                <bottom/>
                <vertical/>
                <horizontal/>
              </border>
            </x14:dxf>
          </x14:cfRule>
          <xm:sqref>AL110 AL107 AL104</xm:sqref>
        </x14:conditionalFormatting>
        <x14:conditionalFormatting xmlns:xm="http://schemas.microsoft.com/office/excel/2006/main">
          <x14:cfRule type="expression" priority="2395" id="{009CA487-6DAC-46BE-B6C1-A69F2189F8B2}">
            <xm:f>'G:\Users\GEC\Documents\LUZ\[Copia de 20200615.xlsx]DATOS'!#REF!="NO"</xm:f>
            <x14:dxf>
              <border>
                <left/>
                <right/>
                <top/>
                <bottom/>
                <vertical/>
                <horizontal/>
              </border>
            </x14:dxf>
          </x14:cfRule>
          <xm:sqref>Y125</xm:sqref>
        </x14:conditionalFormatting>
        <x14:conditionalFormatting xmlns:xm="http://schemas.microsoft.com/office/excel/2006/main">
          <x14:cfRule type="expression" priority="2394" id="{13A657CC-C521-47E6-B5DF-1B0FFFEB4C08}">
            <xm:f>OR('G:\Users\GEC\Documents\LUZ\[Copia de 20200615.xlsx]AUX'!#REF!=TRUE,'G:\Users\GEC\Documents\LUZ\[Copia de 20200615.xlsx]AUX'!#REF!=TRUE)</xm:f>
            <x14:dxf>
              <font>
                <color theme="0"/>
              </font>
              <fill>
                <patternFill>
                  <bgColor theme="0"/>
                </patternFill>
              </fill>
              <border>
                <left/>
                <right/>
                <top/>
                <bottom/>
                <vertical/>
                <horizontal/>
              </border>
            </x14:dxf>
          </x14:cfRule>
          <xm:sqref>X125:Y125</xm:sqref>
        </x14:conditionalFormatting>
        <x14:conditionalFormatting xmlns:xm="http://schemas.microsoft.com/office/excel/2006/main">
          <x14:cfRule type="expression" priority="2391" id="{1E20AA60-F737-4573-80FA-FC5221A999BC}">
            <xm:f>OR('G:\Users\GEC\Documents\LUZ\[Copia de 20200615.xlsx]AUX'!#REF!=TRUE,'G:\Users\GEC\Documents\LUZ\[Copia de 20200615.xlsx]AUX'!#REF!=TRUE)</xm:f>
            <x14:dxf>
              <font>
                <color theme="0"/>
              </font>
              <fill>
                <patternFill>
                  <bgColor theme="0"/>
                </patternFill>
              </fill>
              <border>
                <left/>
                <right/>
                <top/>
                <bottom/>
                <vertical/>
                <horizontal/>
              </border>
            </x14:dxf>
          </x14:cfRule>
          <xm:sqref>Z125</xm:sqref>
        </x14:conditionalFormatting>
        <x14:conditionalFormatting xmlns:xm="http://schemas.microsoft.com/office/excel/2006/main">
          <x14:cfRule type="expression" priority="2380" id="{EEC42E85-A70C-4D4E-8DAF-EA9AAB092DB6}">
            <xm:f>'G:\Users\GEC\Documents\LUZ\[Copia de 20200615.xlsx]DATOS'!#REF!="NO"</xm:f>
            <x14:dxf>
              <border>
                <left/>
                <right/>
                <top/>
                <bottom/>
                <vertical/>
                <horizontal/>
              </border>
            </x14:dxf>
          </x14:cfRule>
          <xm:sqref>Y128</xm:sqref>
        </x14:conditionalFormatting>
        <x14:conditionalFormatting xmlns:xm="http://schemas.microsoft.com/office/excel/2006/main">
          <x14:cfRule type="expression" priority="2379" id="{F40B1A08-BAC3-4920-A2D4-06567286079D}">
            <xm:f>OR('G:\Users\GEC\Documents\LUZ\[Copia de 20200615.xlsx]AUX'!#REF!=TRUE,'G:\Users\GEC\Documents\LUZ\[Copia de 20200615.xlsx]AUX'!#REF!=TRUE)</xm:f>
            <x14:dxf>
              <font>
                <color theme="0"/>
              </font>
              <fill>
                <patternFill>
                  <bgColor theme="0"/>
                </patternFill>
              </fill>
              <border>
                <left/>
                <right/>
                <top/>
                <bottom/>
                <vertical/>
                <horizontal/>
              </border>
            </x14:dxf>
          </x14:cfRule>
          <xm:sqref>X128:Y128</xm:sqref>
        </x14:conditionalFormatting>
        <x14:conditionalFormatting xmlns:xm="http://schemas.microsoft.com/office/excel/2006/main">
          <x14:cfRule type="expression" priority="2376" id="{D09D1E63-F658-4E68-9C71-93598D6EAB62}">
            <xm:f>OR('G:\Users\GEC\Documents\LUZ\[Copia de 20200615.xlsx]AUX'!#REF!=TRUE,'G:\Users\GEC\Documents\LUZ\[Copia de 20200615.xlsx]AUX'!#REF!=TRUE)</xm:f>
            <x14:dxf>
              <font>
                <color theme="0"/>
              </font>
              <fill>
                <patternFill>
                  <bgColor theme="0"/>
                </patternFill>
              </fill>
              <border>
                <left/>
                <right/>
                <top/>
                <bottom/>
                <vertical/>
                <horizontal/>
              </border>
            </x14:dxf>
          </x14:cfRule>
          <xm:sqref>Z128</xm:sqref>
        </x14:conditionalFormatting>
        <x14:conditionalFormatting xmlns:xm="http://schemas.microsoft.com/office/excel/2006/main">
          <x14:cfRule type="expression" priority="2375" id="{90D45249-909B-45DB-9B85-853EEB92D737}">
            <xm:f>'G:\Users\GEC\Documents\LUZ\[Copia de 20200615.xlsx]DATOS'!#REF!="NO"</xm:f>
            <x14:dxf>
              <border>
                <left/>
                <right/>
                <top/>
                <bottom/>
                <vertical/>
                <horizontal/>
              </border>
            </x14:dxf>
          </x14:cfRule>
          <xm:sqref>AE128</xm:sqref>
        </x14:conditionalFormatting>
        <x14:conditionalFormatting xmlns:xm="http://schemas.microsoft.com/office/excel/2006/main">
          <x14:cfRule type="expression" priority="2374" id="{B531634D-55D4-4A1B-B374-5BCACE1FD81F}">
            <xm:f>OR('G:\Users\GEC\Documents\LUZ\[Copia de 20200615.xlsx]AUX'!#REF!=TRUE,'G:\Users\GEC\Documents\LUZ\[Copia de 20200615.xlsx]AUX'!#REF!=TRUE)</xm:f>
            <x14:dxf>
              <font>
                <color theme="0"/>
              </font>
              <fill>
                <patternFill>
                  <bgColor theme="0"/>
                </patternFill>
              </fill>
              <border>
                <left/>
                <right/>
                <top/>
                <bottom/>
                <vertical/>
                <horizontal/>
              </border>
            </x14:dxf>
          </x14:cfRule>
          <xm:sqref>AD128:AE128</xm:sqref>
        </x14:conditionalFormatting>
        <x14:conditionalFormatting xmlns:xm="http://schemas.microsoft.com/office/excel/2006/main">
          <x14:cfRule type="expression" priority="2371" id="{AF43A4BA-64C6-4733-9AC1-28B2D27AF481}">
            <xm:f>OR('G:\Users\GEC\Documents\LUZ\[Copia de 20200615.xlsx]AUX'!#REF!=TRUE,'G:\Users\GEC\Documents\LUZ\[Copia de 20200615.xlsx]AUX'!#REF!=TRUE)</xm:f>
            <x14:dxf>
              <font>
                <color theme="0"/>
              </font>
              <fill>
                <patternFill>
                  <bgColor theme="0"/>
                </patternFill>
              </fill>
              <border>
                <left/>
                <right/>
                <top/>
                <bottom/>
                <vertical/>
                <horizontal/>
              </border>
            </x14:dxf>
          </x14:cfRule>
          <xm:sqref>AF128</xm:sqref>
        </x14:conditionalFormatting>
        <x14:conditionalFormatting xmlns:xm="http://schemas.microsoft.com/office/excel/2006/main">
          <x14:cfRule type="expression" priority="2370" id="{3225AB91-3A1F-43B6-A14A-FD59915EE761}">
            <xm:f>'G:\Users\GEC\Documents\LUZ\[Copia de 20200615.xlsx]DATOS'!#REF!="NO"</xm:f>
            <x14:dxf>
              <border>
                <left/>
                <right/>
                <top/>
                <bottom/>
                <vertical/>
                <horizontal/>
              </border>
            </x14:dxf>
          </x14:cfRule>
          <xm:sqref>AK128</xm:sqref>
        </x14:conditionalFormatting>
        <x14:conditionalFormatting xmlns:xm="http://schemas.microsoft.com/office/excel/2006/main">
          <x14:cfRule type="expression" priority="2369" id="{A979358D-1940-4B68-ACF8-607F166B7866}">
            <xm:f>OR('G:\Users\GEC\Documents\LUZ\[Copia de 20200615.xlsx]AUX'!#REF!=TRUE,'G:\Users\GEC\Documents\LUZ\[Copia de 20200615.xlsx]AUX'!#REF!=TRUE)</xm:f>
            <x14:dxf>
              <font>
                <color theme="0"/>
              </font>
              <fill>
                <patternFill>
                  <bgColor theme="0"/>
                </patternFill>
              </fill>
              <border>
                <left/>
                <right/>
                <top/>
                <bottom/>
                <vertical/>
                <horizontal/>
              </border>
            </x14:dxf>
          </x14:cfRule>
          <xm:sqref>AJ128:AK128</xm:sqref>
        </x14:conditionalFormatting>
        <x14:conditionalFormatting xmlns:xm="http://schemas.microsoft.com/office/excel/2006/main">
          <x14:cfRule type="expression" priority="2366" id="{69AF216A-531D-4600-866F-C6D3DFC84129}">
            <xm:f>OR('G:\Users\GEC\Documents\LUZ\[Copia de 20200615.xlsx]AUX'!#REF!=TRUE,'G:\Users\GEC\Documents\LUZ\[Copia de 20200615.xlsx]AUX'!#REF!=TRUE)</xm:f>
            <x14:dxf>
              <font>
                <color theme="0"/>
              </font>
              <fill>
                <patternFill>
                  <bgColor theme="0"/>
                </patternFill>
              </fill>
              <border>
                <left/>
                <right/>
                <top/>
                <bottom/>
                <vertical/>
                <horizontal/>
              </border>
            </x14:dxf>
          </x14:cfRule>
          <xm:sqref>AL128</xm:sqref>
        </x14:conditionalFormatting>
        <x14:conditionalFormatting xmlns:xm="http://schemas.microsoft.com/office/excel/2006/main">
          <x14:cfRule type="expression" priority="2365" id="{67E7DFE9-894A-4724-B483-06F3A5ABFB70}">
            <xm:f>'G:\Users\GEC\Documents\LUZ\[Copia de 20200615.xlsx]DATOS'!#REF!="NO"</xm:f>
            <x14:dxf>
              <border>
                <left/>
                <right/>
                <top/>
                <bottom/>
                <vertical/>
                <horizontal/>
              </border>
            </x14:dxf>
          </x14:cfRule>
          <xm:sqref>Y137 Y134 Y131</xm:sqref>
        </x14:conditionalFormatting>
        <x14:conditionalFormatting xmlns:xm="http://schemas.microsoft.com/office/excel/2006/main">
          <x14:cfRule type="expression" priority="2364" id="{B0212E1F-C33C-4548-8879-495265F216F0}">
            <xm:f>OR('G:\Users\GEC\Documents\LUZ\[Copia de 20200615.xlsx]AUX'!#REF!=TRUE,'G:\Users\GEC\Documents\LUZ\[Copia de 20200615.xlsx]AUX'!#REF!=TRUE)</xm:f>
            <x14:dxf>
              <font>
                <color theme="0"/>
              </font>
              <fill>
                <patternFill>
                  <bgColor theme="0"/>
                </patternFill>
              </fill>
              <border>
                <left/>
                <right/>
                <top/>
                <bottom/>
                <vertical/>
                <horizontal/>
              </border>
            </x14:dxf>
          </x14:cfRule>
          <xm:sqref>X137:Y137 X134:Y134 X131:Y131 X138:AO139</xm:sqref>
        </x14:conditionalFormatting>
        <x14:conditionalFormatting xmlns:xm="http://schemas.microsoft.com/office/excel/2006/main">
          <x14:cfRule type="expression" priority="2361" id="{C95C6F3C-38DC-46A2-8577-EE52B2256A53}">
            <xm:f>OR('G:\Users\GEC\Documents\LUZ\[Copia de 20200615.xlsx]AUX'!#REF!=TRUE,'G:\Users\GEC\Documents\LUZ\[Copia de 20200615.xlsx]AUX'!#REF!=TRUE)</xm:f>
            <x14:dxf>
              <font>
                <color theme="0"/>
              </font>
              <fill>
                <patternFill>
                  <bgColor theme="0"/>
                </patternFill>
              </fill>
              <border>
                <left/>
                <right/>
                <top/>
                <bottom/>
                <vertical/>
                <horizontal/>
              </border>
            </x14:dxf>
          </x14:cfRule>
          <xm:sqref>Z137 Z134 Z131</xm:sqref>
        </x14:conditionalFormatting>
        <x14:conditionalFormatting xmlns:xm="http://schemas.microsoft.com/office/excel/2006/main">
          <x14:cfRule type="expression" priority="2360" id="{4B895A13-71F0-4B56-9F64-5A793C685A77}">
            <xm:f>'G:\Users\GEC\Documents\LUZ\[Copia de 20200615.xlsx]DATOS'!#REF!="NO"</xm:f>
            <x14:dxf>
              <border>
                <left/>
                <right/>
                <top/>
                <bottom/>
                <vertical/>
                <horizontal/>
              </border>
            </x14:dxf>
          </x14:cfRule>
          <xm:sqref>AE161 AE158 AE155 AE137 AE134 AE131</xm:sqref>
        </x14:conditionalFormatting>
        <x14:conditionalFormatting xmlns:xm="http://schemas.microsoft.com/office/excel/2006/main">
          <x14:cfRule type="expression" priority="2359" id="{3900E0A3-C6F1-4164-BA36-AE6C3674F088}">
            <xm:f>OR('G:\Users\GEC\Documents\LUZ\[Copia de 20200615.xlsx]AUX'!#REF!=TRUE,'G:\Users\GEC\Documents\LUZ\[Copia de 20200615.xlsx]AUX'!#REF!=TRUE)</xm:f>
            <x14:dxf>
              <font>
                <color theme="0"/>
              </font>
              <fill>
                <patternFill>
                  <bgColor theme="0"/>
                </patternFill>
              </fill>
              <border>
                <left/>
                <right/>
                <top/>
                <bottom/>
                <vertical/>
                <horizontal/>
              </border>
            </x14:dxf>
          </x14:cfRule>
          <xm:sqref>AD161:AE161 AD158:AE158 AD155:AE155 AD137:AE137 AD134:AE134 AD131:AE131</xm:sqref>
        </x14:conditionalFormatting>
        <x14:conditionalFormatting xmlns:xm="http://schemas.microsoft.com/office/excel/2006/main">
          <x14:cfRule type="expression" priority="2356" id="{747679B5-A128-483F-AA31-85D4281093F7}">
            <xm:f>OR('G:\Users\GEC\Documents\LUZ\[Copia de 20200615.xlsx]AUX'!#REF!=TRUE,'G:\Users\GEC\Documents\LUZ\[Copia de 20200615.xlsx]AUX'!#REF!=TRUE)</xm:f>
            <x14:dxf>
              <font>
                <color theme="0"/>
              </font>
              <fill>
                <patternFill>
                  <bgColor theme="0"/>
                </patternFill>
              </fill>
              <border>
                <left/>
                <right/>
                <top/>
                <bottom/>
                <vertical/>
                <horizontal/>
              </border>
            </x14:dxf>
          </x14:cfRule>
          <xm:sqref>AF161 AF158 AF155 AF137 AF134 AF131</xm:sqref>
        </x14:conditionalFormatting>
        <x14:conditionalFormatting xmlns:xm="http://schemas.microsoft.com/office/excel/2006/main">
          <x14:cfRule type="expression" priority="2355" id="{014B2851-0DB1-40E9-B642-70DCDB847435}">
            <xm:f>'G:\Users\GEC\Documents\LUZ\[Copia de 20200615.xlsx]DATOS'!#REF!="NO"</xm:f>
            <x14:dxf>
              <border>
                <left/>
                <right/>
                <top/>
                <bottom/>
                <vertical/>
                <horizontal/>
              </border>
            </x14:dxf>
          </x14:cfRule>
          <xm:sqref>AK161 AK158 AK155 AK137 AK134 AK131</xm:sqref>
        </x14:conditionalFormatting>
        <x14:conditionalFormatting xmlns:xm="http://schemas.microsoft.com/office/excel/2006/main">
          <x14:cfRule type="expression" priority="2354" id="{63753446-FEC9-4DF2-AFFC-F8ABEA299342}">
            <xm:f>OR('G:\Users\GEC\Documents\LUZ\[Copia de 20200615.xlsx]AUX'!#REF!=TRUE,'G:\Users\GEC\Documents\LUZ\[Copia de 20200615.xlsx]AUX'!#REF!=TRUE)</xm:f>
            <x14:dxf>
              <font>
                <color theme="0"/>
              </font>
              <fill>
                <patternFill>
                  <bgColor theme="0"/>
                </patternFill>
              </fill>
              <border>
                <left/>
                <right/>
                <top/>
                <bottom/>
                <vertical/>
                <horizontal/>
              </border>
            </x14:dxf>
          </x14:cfRule>
          <xm:sqref>AJ161:AK161 AJ158:AK158 AJ155:AK155 AJ137:AK137 AJ134:AK134 AJ131:AK131</xm:sqref>
        </x14:conditionalFormatting>
        <x14:conditionalFormatting xmlns:xm="http://schemas.microsoft.com/office/excel/2006/main">
          <x14:cfRule type="expression" priority="2351" id="{2AB468C1-F86D-45B8-9CCA-F10EE6F2F13B}">
            <xm:f>OR('G:\Users\GEC\Documents\LUZ\[Copia de 20200615.xlsx]AUX'!#REF!=TRUE,'G:\Users\GEC\Documents\LUZ\[Copia de 20200615.xlsx]AUX'!#REF!=TRUE)</xm:f>
            <x14:dxf>
              <font>
                <color theme="0"/>
              </font>
              <fill>
                <patternFill>
                  <bgColor theme="0"/>
                </patternFill>
              </fill>
              <border>
                <left/>
                <right/>
                <top/>
                <bottom/>
                <vertical/>
                <horizontal/>
              </border>
            </x14:dxf>
          </x14:cfRule>
          <xm:sqref>AL161 AL158 AL155 AL137 AL134 AL131</xm:sqref>
        </x14:conditionalFormatting>
        <x14:conditionalFormatting xmlns:xm="http://schemas.microsoft.com/office/excel/2006/main">
          <x14:cfRule type="expression" priority="2349" id="{6B5A5A20-606A-4C5B-8630-A09EAAA33996}">
            <xm:f>OR('G:\Users\GEC\Documents\LUZ\[Copia de 20200615.xlsx]AUX'!#REF!=TRUE,'G:\Users\GEC\Documents\LUZ\[Copia de 20200615.xlsx]AUX'!#REF!=TRUE)</xm:f>
            <x14:dxf>
              <font>
                <color theme="0"/>
              </font>
              <fill>
                <patternFill>
                  <bgColor theme="0"/>
                </patternFill>
              </fill>
              <border>
                <left/>
                <right/>
                <top/>
                <bottom/>
                <vertical/>
                <horizontal/>
              </border>
            </x14:dxf>
          </x14:cfRule>
          <xm:sqref>X165:AO166</xm:sqref>
        </x14:conditionalFormatting>
        <x14:conditionalFormatting xmlns:xm="http://schemas.microsoft.com/office/excel/2006/main">
          <x14:cfRule type="expression" priority="2345" id="{B0857FF9-0B51-44CA-9CFB-0D0EBC678E8D}">
            <xm:f>'G:\Users\GEC\Documents\LUZ\[Copia de 20200615.xlsx]DATOS'!#REF!="NO"</xm:f>
            <x14:dxf>
              <border>
                <left/>
                <right/>
                <top/>
                <bottom/>
                <vertical/>
                <horizontal/>
              </border>
            </x14:dxf>
          </x14:cfRule>
          <xm:sqref>AE164</xm:sqref>
        </x14:conditionalFormatting>
        <x14:conditionalFormatting xmlns:xm="http://schemas.microsoft.com/office/excel/2006/main">
          <x14:cfRule type="expression" priority="2344" id="{3EEF7BF3-0C2F-42F1-AC51-E140B0E7D92C}">
            <xm:f>OR('G:\Users\GEC\Documents\LUZ\[Copia de 20200615.xlsx]AUX'!#REF!=TRUE,'G:\Users\GEC\Documents\LUZ\[Copia de 20200615.xlsx]AUX'!#REF!=TRUE)</xm:f>
            <x14:dxf>
              <font>
                <color theme="0"/>
              </font>
              <fill>
                <patternFill>
                  <bgColor theme="0"/>
                </patternFill>
              </fill>
              <border>
                <left/>
                <right/>
                <top/>
                <bottom/>
                <vertical/>
                <horizontal/>
              </border>
            </x14:dxf>
          </x14:cfRule>
          <xm:sqref>AD164:AE164</xm:sqref>
        </x14:conditionalFormatting>
        <x14:conditionalFormatting xmlns:xm="http://schemas.microsoft.com/office/excel/2006/main">
          <x14:cfRule type="expression" priority="2341" id="{959D7021-D794-4720-911E-93B345030329}">
            <xm:f>OR('G:\Users\GEC\Documents\LUZ\[Copia de 20200615.xlsx]AUX'!#REF!=TRUE,'G:\Users\GEC\Documents\LUZ\[Copia de 20200615.xlsx]AUX'!#REF!=TRUE)</xm:f>
            <x14:dxf>
              <font>
                <color theme="0"/>
              </font>
              <fill>
                <patternFill>
                  <bgColor theme="0"/>
                </patternFill>
              </fill>
              <border>
                <left/>
                <right/>
                <top/>
                <bottom/>
                <vertical/>
                <horizontal/>
              </border>
            </x14:dxf>
          </x14:cfRule>
          <xm:sqref>AF164</xm:sqref>
        </x14:conditionalFormatting>
        <x14:conditionalFormatting xmlns:xm="http://schemas.microsoft.com/office/excel/2006/main">
          <x14:cfRule type="expression" priority="2340" id="{0E4A6C01-5C37-4A5E-9AB1-9A600ECDA39D}">
            <xm:f>'G:\Users\GEC\Documents\LUZ\[Copia de 20200615.xlsx]DATOS'!#REF!="NO"</xm:f>
            <x14:dxf>
              <border>
                <left/>
                <right/>
                <top/>
                <bottom/>
                <vertical/>
                <horizontal/>
              </border>
            </x14:dxf>
          </x14:cfRule>
          <xm:sqref>AK164</xm:sqref>
        </x14:conditionalFormatting>
        <x14:conditionalFormatting xmlns:xm="http://schemas.microsoft.com/office/excel/2006/main">
          <x14:cfRule type="expression" priority="2339" id="{00A8D11B-252B-436F-8AAD-681F40410B25}">
            <xm:f>OR('G:\Users\GEC\Documents\LUZ\[Copia de 20200615.xlsx]AUX'!#REF!=TRUE,'G:\Users\GEC\Documents\LUZ\[Copia de 20200615.xlsx]AUX'!#REF!=TRUE)</xm:f>
            <x14:dxf>
              <font>
                <color theme="0"/>
              </font>
              <fill>
                <patternFill>
                  <bgColor theme="0"/>
                </patternFill>
              </fill>
              <border>
                <left/>
                <right/>
                <top/>
                <bottom/>
                <vertical/>
                <horizontal/>
              </border>
            </x14:dxf>
          </x14:cfRule>
          <xm:sqref>AJ164:AK164</xm:sqref>
        </x14:conditionalFormatting>
        <x14:conditionalFormatting xmlns:xm="http://schemas.microsoft.com/office/excel/2006/main">
          <x14:cfRule type="expression" priority="2336" id="{6D40463B-57A9-40C6-B0C9-1DD4FDB6BDFE}">
            <xm:f>OR('G:\Users\GEC\Documents\LUZ\[Copia de 20200615.xlsx]AUX'!#REF!=TRUE,'G:\Users\GEC\Documents\LUZ\[Copia de 20200615.xlsx]AUX'!#REF!=TRUE)</xm:f>
            <x14:dxf>
              <font>
                <color theme="0"/>
              </font>
              <fill>
                <patternFill>
                  <bgColor theme="0"/>
                </patternFill>
              </fill>
              <border>
                <left/>
                <right/>
                <top/>
                <bottom/>
                <vertical/>
                <horizontal/>
              </border>
            </x14:dxf>
          </x14:cfRule>
          <xm:sqref>AL164</xm:sqref>
        </x14:conditionalFormatting>
        <x14:conditionalFormatting xmlns:xm="http://schemas.microsoft.com/office/excel/2006/main">
          <x14:cfRule type="expression" priority="2319" id="{20B703BE-B8DC-464C-8510-0A025703607D}">
            <xm:f>OR('G:\Users\GEC\Documents\LUZ\[Copia de 20200615.xlsx]AUX'!#REF!=TRUE,'G:\Users\GEC\Documents\LUZ\[Copia de 20200615.xlsx]AUX'!#REF!=TRUE)</xm:f>
            <x14:dxf>
              <font>
                <color theme="0"/>
              </font>
              <fill>
                <patternFill>
                  <bgColor theme="0"/>
                </patternFill>
              </fill>
              <border>
                <left/>
                <right/>
                <top/>
                <bottom/>
                <vertical/>
                <horizontal/>
              </border>
            </x14:dxf>
          </x14:cfRule>
          <xm:sqref>X192:AO193</xm:sqref>
        </x14:conditionalFormatting>
        <x14:conditionalFormatting xmlns:xm="http://schemas.microsoft.com/office/excel/2006/main">
          <x14:cfRule type="expression" priority="2315" id="{3D4ED127-DF8C-4097-B50C-7FE040E53612}">
            <xm:f>'G:\Users\GEC\Documents\LUZ\[Copia de 20200615.xlsx]DATOS'!#REF!="NO"</xm:f>
            <x14:dxf>
              <border>
                <left/>
                <right/>
                <top/>
                <bottom/>
                <vertical/>
                <horizontal/>
              </border>
            </x14:dxf>
          </x14:cfRule>
          <xm:sqref>AE191 AE188 AE185 AE182</xm:sqref>
        </x14:conditionalFormatting>
        <x14:conditionalFormatting xmlns:xm="http://schemas.microsoft.com/office/excel/2006/main">
          <x14:cfRule type="expression" priority="2314" id="{8AD8023F-1DB8-4CA4-AFDA-6022798198DF}">
            <xm:f>OR('G:\Users\GEC\Documents\LUZ\[Copia de 20200615.xlsx]AUX'!#REF!=TRUE,'G:\Users\GEC\Documents\LUZ\[Copia de 20200615.xlsx]AUX'!#REF!=TRUE)</xm:f>
            <x14:dxf>
              <font>
                <color theme="0"/>
              </font>
              <fill>
                <patternFill>
                  <bgColor theme="0"/>
                </patternFill>
              </fill>
              <border>
                <left/>
                <right/>
                <top/>
                <bottom/>
                <vertical/>
                <horizontal/>
              </border>
            </x14:dxf>
          </x14:cfRule>
          <xm:sqref>AD191:AE191 AD188:AE188 AD185:AE185 AD182:AE182</xm:sqref>
        </x14:conditionalFormatting>
        <x14:conditionalFormatting xmlns:xm="http://schemas.microsoft.com/office/excel/2006/main">
          <x14:cfRule type="expression" priority="2311" id="{BEB2E375-BEED-4037-8B50-E99D16D68A1E}">
            <xm:f>OR('G:\Users\GEC\Documents\LUZ\[Copia de 20200615.xlsx]AUX'!#REF!=TRUE,'G:\Users\GEC\Documents\LUZ\[Copia de 20200615.xlsx]AUX'!#REF!=TRUE)</xm:f>
            <x14:dxf>
              <font>
                <color theme="0"/>
              </font>
              <fill>
                <patternFill>
                  <bgColor theme="0"/>
                </patternFill>
              </fill>
              <border>
                <left/>
                <right/>
                <top/>
                <bottom/>
                <vertical/>
                <horizontal/>
              </border>
            </x14:dxf>
          </x14:cfRule>
          <xm:sqref>AF191 AF188 AF185 AF182</xm:sqref>
        </x14:conditionalFormatting>
        <x14:conditionalFormatting xmlns:xm="http://schemas.microsoft.com/office/excel/2006/main">
          <x14:cfRule type="expression" priority="2310" id="{1E296041-BA32-4A72-B5F2-D5CD3BB06D78}">
            <xm:f>'G:\Users\GEC\Documents\LUZ\[Copia de 20200615.xlsx]DATOS'!#REF!="NO"</xm:f>
            <x14:dxf>
              <border>
                <left/>
                <right/>
                <top/>
                <bottom/>
                <vertical/>
                <horizontal/>
              </border>
            </x14:dxf>
          </x14:cfRule>
          <xm:sqref>AK191 AK188 AK185 AK182</xm:sqref>
        </x14:conditionalFormatting>
        <x14:conditionalFormatting xmlns:xm="http://schemas.microsoft.com/office/excel/2006/main">
          <x14:cfRule type="expression" priority="2309" id="{A00CEC95-AC24-4602-8B02-6630BC8448B6}">
            <xm:f>OR('G:\Users\GEC\Documents\LUZ\[Copia de 20200615.xlsx]AUX'!#REF!=TRUE,'G:\Users\GEC\Documents\LUZ\[Copia de 20200615.xlsx]AUX'!#REF!=TRUE)</xm:f>
            <x14:dxf>
              <font>
                <color theme="0"/>
              </font>
              <fill>
                <patternFill>
                  <bgColor theme="0"/>
                </patternFill>
              </fill>
              <border>
                <left/>
                <right/>
                <top/>
                <bottom/>
                <vertical/>
                <horizontal/>
              </border>
            </x14:dxf>
          </x14:cfRule>
          <xm:sqref>AJ191:AK191 AJ188:AK188 AJ185:AK185 AJ182:AK182</xm:sqref>
        </x14:conditionalFormatting>
        <x14:conditionalFormatting xmlns:xm="http://schemas.microsoft.com/office/excel/2006/main">
          <x14:cfRule type="expression" priority="2306" id="{47FEF26E-303C-45CF-984A-94A093CA841E}">
            <xm:f>OR('G:\Users\GEC\Documents\LUZ\[Copia de 20200615.xlsx]AUX'!#REF!=TRUE,'G:\Users\GEC\Documents\LUZ\[Copia de 20200615.xlsx]AUX'!#REF!=TRUE)</xm:f>
            <x14:dxf>
              <font>
                <color theme="0"/>
              </font>
              <fill>
                <patternFill>
                  <bgColor theme="0"/>
                </patternFill>
              </fill>
              <border>
                <left/>
                <right/>
                <top/>
                <bottom/>
                <vertical/>
                <horizontal/>
              </border>
            </x14:dxf>
          </x14:cfRule>
          <xm:sqref>AL191 AL188 AL185 AL182</xm:sqref>
        </x14:conditionalFormatting>
        <x14:conditionalFormatting xmlns:xm="http://schemas.microsoft.com/office/excel/2006/main">
          <x14:cfRule type="expression" priority="2285" id="{EDEF165A-F2A8-4443-98BC-B42AC6EEEC4D}">
            <xm:f>'G:\Users\GEC\Documents\LUZ\[Copia de 20200615.xlsx]DATOS'!#REF!="NO"</xm:f>
            <x14:dxf>
              <border>
                <left/>
                <right/>
                <top/>
                <bottom/>
                <vertical/>
                <horizontal/>
              </border>
            </x14:dxf>
          </x14:cfRule>
          <xm:sqref>AE209</xm:sqref>
        </x14:conditionalFormatting>
        <x14:conditionalFormatting xmlns:xm="http://schemas.microsoft.com/office/excel/2006/main">
          <x14:cfRule type="expression" priority="2284" id="{767C92EC-87A1-4DA2-9805-0E377D205665}">
            <xm:f>OR('G:\Users\GEC\Documents\LUZ\[Copia de 20200615.xlsx]AUX'!#REF!=TRUE,'G:\Users\GEC\Documents\LUZ\[Copia de 20200615.xlsx]AUX'!#REF!=TRUE)</xm:f>
            <x14:dxf>
              <font>
                <color theme="0"/>
              </font>
              <fill>
                <patternFill>
                  <bgColor theme="0"/>
                </patternFill>
              </fill>
              <border>
                <left/>
                <right/>
                <top/>
                <bottom/>
                <vertical/>
                <horizontal/>
              </border>
            </x14:dxf>
          </x14:cfRule>
          <xm:sqref>AD209:AE209</xm:sqref>
        </x14:conditionalFormatting>
        <x14:conditionalFormatting xmlns:xm="http://schemas.microsoft.com/office/excel/2006/main">
          <x14:cfRule type="expression" priority="2281" id="{6F8ED4BD-F4F1-4662-B49C-D43B300F0108}">
            <xm:f>OR('G:\Users\GEC\Documents\LUZ\[Copia de 20200615.xlsx]AUX'!#REF!=TRUE,'G:\Users\GEC\Documents\LUZ\[Copia de 20200615.xlsx]AUX'!#REF!=TRUE)</xm:f>
            <x14:dxf>
              <font>
                <color theme="0"/>
              </font>
              <fill>
                <patternFill>
                  <bgColor theme="0"/>
                </patternFill>
              </fill>
              <border>
                <left/>
                <right/>
                <top/>
                <bottom/>
                <vertical/>
                <horizontal/>
              </border>
            </x14:dxf>
          </x14:cfRule>
          <xm:sqref>AF209</xm:sqref>
        </x14:conditionalFormatting>
        <x14:conditionalFormatting xmlns:xm="http://schemas.microsoft.com/office/excel/2006/main">
          <x14:cfRule type="expression" priority="2280" id="{8375F664-DA57-42F4-B051-F8651FA38466}">
            <xm:f>'G:\Users\GEC\Documents\LUZ\[Copia de 20200615.xlsx]DATOS'!#REF!="NO"</xm:f>
            <x14:dxf>
              <border>
                <left/>
                <right/>
                <top/>
                <bottom/>
                <vertical/>
                <horizontal/>
              </border>
            </x14:dxf>
          </x14:cfRule>
          <xm:sqref>AK209</xm:sqref>
        </x14:conditionalFormatting>
        <x14:conditionalFormatting xmlns:xm="http://schemas.microsoft.com/office/excel/2006/main">
          <x14:cfRule type="expression" priority="2279" id="{484F132D-9468-45C6-9165-80C0C41243BE}">
            <xm:f>OR('G:\Users\GEC\Documents\LUZ\[Copia de 20200615.xlsx]AUX'!#REF!=TRUE,'G:\Users\GEC\Documents\LUZ\[Copia de 20200615.xlsx]AUX'!#REF!=TRUE)</xm:f>
            <x14:dxf>
              <font>
                <color theme="0"/>
              </font>
              <fill>
                <patternFill>
                  <bgColor theme="0"/>
                </patternFill>
              </fill>
              <border>
                <left/>
                <right/>
                <top/>
                <bottom/>
                <vertical/>
                <horizontal/>
              </border>
            </x14:dxf>
          </x14:cfRule>
          <xm:sqref>AJ209:AK209</xm:sqref>
        </x14:conditionalFormatting>
        <x14:conditionalFormatting xmlns:xm="http://schemas.microsoft.com/office/excel/2006/main">
          <x14:cfRule type="expression" priority="2276" id="{AEE2F08A-F57A-402B-A8AF-DD5FEC5BACB8}">
            <xm:f>OR('G:\Users\GEC\Documents\LUZ\[Copia de 20200615.xlsx]AUX'!#REF!=TRUE,'G:\Users\GEC\Documents\LUZ\[Copia de 20200615.xlsx]AUX'!#REF!=TRUE)</xm:f>
            <x14:dxf>
              <font>
                <color theme="0"/>
              </font>
              <fill>
                <patternFill>
                  <bgColor theme="0"/>
                </patternFill>
              </fill>
              <border>
                <left/>
                <right/>
                <top/>
                <bottom/>
                <vertical/>
                <horizontal/>
              </border>
            </x14:dxf>
          </x14:cfRule>
          <xm:sqref>AL209</xm:sqref>
        </x14:conditionalFormatting>
        <x14:conditionalFormatting xmlns:xm="http://schemas.microsoft.com/office/excel/2006/main">
          <x14:cfRule type="expression" priority="2274" id="{09E059B1-67B1-4077-BE81-C4D96C73B571}">
            <xm:f>OR('G:\Users\GEC\Documents\LUZ\[Copia de 20200615.xlsx]AUX'!#REF!=TRUE,'G:\Users\GEC\Documents\LUZ\[Copia de 20200615.xlsx]AUX'!#REF!=TRUE)</xm:f>
            <x14:dxf>
              <font>
                <color theme="0"/>
              </font>
              <fill>
                <patternFill>
                  <bgColor theme="0"/>
                </patternFill>
              </fill>
              <border>
                <left/>
                <right/>
                <top/>
                <bottom/>
                <vertical/>
                <horizontal/>
              </border>
            </x14:dxf>
          </x14:cfRule>
          <xm:sqref>X219:AO220</xm:sqref>
        </x14:conditionalFormatting>
        <x14:conditionalFormatting xmlns:xm="http://schemas.microsoft.com/office/excel/2006/main">
          <x14:cfRule type="expression" priority="2270" id="{08531B39-7D09-4558-A817-7ABE0F62ACB1}">
            <xm:f>'G:\Users\GEC\Documents\LUZ\[Copia de 20200615.xlsx]DATOS'!#REF!="NO"</xm:f>
            <x14:dxf>
              <border>
                <left/>
                <right/>
                <top/>
                <bottom/>
                <vertical/>
                <horizontal/>
              </border>
            </x14:dxf>
          </x14:cfRule>
          <xm:sqref>AE242 AE239 AE236 AE218 AE215 AE212</xm:sqref>
        </x14:conditionalFormatting>
        <x14:conditionalFormatting xmlns:xm="http://schemas.microsoft.com/office/excel/2006/main">
          <x14:cfRule type="expression" priority="2269" id="{F9BCAC7D-DFBC-48B5-BF87-140A5C3A7F99}">
            <xm:f>OR('G:\Users\GEC\Documents\LUZ\[Copia de 20200615.xlsx]AUX'!#REF!=TRUE,'G:\Users\GEC\Documents\LUZ\[Copia de 20200615.xlsx]AUX'!#REF!=TRUE)</xm:f>
            <x14:dxf>
              <font>
                <color theme="0"/>
              </font>
              <fill>
                <patternFill>
                  <bgColor theme="0"/>
                </patternFill>
              </fill>
              <border>
                <left/>
                <right/>
                <top/>
                <bottom/>
                <vertical/>
                <horizontal/>
              </border>
            </x14:dxf>
          </x14:cfRule>
          <xm:sqref>AD242:AE242 AD239:AE239 AD236:AE236 AD218:AE218 AD215:AE215 AD212:AE212</xm:sqref>
        </x14:conditionalFormatting>
        <x14:conditionalFormatting xmlns:xm="http://schemas.microsoft.com/office/excel/2006/main">
          <x14:cfRule type="expression" priority="2266" id="{46630D36-594A-4C29-BEA3-38D705B57339}">
            <xm:f>OR('G:\Users\GEC\Documents\LUZ\[Copia de 20200615.xlsx]AUX'!#REF!=TRUE,'G:\Users\GEC\Documents\LUZ\[Copia de 20200615.xlsx]AUX'!#REF!=TRUE)</xm:f>
            <x14:dxf>
              <font>
                <color theme="0"/>
              </font>
              <fill>
                <patternFill>
                  <bgColor theme="0"/>
                </patternFill>
              </fill>
              <border>
                <left/>
                <right/>
                <top/>
                <bottom/>
                <vertical/>
                <horizontal/>
              </border>
            </x14:dxf>
          </x14:cfRule>
          <xm:sqref>AF242 AF239 AF236 AF218 AF215 AF212</xm:sqref>
        </x14:conditionalFormatting>
        <x14:conditionalFormatting xmlns:xm="http://schemas.microsoft.com/office/excel/2006/main">
          <x14:cfRule type="expression" priority="2265" id="{ABB9F1AE-1F44-473F-95AC-F31FCB557629}">
            <xm:f>'G:\Users\GEC\Documents\LUZ\[Copia de 20200615.xlsx]DATOS'!#REF!="NO"</xm:f>
            <x14:dxf>
              <border>
                <left/>
                <right/>
                <top/>
                <bottom/>
                <vertical/>
                <horizontal/>
              </border>
            </x14:dxf>
          </x14:cfRule>
          <xm:sqref>AK242 AK239 AK236 AK218 AK215 AK212</xm:sqref>
        </x14:conditionalFormatting>
        <x14:conditionalFormatting xmlns:xm="http://schemas.microsoft.com/office/excel/2006/main">
          <x14:cfRule type="expression" priority="2264" id="{E747C18A-8EAA-4628-9F31-A9ABE184FB33}">
            <xm:f>OR('G:\Users\GEC\Documents\LUZ\[Copia de 20200615.xlsx]AUX'!#REF!=TRUE,'G:\Users\GEC\Documents\LUZ\[Copia de 20200615.xlsx]AUX'!#REF!=TRUE)</xm:f>
            <x14:dxf>
              <font>
                <color theme="0"/>
              </font>
              <fill>
                <patternFill>
                  <bgColor theme="0"/>
                </patternFill>
              </fill>
              <border>
                <left/>
                <right/>
                <top/>
                <bottom/>
                <vertical/>
                <horizontal/>
              </border>
            </x14:dxf>
          </x14:cfRule>
          <xm:sqref>AJ242:AK242 AJ239:AK239 AJ236:AK236 AJ218:AK218 AJ215:AK215 AJ212:AK212</xm:sqref>
        </x14:conditionalFormatting>
        <x14:conditionalFormatting xmlns:xm="http://schemas.microsoft.com/office/excel/2006/main">
          <x14:cfRule type="expression" priority="2261" id="{C9D4429A-8F00-4D72-ACE2-0CCFED6580D1}">
            <xm:f>OR('G:\Users\GEC\Documents\LUZ\[Copia de 20200615.xlsx]AUX'!#REF!=TRUE,'G:\Users\GEC\Documents\LUZ\[Copia de 20200615.xlsx]AUX'!#REF!=TRUE)</xm:f>
            <x14:dxf>
              <font>
                <color theme="0"/>
              </font>
              <fill>
                <patternFill>
                  <bgColor theme="0"/>
                </patternFill>
              </fill>
              <border>
                <left/>
                <right/>
                <top/>
                <bottom/>
                <vertical/>
                <horizontal/>
              </border>
            </x14:dxf>
          </x14:cfRule>
          <xm:sqref>AL242 AL239 AL236 AL218 AL215 AL212</xm:sqref>
        </x14:conditionalFormatting>
        <x14:conditionalFormatting xmlns:xm="http://schemas.microsoft.com/office/excel/2006/main">
          <x14:cfRule type="expression" priority="2259" id="{587B23B5-4718-45D0-B534-076F9633CB1F}">
            <xm:f>OR('G:\Users\GEC\Documents\LUZ\[Copia de 20200615.xlsx]AUX'!#REF!=TRUE,'G:\Users\GEC\Documents\LUZ\[Copia de 20200615.xlsx]AUX'!#REF!=TRUE)</xm:f>
            <x14:dxf>
              <font>
                <color theme="0"/>
              </font>
              <fill>
                <patternFill>
                  <bgColor theme="0"/>
                </patternFill>
              </fill>
              <border>
                <left/>
                <right/>
                <top/>
                <bottom/>
                <vertical/>
                <horizontal/>
              </border>
            </x14:dxf>
          </x14:cfRule>
          <xm:sqref>X246:AO247</xm:sqref>
        </x14:conditionalFormatting>
        <x14:conditionalFormatting xmlns:xm="http://schemas.microsoft.com/office/excel/2006/main">
          <x14:cfRule type="expression" priority="2255" id="{21765724-C7D3-4CEC-B18A-C0911FC27574}">
            <xm:f>'G:\Users\GEC\Documents\LUZ\[Copia de 20200615.xlsx]DATOS'!#REF!="NO"</xm:f>
            <x14:dxf>
              <border>
                <left/>
                <right/>
                <top/>
                <bottom/>
                <vertical/>
                <horizontal/>
              </border>
            </x14:dxf>
          </x14:cfRule>
          <xm:sqref>AE245</xm:sqref>
        </x14:conditionalFormatting>
        <x14:conditionalFormatting xmlns:xm="http://schemas.microsoft.com/office/excel/2006/main">
          <x14:cfRule type="expression" priority="2254" id="{B4496BDD-1C3C-418F-B3CA-41C18F48E7F6}">
            <xm:f>OR('G:\Users\GEC\Documents\LUZ\[Copia de 20200615.xlsx]AUX'!#REF!=TRUE,'G:\Users\GEC\Documents\LUZ\[Copia de 20200615.xlsx]AUX'!#REF!=TRUE)</xm:f>
            <x14:dxf>
              <font>
                <color theme="0"/>
              </font>
              <fill>
                <patternFill>
                  <bgColor theme="0"/>
                </patternFill>
              </fill>
              <border>
                <left/>
                <right/>
                <top/>
                <bottom/>
                <vertical/>
                <horizontal/>
              </border>
            </x14:dxf>
          </x14:cfRule>
          <xm:sqref>AD245:AE245</xm:sqref>
        </x14:conditionalFormatting>
        <x14:conditionalFormatting xmlns:xm="http://schemas.microsoft.com/office/excel/2006/main">
          <x14:cfRule type="expression" priority="2251" id="{4E96038E-EE77-43A3-99B8-E0B8C4372CC8}">
            <xm:f>OR('G:\Users\GEC\Documents\LUZ\[Copia de 20200615.xlsx]AUX'!#REF!=TRUE,'G:\Users\GEC\Documents\LUZ\[Copia de 20200615.xlsx]AUX'!#REF!=TRUE)</xm:f>
            <x14:dxf>
              <font>
                <color theme="0"/>
              </font>
              <fill>
                <patternFill>
                  <bgColor theme="0"/>
                </patternFill>
              </fill>
              <border>
                <left/>
                <right/>
                <top/>
                <bottom/>
                <vertical/>
                <horizontal/>
              </border>
            </x14:dxf>
          </x14:cfRule>
          <xm:sqref>AF245</xm:sqref>
        </x14:conditionalFormatting>
        <x14:conditionalFormatting xmlns:xm="http://schemas.microsoft.com/office/excel/2006/main">
          <x14:cfRule type="expression" priority="2250" id="{504C0053-F83A-4AE0-BA8E-766D7FDFD8A5}">
            <xm:f>'G:\Users\GEC\Documents\LUZ\[Copia de 20200615.xlsx]DATOS'!#REF!="NO"</xm:f>
            <x14:dxf>
              <border>
                <left/>
                <right/>
                <top/>
                <bottom/>
                <vertical/>
                <horizontal/>
              </border>
            </x14:dxf>
          </x14:cfRule>
          <xm:sqref>AK245</xm:sqref>
        </x14:conditionalFormatting>
        <x14:conditionalFormatting xmlns:xm="http://schemas.microsoft.com/office/excel/2006/main">
          <x14:cfRule type="expression" priority="2249" id="{50F767DE-58EE-4C6D-B112-0FE4B3BA3049}">
            <xm:f>OR('G:\Users\GEC\Documents\LUZ\[Copia de 20200615.xlsx]AUX'!#REF!=TRUE,'G:\Users\GEC\Documents\LUZ\[Copia de 20200615.xlsx]AUX'!#REF!=TRUE)</xm:f>
            <x14:dxf>
              <font>
                <color theme="0"/>
              </font>
              <fill>
                <patternFill>
                  <bgColor theme="0"/>
                </patternFill>
              </fill>
              <border>
                <left/>
                <right/>
                <top/>
                <bottom/>
                <vertical/>
                <horizontal/>
              </border>
            </x14:dxf>
          </x14:cfRule>
          <xm:sqref>AJ245:AK245</xm:sqref>
        </x14:conditionalFormatting>
        <x14:conditionalFormatting xmlns:xm="http://schemas.microsoft.com/office/excel/2006/main">
          <x14:cfRule type="expression" priority="2246" id="{9A899952-6EE8-4B40-B80C-6D5E5D1CBC1D}">
            <xm:f>OR('G:\Users\GEC\Documents\LUZ\[Copia de 20200615.xlsx]AUX'!#REF!=TRUE,'G:\Users\GEC\Documents\LUZ\[Copia de 20200615.xlsx]AUX'!#REF!=TRUE)</xm:f>
            <x14:dxf>
              <font>
                <color theme="0"/>
              </font>
              <fill>
                <patternFill>
                  <bgColor theme="0"/>
                </patternFill>
              </fill>
              <border>
                <left/>
                <right/>
                <top/>
                <bottom/>
                <vertical/>
                <horizontal/>
              </border>
            </x14:dxf>
          </x14:cfRule>
          <xm:sqref>AL245</xm:sqref>
        </x14:conditionalFormatting>
        <x14:conditionalFormatting xmlns:xm="http://schemas.microsoft.com/office/excel/2006/main">
          <x14:cfRule type="expression" priority="2229" id="{0B253265-5A1D-4223-8F85-CE237C08D7DD}">
            <xm:f>OR('G:\Users\GEC\Documents\LUZ\[Copia de 20200615.xlsx]AUX'!#REF!=TRUE,'G:\Users\GEC\Documents\LUZ\[Copia de 20200615.xlsx]AUX'!#REF!=TRUE)</xm:f>
            <x14:dxf>
              <font>
                <color theme="0"/>
              </font>
              <fill>
                <patternFill>
                  <bgColor theme="0"/>
                </patternFill>
              </fill>
              <border>
                <left/>
                <right/>
                <top/>
                <bottom/>
                <vertical/>
                <horizontal/>
              </border>
            </x14:dxf>
          </x14:cfRule>
          <xm:sqref>X273:AO274</xm:sqref>
        </x14:conditionalFormatting>
        <x14:conditionalFormatting xmlns:xm="http://schemas.microsoft.com/office/excel/2006/main">
          <x14:cfRule type="expression" priority="2225" id="{BE01825B-64C5-4AB6-BD97-CC7A01296B59}">
            <xm:f>'G:\Users\GEC\Documents\LUZ\[Copia de 20200615.xlsx]DATOS'!#REF!="NO"</xm:f>
            <x14:dxf>
              <border>
                <left/>
                <right/>
                <top/>
                <bottom/>
                <vertical/>
                <horizontal/>
              </border>
            </x14:dxf>
          </x14:cfRule>
          <xm:sqref>AE272 AE269 AE266 AE263</xm:sqref>
        </x14:conditionalFormatting>
        <x14:conditionalFormatting xmlns:xm="http://schemas.microsoft.com/office/excel/2006/main">
          <x14:cfRule type="expression" priority="2224" id="{5F99A6F3-A37A-41D7-B783-DAF51DDF8543}">
            <xm:f>OR('G:\Users\GEC\Documents\LUZ\[Copia de 20200615.xlsx]AUX'!#REF!=TRUE,'G:\Users\GEC\Documents\LUZ\[Copia de 20200615.xlsx]AUX'!#REF!=TRUE)</xm:f>
            <x14:dxf>
              <font>
                <color theme="0"/>
              </font>
              <fill>
                <patternFill>
                  <bgColor theme="0"/>
                </patternFill>
              </fill>
              <border>
                <left/>
                <right/>
                <top/>
                <bottom/>
                <vertical/>
                <horizontal/>
              </border>
            </x14:dxf>
          </x14:cfRule>
          <xm:sqref>AD272:AE272 AD269:AE269 AD266:AE266 AD263:AE263</xm:sqref>
        </x14:conditionalFormatting>
        <x14:conditionalFormatting xmlns:xm="http://schemas.microsoft.com/office/excel/2006/main">
          <x14:cfRule type="expression" priority="2221" id="{4D252603-3651-4C23-96E0-F3A239828593}">
            <xm:f>OR('G:\Users\GEC\Documents\LUZ\[Copia de 20200615.xlsx]AUX'!#REF!=TRUE,'G:\Users\GEC\Documents\LUZ\[Copia de 20200615.xlsx]AUX'!#REF!=TRUE)</xm:f>
            <x14:dxf>
              <font>
                <color theme="0"/>
              </font>
              <fill>
                <patternFill>
                  <bgColor theme="0"/>
                </patternFill>
              </fill>
              <border>
                <left/>
                <right/>
                <top/>
                <bottom/>
                <vertical/>
                <horizontal/>
              </border>
            </x14:dxf>
          </x14:cfRule>
          <xm:sqref>AF272 AF269 AF266 AF263</xm:sqref>
        </x14:conditionalFormatting>
        <x14:conditionalFormatting xmlns:xm="http://schemas.microsoft.com/office/excel/2006/main">
          <x14:cfRule type="expression" priority="2220" id="{5BD76299-810D-4BDB-BC5A-8B6DEEAEC629}">
            <xm:f>'G:\Users\GEC\Documents\LUZ\[Copia de 20200615.xlsx]DATOS'!#REF!="NO"</xm:f>
            <x14:dxf>
              <border>
                <left/>
                <right/>
                <top/>
                <bottom/>
                <vertical/>
                <horizontal/>
              </border>
            </x14:dxf>
          </x14:cfRule>
          <xm:sqref>AK272 AK269 AK266 AK263</xm:sqref>
        </x14:conditionalFormatting>
        <x14:conditionalFormatting xmlns:xm="http://schemas.microsoft.com/office/excel/2006/main">
          <x14:cfRule type="expression" priority="2219" id="{AA5F0B79-B63E-4A6B-8410-171AEDD77A4A}">
            <xm:f>OR('G:\Users\GEC\Documents\LUZ\[Copia de 20200615.xlsx]AUX'!#REF!=TRUE,'G:\Users\GEC\Documents\LUZ\[Copia de 20200615.xlsx]AUX'!#REF!=TRUE)</xm:f>
            <x14:dxf>
              <font>
                <color theme="0"/>
              </font>
              <fill>
                <patternFill>
                  <bgColor theme="0"/>
                </patternFill>
              </fill>
              <border>
                <left/>
                <right/>
                <top/>
                <bottom/>
                <vertical/>
                <horizontal/>
              </border>
            </x14:dxf>
          </x14:cfRule>
          <xm:sqref>AJ272:AK272 AJ269:AK269 AJ266:AK266 AJ263:AK263</xm:sqref>
        </x14:conditionalFormatting>
        <x14:conditionalFormatting xmlns:xm="http://schemas.microsoft.com/office/excel/2006/main">
          <x14:cfRule type="expression" priority="2216" id="{775E5CB4-0066-4940-AE68-3C89A5F18A05}">
            <xm:f>OR('G:\Users\GEC\Documents\LUZ\[Copia de 20200615.xlsx]AUX'!#REF!=TRUE,'G:\Users\GEC\Documents\LUZ\[Copia de 20200615.xlsx]AUX'!#REF!=TRUE)</xm:f>
            <x14:dxf>
              <font>
                <color theme="0"/>
              </font>
              <fill>
                <patternFill>
                  <bgColor theme="0"/>
                </patternFill>
              </fill>
              <border>
                <left/>
                <right/>
                <top/>
                <bottom/>
                <vertical/>
                <horizontal/>
              </border>
            </x14:dxf>
          </x14:cfRule>
          <xm:sqref>AL272 AL269 AL266 AL263</xm:sqref>
        </x14:conditionalFormatting>
        <x14:conditionalFormatting xmlns:xm="http://schemas.microsoft.com/office/excel/2006/main">
          <x14:cfRule type="expression" priority="2195" id="{E90E04B6-6205-4D6D-9D67-E6BA45C83543}">
            <xm:f>'G:\Users\GEC\Documents\LUZ\[Copia de 20200615.xlsx]DATOS'!#REF!="NO"</xm:f>
            <x14:dxf>
              <border>
                <left/>
                <right/>
                <top/>
                <bottom/>
                <vertical/>
                <horizontal/>
              </border>
            </x14:dxf>
          </x14:cfRule>
          <xm:sqref>AE290</xm:sqref>
        </x14:conditionalFormatting>
        <x14:conditionalFormatting xmlns:xm="http://schemas.microsoft.com/office/excel/2006/main">
          <x14:cfRule type="expression" priority="2194" id="{BAEB775C-50DE-4D15-B5A0-C220B7F375CD}">
            <xm:f>OR('G:\Users\GEC\Documents\LUZ\[Copia de 20200615.xlsx]AUX'!#REF!=TRUE,'G:\Users\GEC\Documents\LUZ\[Copia de 20200615.xlsx]AUX'!#REF!=TRUE)</xm:f>
            <x14:dxf>
              <font>
                <color theme="0"/>
              </font>
              <fill>
                <patternFill>
                  <bgColor theme="0"/>
                </patternFill>
              </fill>
              <border>
                <left/>
                <right/>
                <top/>
                <bottom/>
                <vertical/>
                <horizontal/>
              </border>
            </x14:dxf>
          </x14:cfRule>
          <xm:sqref>AD290:AE290</xm:sqref>
        </x14:conditionalFormatting>
        <x14:conditionalFormatting xmlns:xm="http://schemas.microsoft.com/office/excel/2006/main">
          <x14:cfRule type="expression" priority="2191" id="{FABD4387-5BC1-414E-88CD-4AB166572FA0}">
            <xm:f>OR('G:\Users\GEC\Documents\LUZ\[Copia de 20200615.xlsx]AUX'!#REF!=TRUE,'G:\Users\GEC\Documents\LUZ\[Copia de 20200615.xlsx]AUX'!#REF!=TRUE)</xm:f>
            <x14:dxf>
              <font>
                <color theme="0"/>
              </font>
              <fill>
                <patternFill>
                  <bgColor theme="0"/>
                </patternFill>
              </fill>
              <border>
                <left/>
                <right/>
                <top/>
                <bottom/>
                <vertical/>
                <horizontal/>
              </border>
            </x14:dxf>
          </x14:cfRule>
          <xm:sqref>AF290</xm:sqref>
        </x14:conditionalFormatting>
        <x14:conditionalFormatting xmlns:xm="http://schemas.microsoft.com/office/excel/2006/main">
          <x14:cfRule type="expression" priority="2190" id="{669319C0-32FC-46CE-8E69-621378FCB458}">
            <xm:f>'G:\Users\GEC\Documents\LUZ\[Copia de 20200615.xlsx]DATOS'!#REF!="NO"</xm:f>
            <x14:dxf>
              <border>
                <left/>
                <right/>
                <top/>
                <bottom/>
                <vertical/>
                <horizontal/>
              </border>
            </x14:dxf>
          </x14:cfRule>
          <xm:sqref>AK290</xm:sqref>
        </x14:conditionalFormatting>
        <x14:conditionalFormatting xmlns:xm="http://schemas.microsoft.com/office/excel/2006/main">
          <x14:cfRule type="expression" priority="2189" id="{D77219BD-F197-401A-8BEC-8B73D5A4543B}">
            <xm:f>OR('G:\Users\GEC\Documents\LUZ\[Copia de 20200615.xlsx]AUX'!#REF!=TRUE,'G:\Users\GEC\Documents\LUZ\[Copia de 20200615.xlsx]AUX'!#REF!=TRUE)</xm:f>
            <x14:dxf>
              <font>
                <color theme="0"/>
              </font>
              <fill>
                <patternFill>
                  <bgColor theme="0"/>
                </patternFill>
              </fill>
              <border>
                <left/>
                <right/>
                <top/>
                <bottom/>
                <vertical/>
                <horizontal/>
              </border>
            </x14:dxf>
          </x14:cfRule>
          <xm:sqref>AJ290:AK290</xm:sqref>
        </x14:conditionalFormatting>
        <x14:conditionalFormatting xmlns:xm="http://schemas.microsoft.com/office/excel/2006/main">
          <x14:cfRule type="expression" priority="2186" id="{14476BF0-900A-4F38-BE8A-DC7663E996E1}">
            <xm:f>OR('G:\Users\GEC\Documents\LUZ\[Copia de 20200615.xlsx]AUX'!#REF!=TRUE,'G:\Users\GEC\Documents\LUZ\[Copia de 20200615.xlsx]AUX'!#REF!=TRUE)</xm:f>
            <x14:dxf>
              <font>
                <color theme="0"/>
              </font>
              <fill>
                <patternFill>
                  <bgColor theme="0"/>
                </patternFill>
              </fill>
              <border>
                <left/>
                <right/>
                <top/>
                <bottom/>
                <vertical/>
                <horizontal/>
              </border>
            </x14:dxf>
          </x14:cfRule>
          <xm:sqref>AL290</xm:sqref>
        </x14:conditionalFormatting>
        <x14:conditionalFormatting xmlns:xm="http://schemas.microsoft.com/office/excel/2006/main">
          <x14:cfRule type="expression" priority="2184" id="{67A7EEF9-A3C9-46CB-9A4D-E0EF3CFA1CEF}">
            <xm:f>OR('G:\Users\GEC\Documents\LUZ\[Copia de 20200615.xlsx]AUX'!#REF!=TRUE,'G:\Users\GEC\Documents\LUZ\[Copia de 20200615.xlsx]AUX'!#REF!=TRUE)</xm:f>
            <x14:dxf>
              <font>
                <color theme="0"/>
              </font>
              <fill>
                <patternFill>
                  <bgColor theme="0"/>
                </patternFill>
              </fill>
              <border>
                <left/>
                <right/>
                <top/>
                <bottom/>
                <vertical/>
                <horizontal/>
              </border>
            </x14:dxf>
          </x14:cfRule>
          <xm:sqref>X300:AO301</xm:sqref>
        </x14:conditionalFormatting>
        <x14:conditionalFormatting xmlns:xm="http://schemas.microsoft.com/office/excel/2006/main">
          <x14:cfRule type="expression" priority="2180" id="{DA3CC236-241D-4028-A683-2DB1DE8B5630}">
            <xm:f>'G:\Users\GEC\Documents\LUZ\[Copia de 20200615.xlsx]DATOS'!#REF!="NO"</xm:f>
            <x14:dxf>
              <border>
                <left/>
                <right/>
                <top/>
                <bottom/>
                <vertical/>
                <horizontal/>
              </border>
            </x14:dxf>
          </x14:cfRule>
          <xm:sqref>AE323 AE320 AE317 AE299 AE296 AE293</xm:sqref>
        </x14:conditionalFormatting>
        <x14:conditionalFormatting xmlns:xm="http://schemas.microsoft.com/office/excel/2006/main">
          <x14:cfRule type="expression" priority="2179" id="{DD88B870-00DA-4005-BA6B-832ADD5A6AB9}">
            <xm:f>OR('G:\Users\GEC\Documents\LUZ\[Copia de 20200615.xlsx]AUX'!#REF!=TRUE,'G:\Users\GEC\Documents\LUZ\[Copia de 20200615.xlsx]AUX'!#REF!=TRUE)</xm:f>
            <x14:dxf>
              <font>
                <color theme="0"/>
              </font>
              <fill>
                <patternFill>
                  <bgColor theme="0"/>
                </patternFill>
              </fill>
              <border>
                <left/>
                <right/>
                <top/>
                <bottom/>
                <vertical/>
                <horizontal/>
              </border>
            </x14:dxf>
          </x14:cfRule>
          <xm:sqref>AD323:AE323 AD320:AE320 AD317:AE317 AD299:AE299 AD296:AE296 AD293:AE293</xm:sqref>
        </x14:conditionalFormatting>
        <x14:conditionalFormatting xmlns:xm="http://schemas.microsoft.com/office/excel/2006/main">
          <x14:cfRule type="expression" priority="2176" id="{F4C03521-94BE-46E2-8C7C-96A5858462CF}">
            <xm:f>OR('G:\Users\GEC\Documents\LUZ\[Copia de 20200615.xlsx]AUX'!#REF!=TRUE,'G:\Users\GEC\Documents\LUZ\[Copia de 20200615.xlsx]AUX'!#REF!=TRUE)</xm:f>
            <x14:dxf>
              <font>
                <color theme="0"/>
              </font>
              <fill>
                <patternFill>
                  <bgColor theme="0"/>
                </patternFill>
              </fill>
              <border>
                <left/>
                <right/>
                <top/>
                <bottom/>
                <vertical/>
                <horizontal/>
              </border>
            </x14:dxf>
          </x14:cfRule>
          <xm:sqref>AF323 AF320 AF317 AF299 AF296 AF293</xm:sqref>
        </x14:conditionalFormatting>
        <x14:conditionalFormatting xmlns:xm="http://schemas.microsoft.com/office/excel/2006/main">
          <x14:cfRule type="expression" priority="2175" id="{BCA940D6-A57B-422C-8255-BCF08AC1C8E9}">
            <xm:f>'G:\Users\GEC\Documents\LUZ\[Copia de 20200615.xlsx]DATOS'!#REF!="NO"</xm:f>
            <x14:dxf>
              <border>
                <left/>
                <right/>
                <top/>
                <bottom/>
                <vertical/>
                <horizontal/>
              </border>
            </x14:dxf>
          </x14:cfRule>
          <xm:sqref>AK323 AK320 AK317 AK299 AK296 AK293</xm:sqref>
        </x14:conditionalFormatting>
        <x14:conditionalFormatting xmlns:xm="http://schemas.microsoft.com/office/excel/2006/main">
          <x14:cfRule type="expression" priority="2174" id="{4D81A272-01A6-4F27-B977-51F7C8E213AC}">
            <xm:f>OR('G:\Users\GEC\Documents\LUZ\[Copia de 20200615.xlsx]AUX'!#REF!=TRUE,'G:\Users\GEC\Documents\LUZ\[Copia de 20200615.xlsx]AUX'!#REF!=TRUE)</xm:f>
            <x14:dxf>
              <font>
                <color theme="0"/>
              </font>
              <fill>
                <patternFill>
                  <bgColor theme="0"/>
                </patternFill>
              </fill>
              <border>
                <left/>
                <right/>
                <top/>
                <bottom/>
                <vertical/>
                <horizontal/>
              </border>
            </x14:dxf>
          </x14:cfRule>
          <xm:sqref>AJ323:AK323 AJ320:AK320 AJ317:AK317 AJ299:AK299 AJ296:AK296 AJ293:AK293</xm:sqref>
        </x14:conditionalFormatting>
        <x14:conditionalFormatting xmlns:xm="http://schemas.microsoft.com/office/excel/2006/main">
          <x14:cfRule type="expression" priority="2171" id="{2CD03979-82F8-45AC-949F-AC9E47F4128C}">
            <xm:f>OR('G:\Users\GEC\Documents\LUZ\[Copia de 20200615.xlsx]AUX'!#REF!=TRUE,'G:\Users\GEC\Documents\LUZ\[Copia de 20200615.xlsx]AUX'!#REF!=TRUE)</xm:f>
            <x14:dxf>
              <font>
                <color theme="0"/>
              </font>
              <fill>
                <patternFill>
                  <bgColor theme="0"/>
                </patternFill>
              </fill>
              <border>
                <left/>
                <right/>
                <top/>
                <bottom/>
                <vertical/>
                <horizontal/>
              </border>
            </x14:dxf>
          </x14:cfRule>
          <xm:sqref>AL323 AL320 AL317 AL299 AL296 AL293</xm:sqref>
        </x14:conditionalFormatting>
        <x14:conditionalFormatting xmlns:xm="http://schemas.microsoft.com/office/excel/2006/main">
          <x14:cfRule type="expression" priority="2169" id="{AB7021AF-67C5-4D46-928E-7FFE61BAF395}">
            <xm:f>OR('G:\Users\GEC\Documents\LUZ\[Copia de 20200615.xlsx]AUX'!#REF!=TRUE,'G:\Users\GEC\Documents\LUZ\[Copia de 20200615.xlsx]AUX'!#REF!=TRUE)</xm:f>
            <x14:dxf>
              <font>
                <color theme="0"/>
              </font>
              <fill>
                <patternFill>
                  <bgColor theme="0"/>
                </patternFill>
              </fill>
              <border>
                <left/>
                <right/>
                <top/>
                <bottom/>
                <vertical/>
                <horizontal/>
              </border>
            </x14:dxf>
          </x14:cfRule>
          <xm:sqref>X327:AO328</xm:sqref>
        </x14:conditionalFormatting>
        <x14:conditionalFormatting xmlns:xm="http://schemas.microsoft.com/office/excel/2006/main">
          <x14:cfRule type="expression" priority="2165" id="{DBC689E8-0E80-4B32-A2C9-7573A031E52B}">
            <xm:f>'G:\Users\GEC\Documents\LUZ\[Copia de 20200615.xlsx]DATOS'!#REF!="NO"</xm:f>
            <x14:dxf>
              <border>
                <left/>
                <right/>
                <top/>
                <bottom/>
                <vertical/>
                <horizontal/>
              </border>
            </x14:dxf>
          </x14:cfRule>
          <xm:sqref>AE326</xm:sqref>
        </x14:conditionalFormatting>
        <x14:conditionalFormatting xmlns:xm="http://schemas.microsoft.com/office/excel/2006/main">
          <x14:cfRule type="expression" priority="2164" id="{E1CB0017-EE4E-4ADE-AE89-47120A179C85}">
            <xm:f>OR('G:\Users\GEC\Documents\LUZ\[Copia de 20200615.xlsx]AUX'!#REF!=TRUE,'G:\Users\GEC\Documents\LUZ\[Copia de 20200615.xlsx]AUX'!#REF!=TRUE)</xm:f>
            <x14:dxf>
              <font>
                <color theme="0"/>
              </font>
              <fill>
                <patternFill>
                  <bgColor theme="0"/>
                </patternFill>
              </fill>
              <border>
                <left/>
                <right/>
                <top/>
                <bottom/>
                <vertical/>
                <horizontal/>
              </border>
            </x14:dxf>
          </x14:cfRule>
          <xm:sqref>AD326:AE326</xm:sqref>
        </x14:conditionalFormatting>
        <x14:conditionalFormatting xmlns:xm="http://schemas.microsoft.com/office/excel/2006/main">
          <x14:cfRule type="expression" priority="2161" id="{A6AFBC47-A9B4-453D-A25E-099C53A888D1}">
            <xm:f>OR('G:\Users\GEC\Documents\LUZ\[Copia de 20200615.xlsx]AUX'!#REF!=TRUE,'G:\Users\GEC\Documents\LUZ\[Copia de 20200615.xlsx]AUX'!#REF!=TRUE)</xm:f>
            <x14:dxf>
              <font>
                <color theme="0"/>
              </font>
              <fill>
                <patternFill>
                  <bgColor theme="0"/>
                </patternFill>
              </fill>
              <border>
                <left/>
                <right/>
                <top/>
                <bottom/>
                <vertical/>
                <horizontal/>
              </border>
            </x14:dxf>
          </x14:cfRule>
          <xm:sqref>AF326</xm:sqref>
        </x14:conditionalFormatting>
        <x14:conditionalFormatting xmlns:xm="http://schemas.microsoft.com/office/excel/2006/main">
          <x14:cfRule type="expression" priority="2160" id="{2A2ED70B-2D80-45B4-BDE3-6D6B32D028B5}">
            <xm:f>'G:\Users\GEC\Documents\LUZ\[Copia de 20200615.xlsx]DATOS'!#REF!="NO"</xm:f>
            <x14:dxf>
              <border>
                <left/>
                <right/>
                <top/>
                <bottom/>
                <vertical/>
                <horizontal/>
              </border>
            </x14:dxf>
          </x14:cfRule>
          <xm:sqref>AK326</xm:sqref>
        </x14:conditionalFormatting>
        <x14:conditionalFormatting xmlns:xm="http://schemas.microsoft.com/office/excel/2006/main">
          <x14:cfRule type="expression" priority="2159" id="{2843F157-D28A-489D-97D5-CF89A6F2D168}">
            <xm:f>OR('G:\Users\GEC\Documents\LUZ\[Copia de 20200615.xlsx]AUX'!#REF!=TRUE,'G:\Users\GEC\Documents\LUZ\[Copia de 20200615.xlsx]AUX'!#REF!=TRUE)</xm:f>
            <x14:dxf>
              <font>
                <color theme="0"/>
              </font>
              <fill>
                <patternFill>
                  <bgColor theme="0"/>
                </patternFill>
              </fill>
              <border>
                <left/>
                <right/>
                <top/>
                <bottom/>
                <vertical/>
                <horizontal/>
              </border>
            </x14:dxf>
          </x14:cfRule>
          <xm:sqref>AJ326:AK326</xm:sqref>
        </x14:conditionalFormatting>
        <x14:conditionalFormatting xmlns:xm="http://schemas.microsoft.com/office/excel/2006/main">
          <x14:cfRule type="expression" priority="2156" id="{02BBB98F-2157-4DFC-B045-8BF66CFA2781}">
            <xm:f>OR('G:\Users\GEC\Documents\LUZ\[Copia de 20200615.xlsx]AUX'!#REF!=TRUE,'G:\Users\GEC\Documents\LUZ\[Copia de 20200615.xlsx]AUX'!#REF!=TRUE)</xm:f>
            <x14:dxf>
              <font>
                <color theme="0"/>
              </font>
              <fill>
                <patternFill>
                  <bgColor theme="0"/>
                </patternFill>
              </fill>
              <border>
                <left/>
                <right/>
                <top/>
                <bottom/>
                <vertical/>
                <horizontal/>
              </border>
            </x14:dxf>
          </x14:cfRule>
          <xm:sqref>AL326</xm:sqref>
        </x14:conditionalFormatting>
        <x14:conditionalFormatting xmlns:xm="http://schemas.microsoft.com/office/excel/2006/main">
          <x14:cfRule type="expression" priority="2139" id="{0E269203-C177-4B2A-BCE2-D5194F3BADE0}">
            <xm:f>OR('G:\Users\GEC\Documents\LUZ\[Copia de 20200615.xlsx]AUX'!#REF!=TRUE,'G:\Users\GEC\Documents\LUZ\[Copia de 20200615.xlsx]AUX'!#REF!=TRUE)</xm:f>
            <x14:dxf>
              <font>
                <color theme="0"/>
              </font>
              <fill>
                <patternFill>
                  <bgColor theme="0"/>
                </patternFill>
              </fill>
              <border>
                <left/>
                <right/>
                <top/>
                <bottom/>
                <vertical/>
                <horizontal/>
              </border>
            </x14:dxf>
          </x14:cfRule>
          <xm:sqref>X354:AO355</xm:sqref>
        </x14:conditionalFormatting>
        <x14:conditionalFormatting xmlns:xm="http://schemas.microsoft.com/office/excel/2006/main">
          <x14:cfRule type="expression" priority="2135" id="{0F2F3B10-5FE7-4E07-B634-27CD28396ED7}">
            <xm:f>'G:\Users\GEC\Documents\LUZ\[Copia de 20200615.xlsx]DATOS'!#REF!="NO"</xm:f>
            <x14:dxf>
              <border>
                <left/>
                <right/>
                <top/>
                <bottom/>
                <vertical/>
                <horizontal/>
              </border>
            </x14:dxf>
          </x14:cfRule>
          <xm:sqref>AE353 AE350 AE347 AE344</xm:sqref>
        </x14:conditionalFormatting>
        <x14:conditionalFormatting xmlns:xm="http://schemas.microsoft.com/office/excel/2006/main">
          <x14:cfRule type="expression" priority="2134" id="{8636C96F-8165-4298-A3F4-C1956B0AF3B1}">
            <xm:f>OR('G:\Users\GEC\Documents\LUZ\[Copia de 20200615.xlsx]AUX'!#REF!=TRUE,'G:\Users\GEC\Documents\LUZ\[Copia de 20200615.xlsx]AUX'!#REF!=TRUE)</xm:f>
            <x14:dxf>
              <font>
                <color theme="0"/>
              </font>
              <fill>
                <patternFill>
                  <bgColor theme="0"/>
                </patternFill>
              </fill>
              <border>
                <left/>
                <right/>
                <top/>
                <bottom/>
                <vertical/>
                <horizontal/>
              </border>
            </x14:dxf>
          </x14:cfRule>
          <xm:sqref>AD353:AE353 AD350:AE350 AD347:AE347 AD344:AE344</xm:sqref>
        </x14:conditionalFormatting>
        <x14:conditionalFormatting xmlns:xm="http://schemas.microsoft.com/office/excel/2006/main">
          <x14:cfRule type="expression" priority="2131" id="{9A494A13-637F-4171-8E6E-84D322D324D2}">
            <xm:f>OR('G:\Users\GEC\Documents\LUZ\[Copia de 20200615.xlsx]AUX'!#REF!=TRUE,'G:\Users\GEC\Documents\LUZ\[Copia de 20200615.xlsx]AUX'!#REF!=TRUE)</xm:f>
            <x14:dxf>
              <font>
                <color theme="0"/>
              </font>
              <fill>
                <patternFill>
                  <bgColor theme="0"/>
                </patternFill>
              </fill>
              <border>
                <left/>
                <right/>
                <top/>
                <bottom/>
                <vertical/>
                <horizontal/>
              </border>
            </x14:dxf>
          </x14:cfRule>
          <xm:sqref>AF353 AF350 AF347 AF344</xm:sqref>
        </x14:conditionalFormatting>
        <x14:conditionalFormatting xmlns:xm="http://schemas.microsoft.com/office/excel/2006/main">
          <x14:cfRule type="expression" priority="2130" id="{5C05D83E-B56B-4537-977F-0A50B3B356A6}">
            <xm:f>'G:\Users\GEC\Documents\LUZ\[Copia de 20200615.xlsx]DATOS'!#REF!="NO"</xm:f>
            <x14:dxf>
              <border>
                <left/>
                <right/>
                <top/>
                <bottom/>
                <vertical/>
                <horizontal/>
              </border>
            </x14:dxf>
          </x14:cfRule>
          <xm:sqref>AK353 AK350 AK347 AK344</xm:sqref>
        </x14:conditionalFormatting>
        <x14:conditionalFormatting xmlns:xm="http://schemas.microsoft.com/office/excel/2006/main">
          <x14:cfRule type="expression" priority="2129" id="{A7813BE5-9776-43F0-83CB-75EE36DFBC9D}">
            <xm:f>OR('G:\Users\GEC\Documents\LUZ\[Copia de 20200615.xlsx]AUX'!#REF!=TRUE,'G:\Users\GEC\Documents\LUZ\[Copia de 20200615.xlsx]AUX'!#REF!=TRUE)</xm:f>
            <x14:dxf>
              <font>
                <color theme="0"/>
              </font>
              <fill>
                <patternFill>
                  <bgColor theme="0"/>
                </patternFill>
              </fill>
              <border>
                <left/>
                <right/>
                <top/>
                <bottom/>
                <vertical/>
                <horizontal/>
              </border>
            </x14:dxf>
          </x14:cfRule>
          <xm:sqref>AJ353:AK353 AJ350:AK350 AJ347:AK347 AJ344:AK344</xm:sqref>
        </x14:conditionalFormatting>
        <x14:conditionalFormatting xmlns:xm="http://schemas.microsoft.com/office/excel/2006/main">
          <x14:cfRule type="expression" priority="2126" id="{F9277396-3892-49B1-845A-FEC9BD8C2441}">
            <xm:f>OR('G:\Users\GEC\Documents\LUZ\[Copia de 20200615.xlsx]AUX'!#REF!=TRUE,'G:\Users\GEC\Documents\LUZ\[Copia de 20200615.xlsx]AUX'!#REF!=TRUE)</xm:f>
            <x14:dxf>
              <font>
                <color theme="0"/>
              </font>
              <fill>
                <patternFill>
                  <bgColor theme="0"/>
                </patternFill>
              </fill>
              <border>
                <left/>
                <right/>
                <top/>
                <bottom/>
                <vertical/>
                <horizontal/>
              </border>
            </x14:dxf>
          </x14:cfRule>
          <xm:sqref>AL353 AL350 AL347 AL344</xm:sqref>
        </x14:conditionalFormatting>
        <x14:conditionalFormatting xmlns:xm="http://schemas.microsoft.com/office/excel/2006/main">
          <x14:cfRule type="expression" priority="2105" id="{B87EE247-01AB-4A1B-B59B-04F39F68D3AB}">
            <xm:f>'G:\Users\GEC\Documents\LUZ\[Copia de 20200615.xlsx]DATOS'!#REF!="NO"</xm:f>
            <x14:dxf>
              <border>
                <left/>
                <right/>
                <top/>
                <bottom/>
                <vertical/>
                <horizontal/>
              </border>
            </x14:dxf>
          </x14:cfRule>
          <xm:sqref>AE371</xm:sqref>
        </x14:conditionalFormatting>
        <x14:conditionalFormatting xmlns:xm="http://schemas.microsoft.com/office/excel/2006/main">
          <x14:cfRule type="expression" priority="2104" id="{EFE5167F-147F-4023-94F9-104DAD5C285F}">
            <xm:f>OR('G:\Users\GEC\Documents\LUZ\[Copia de 20200615.xlsx]AUX'!#REF!=TRUE,'G:\Users\GEC\Documents\LUZ\[Copia de 20200615.xlsx]AUX'!#REF!=TRUE)</xm:f>
            <x14:dxf>
              <font>
                <color theme="0"/>
              </font>
              <fill>
                <patternFill>
                  <bgColor theme="0"/>
                </patternFill>
              </fill>
              <border>
                <left/>
                <right/>
                <top/>
                <bottom/>
                <vertical/>
                <horizontal/>
              </border>
            </x14:dxf>
          </x14:cfRule>
          <xm:sqref>AD371:AE371</xm:sqref>
        </x14:conditionalFormatting>
        <x14:conditionalFormatting xmlns:xm="http://schemas.microsoft.com/office/excel/2006/main">
          <x14:cfRule type="expression" priority="2101" id="{6A737E33-CD7A-40F3-97F8-A31AD6070EAF}">
            <xm:f>OR('G:\Users\GEC\Documents\LUZ\[Copia de 20200615.xlsx]AUX'!#REF!=TRUE,'G:\Users\GEC\Documents\LUZ\[Copia de 20200615.xlsx]AUX'!#REF!=TRUE)</xm:f>
            <x14:dxf>
              <font>
                <color theme="0"/>
              </font>
              <fill>
                <patternFill>
                  <bgColor theme="0"/>
                </patternFill>
              </fill>
              <border>
                <left/>
                <right/>
                <top/>
                <bottom/>
                <vertical/>
                <horizontal/>
              </border>
            </x14:dxf>
          </x14:cfRule>
          <xm:sqref>AF371</xm:sqref>
        </x14:conditionalFormatting>
        <x14:conditionalFormatting xmlns:xm="http://schemas.microsoft.com/office/excel/2006/main">
          <x14:cfRule type="expression" priority="2100" id="{85467102-0CF3-4A2B-8780-5D53F588044C}">
            <xm:f>'G:\Users\GEC\Documents\LUZ\[Copia de 20200615.xlsx]DATOS'!#REF!="NO"</xm:f>
            <x14:dxf>
              <border>
                <left/>
                <right/>
                <top/>
                <bottom/>
                <vertical/>
                <horizontal/>
              </border>
            </x14:dxf>
          </x14:cfRule>
          <xm:sqref>AK371</xm:sqref>
        </x14:conditionalFormatting>
        <x14:conditionalFormatting xmlns:xm="http://schemas.microsoft.com/office/excel/2006/main">
          <x14:cfRule type="expression" priority="2099" id="{2A53E114-370D-4CA3-94FC-638E55FEA361}">
            <xm:f>OR('G:\Users\GEC\Documents\LUZ\[Copia de 20200615.xlsx]AUX'!#REF!=TRUE,'G:\Users\GEC\Documents\LUZ\[Copia de 20200615.xlsx]AUX'!#REF!=TRUE)</xm:f>
            <x14:dxf>
              <font>
                <color theme="0"/>
              </font>
              <fill>
                <patternFill>
                  <bgColor theme="0"/>
                </patternFill>
              </fill>
              <border>
                <left/>
                <right/>
                <top/>
                <bottom/>
                <vertical/>
                <horizontal/>
              </border>
            </x14:dxf>
          </x14:cfRule>
          <xm:sqref>AJ371:AK371</xm:sqref>
        </x14:conditionalFormatting>
        <x14:conditionalFormatting xmlns:xm="http://schemas.microsoft.com/office/excel/2006/main">
          <x14:cfRule type="expression" priority="2096" id="{9AFE6283-10A2-4325-8445-811496976B7C}">
            <xm:f>OR('G:\Users\GEC\Documents\LUZ\[Copia de 20200615.xlsx]AUX'!#REF!=TRUE,'G:\Users\GEC\Documents\LUZ\[Copia de 20200615.xlsx]AUX'!#REF!=TRUE)</xm:f>
            <x14:dxf>
              <font>
                <color theme="0"/>
              </font>
              <fill>
                <patternFill>
                  <bgColor theme="0"/>
                </patternFill>
              </fill>
              <border>
                <left/>
                <right/>
                <top/>
                <bottom/>
                <vertical/>
                <horizontal/>
              </border>
            </x14:dxf>
          </x14:cfRule>
          <xm:sqref>AL371</xm:sqref>
        </x14:conditionalFormatting>
        <x14:conditionalFormatting xmlns:xm="http://schemas.microsoft.com/office/excel/2006/main">
          <x14:cfRule type="expression" priority="2094" id="{899C7805-D653-4B37-8A0C-57B59BBC83C2}">
            <xm:f>OR('G:\Users\GEC\Documents\LUZ\[Copia de 20200615.xlsx]AUX'!#REF!=TRUE,'G:\Users\GEC\Documents\LUZ\[Copia de 20200615.xlsx]AUX'!#REF!=TRUE)</xm:f>
            <x14:dxf>
              <font>
                <color theme="0"/>
              </font>
              <fill>
                <patternFill>
                  <bgColor theme="0"/>
                </patternFill>
              </fill>
              <border>
                <left/>
                <right/>
                <top/>
                <bottom/>
                <vertical/>
                <horizontal/>
              </border>
            </x14:dxf>
          </x14:cfRule>
          <xm:sqref>X381:AO382</xm:sqref>
        </x14:conditionalFormatting>
        <x14:conditionalFormatting xmlns:xm="http://schemas.microsoft.com/office/excel/2006/main">
          <x14:cfRule type="expression" priority="2045" id="{C7CDEAED-B678-4E4A-8963-74F6B1969000}">
            <xm:f>'G:\Users\GEC\Documents\LUZ\[Copia de 20200615.xlsx]DATOS'!#REF!="NO"</xm:f>
            <x14:dxf>
              <border>
                <left/>
                <right/>
                <top/>
                <bottom/>
                <vertical/>
                <horizontal/>
              </border>
            </x14:dxf>
          </x14:cfRule>
          <xm:sqref>Y59</xm:sqref>
        </x14:conditionalFormatting>
        <x14:conditionalFormatting xmlns:xm="http://schemas.microsoft.com/office/excel/2006/main">
          <x14:cfRule type="expression" priority="2044" id="{FEDA9C91-0FA1-4D5B-9E69-8EBD3ED29E99}">
            <xm:f>OR('G:\Users\GEC\Documents\LUZ\[Copia de 20200615.xlsx]AUX'!#REF!=TRUE,'G:\Users\GEC\Documents\LUZ\[Copia de 20200615.xlsx]AUX'!#REF!=TRUE)</xm:f>
            <x14:dxf>
              <font>
                <color theme="0"/>
              </font>
              <fill>
                <patternFill>
                  <bgColor theme="0"/>
                </patternFill>
              </fill>
              <border>
                <left/>
                <right/>
                <top/>
                <bottom/>
                <vertical/>
                <horizontal/>
              </border>
            </x14:dxf>
          </x14:cfRule>
          <xm:sqref>X59:Y59</xm:sqref>
        </x14:conditionalFormatting>
        <x14:conditionalFormatting xmlns:xm="http://schemas.microsoft.com/office/excel/2006/main">
          <x14:cfRule type="expression" priority="2041" id="{475485D6-DE46-48ED-A967-90102C909FB8}">
            <xm:f>OR('G:\Users\GEC\Documents\LUZ\[Copia de 20200615.xlsx]AUX'!#REF!=TRUE,'G:\Users\GEC\Documents\LUZ\[Copia de 20200615.xlsx]AUX'!#REF!=TRUE)</xm:f>
            <x14:dxf>
              <font>
                <color theme="0"/>
              </font>
              <fill>
                <patternFill>
                  <bgColor theme="0"/>
                </patternFill>
              </fill>
              <border>
                <left/>
                <right/>
                <top/>
                <bottom/>
                <vertical/>
                <horizontal/>
              </border>
            </x14:dxf>
          </x14:cfRule>
          <xm:sqref>Z59</xm:sqref>
        </x14:conditionalFormatting>
        <x14:conditionalFormatting xmlns:xm="http://schemas.microsoft.com/office/excel/2006/main">
          <x14:cfRule type="expression" priority="2015" id="{EF78D6DD-F68E-41FB-8790-F280D5780B9C}">
            <xm:f>'G:\Users\GEC\Documents\LUZ\[Copia de 20200615.xlsx]DATOS'!#REF!="NO"</xm:f>
            <x14:dxf>
              <border>
                <left/>
                <right/>
                <top/>
                <bottom/>
                <vertical/>
                <horizontal/>
              </border>
            </x14:dxf>
          </x14:cfRule>
          <xm:sqref>Y86</xm:sqref>
        </x14:conditionalFormatting>
        <x14:conditionalFormatting xmlns:xm="http://schemas.microsoft.com/office/excel/2006/main">
          <x14:cfRule type="expression" priority="2014" id="{251C888E-FF51-4EDB-B5B5-EB6DAAE07315}">
            <xm:f>OR('G:\Users\GEC\Documents\LUZ\[Copia de 20200615.xlsx]AUX'!#REF!=TRUE,'G:\Users\GEC\Documents\LUZ\[Copia de 20200615.xlsx]AUX'!#REF!=TRUE)</xm:f>
            <x14:dxf>
              <font>
                <color theme="0"/>
              </font>
              <fill>
                <patternFill>
                  <bgColor theme="0"/>
                </patternFill>
              </fill>
              <border>
                <left/>
                <right/>
                <top/>
                <bottom/>
                <vertical/>
                <horizontal/>
              </border>
            </x14:dxf>
          </x14:cfRule>
          <xm:sqref>X86:Y86</xm:sqref>
        </x14:conditionalFormatting>
        <x14:conditionalFormatting xmlns:xm="http://schemas.microsoft.com/office/excel/2006/main">
          <x14:cfRule type="expression" priority="2011" id="{F082C5AC-8C4D-48E1-89AB-E99584CE9BEE}">
            <xm:f>OR('G:\Users\GEC\Documents\LUZ\[Copia de 20200615.xlsx]AUX'!#REF!=TRUE,'G:\Users\GEC\Documents\LUZ\[Copia de 20200615.xlsx]AUX'!#REF!=TRUE)</xm:f>
            <x14:dxf>
              <font>
                <color theme="0"/>
              </font>
              <fill>
                <patternFill>
                  <bgColor theme="0"/>
                </patternFill>
              </fill>
              <border>
                <left/>
                <right/>
                <top/>
                <bottom/>
                <vertical/>
                <horizontal/>
              </border>
            </x14:dxf>
          </x14:cfRule>
          <xm:sqref>Z86</xm:sqref>
        </x14:conditionalFormatting>
        <x14:conditionalFormatting xmlns:xm="http://schemas.microsoft.com/office/excel/2006/main">
          <x14:cfRule type="expression" priority="1850" id="{80D449B9-481F-4F1D-A949-600F132EA714}">
            <xm:f>'G:\Users\GEC\Documents\LUZ\[Copia de 20200615.xlsx]DATOS'!#REF!="NO"</xm:f>
            <x14:dxf>
              <border>
                <left/>
                <right/>
                <top/>
                <bottom/>
                <vertical/>
                <horizontal/>
              </border>
            </x14:dxf>
          </x14:cfRule>
          <xm:sqref>Y113</xm:sqref>
        </x14:conditionalFormatting>
        <x14:conditionalFormatting xmlns:xm="http://schemas.microsoft.com/office/excel/2006/main">
          <x14:cfRule type="expression" priority="1849" id="{8BFDB27D-F045-499E-A11D-A7B6EA74BD51}">
            <xm:f>OR('G:\Users\GEC\Documents\LUZ\[Copia de 20200615.xlsx]AUX'!#REF!=TRUE,'G:\Users\GEC\Documents\LUZ\[Copia de 20200615.xlsx]AUX'!#REF!=TRUE)</xm:f>
            <x14:dxf>
              <font>
                <color theme="0"/>
              </font>
              <fill>
                <patternFill>
                  <bgColor theme="0"/>
                </patternFill>
              </fill>
              <border>
                <left/>
                <right/>
                <top/>
                <bottom/>
                <vertical/>
                <horizontal/>
              </border>
            </x14:dxf>
          </x14:cfRule>
          <xm:sqref>X113:Y113</xm:sqref>
        </x14:conditionalFormatting>
        <x14:conditionalFormatting xmlns:xm="http://schemas.microsoft.com/office/excel/2006/main">
          <x14:cfRule type="expression" priority="1846" id="{8B006E8B-AB4F-4FF8-8CDB-5CBFD5DBBA03}">
            <xm:f>OR('G:\Users\GEC\Documents\LUZ\[Copia de 20200615.xlsx]AUX'!#REF!=TRUE,'G:\Users\GEC\Documents\LUZ\[Copia de 20200615.xlsx]AUX'!#REF!=TRUE)</xm:f>
            <x14:dxf>
              <font>
                <color theme="0"/>
              </font>
              <fill>
                <patternFill>
                  <bgColor theme="0"/>
                </patternFill>
              </fill>
              <border>
                <left/>
                <right/>
                <top/>
                <bottom/>
                <vertical/>
                <horizontal/>
              </border>
            </x14:dxf>
          </x14:cfRule>
          <xm:sqref>Z113</xm:sqref>
        </x14:conditionalFormatting>
        <x14:conditionalFormatting xmlns:xm="http://schemas.microsoft.com/office/excel/2006/main">
          <x14:cfRule type="expression" priority="630" id="{FF946373-7EDE-4E1B-AB54-1C7160A1090E}">
            <xm:f>'G:\Users\GEC\Documents\LUZ\[Copia de 20200615.xlsx]DATOS'!#REF!="NO"</xm:f>
            <x14:dxf>
              <border>
                <left/>
                <right/>
                <top/>
                <bottom/>
                <vertical/>
                <horizontal/>
              </border>
            </x14:dxf>
          </x14:cfRule>
          <xm:sqref>AK5</xm:sqref>
        </x14:conditionalFormatting>
        <x14:conditionalFormatting xmlns:xm="http://schemas.microsoft.com/office/excel/2006/main">
          <x14:cfRule type="expression" priority="629" id="{7759AF6C-09F6-4844-B43F-E38A817147BA}">
            <xm:f>OR('G:\Users\GEC\Documents\LUZ\[Copia de 20200615.xlsx]AUX'!#REF!=TRUE,'G:\Users\GEC\Documents\LUZ\[Copia de 20200615.xlsx]AUX'!#REF!=TRUE)</xm:f>
            <x14:dxf>
              <font>
                <color theme="0"/>
              </font>
              <fill>
                <patternFill>
                  <bgColor theme="0"/>
                </patternFill>
              </fill>
              <border>
                <left/>
                <right/>
                <top/>
                <bottom/>
                <vertical/>
                <horizontal/>
              </border>
            </x14:dxf>
          </x14:cfRule>
          <xm:sqref>AJ5:AK5</xm:sqref>
        </x14:conditionalFormatting>
        <x14:conditionalFormatting xmlns:xm="http://schemas.microsoft.com/office/excel/2006/main">
          <x14:cfRule type="expression" priority="626" id="{8903CA82-9D7B-40D7-BFFA-9B8E86D33771}">
            <xm:f>OR('G:\Users\GEC\Documents\LUZ\[Copia de 20200615.xlsx]AUX'!#REF!=TRUE,'G:\Users\GEC\Documents\LUZ\[Copia de 20200615.xlsx]AUX'!#REF!=TRUE)</xm:f>
            <x14:dxf>
              <font>
                <color theme="0"/>
              </font>
              <fill>
                <patternFill>
                  <bgColor theme="0"/>
                </patternFill>
              </fill>
              <border>
                <left/>
                <right/>
                <top/>
                <bottom/>
                <vertical/>
                <horizontal/>
              </border>
            </x14:dxf>
          </x14:cfRule>
          <xm:sqref>AL5</xm:sqref>
        </x14:conditionalFormatting>
        <x14:conditionalFormatting xmlns:xm="http://schemas.microsoft.com/office/excel/2006/main">
          <x14:cfRule type="expression" priority="590" id="{818063F5-3E50-4510-9F02-8A0E9690B599}">
            <xm:f>'G:\Users\GEC\Documents\LUZ\[Copia de 20200615.xlsx]DATOS'!#REF!="NO"</xm:f>
            <x14:dxf>
              <border>
                <left/>
                <right/>
                <top/>
                <bottom/>
                <vertical/>
                <horizontal/>
              </border>
            </x14:dxf>
          </x14:cfRule>
          <xm:sqref>AK8 AK11 AK14 AK17 AE17 AE14 AE11 AE8</xm:sqref>
        </x14:conditionalFormatting>
        <x14:conditionalFormatting xmlns:xm="http://schemas.microsoft.com/office/excel/2006/main">
          <x14:cfRule type="expression" priority="589" id="{96260DA0-00E4-42A3-B3DF-108BAE065C64}">
            <xm:f>OR('G:\Users\GEC\Documents\LUZ\[Copia de 20200615.xlsx]AUX'!#REF!=TRUE,'G:\Users\GEC\Documents\LUZ\[Copia de 20200615.xlsx]AUX'!#REF!=TRUE)</xm:f>
            <x14:dxf>
              <font>
                <color theme="0"/>
              </font>
              <fill>
                <patternFill>
                  <bgColor theme="0"/>
                </patternFill>
              </fill>
              <border>
                <left/>
                <right/>
                <top/>
                <bottom/>
                <vertical/>
                <horizontal/>
              </border>
            </x14:dxf>
          </x14:cfRule>
          <xm:sqref>AJ8:AK8 AJ11:AK11 AJ14:AK14 AJ17:AK17 AD17:AE17 AD14:AE14 AD11:AE11 AD8:AE8</xm:sqref>
        </x14:conditionalFormatting>
        <x14:conditionalFormatting xmlns:xm="http://schemas.microsoft.com/office/excel/2006/main">
          <x14:cfRule type="expression" priority="586" id="{BBE4126B-F114-4356-B69F-D2F2AD6B9B21}">
            <xm:f>OR('G:\Users\GEC\Documents\LUZ\[Copia de 20200615.xlsx]AUX'!#REF!=TRUE,'G:\Users\GEC\Documents\LUZ\[Copia de 20200615.xlsx]AUX'!#REF!=TRUE)</xm:f>
            <x14:dxf>
              <font>
                <color theme="0"/>
              </font>
              <fill>
                <patternFill>
                  <bgColor theme="0"/>
                </patternFill>
              </fill>
              <border>
                <left/>
                <right/>
                <top/>
                <bottom/>
                <vertical/>
                <horizontal/>
              </border>
            </x14:dxf>
          </x14:cfRule>
          <xm:sqref>AL8 AL11 AL14 AL17 AF17 AF14 AF11 AF8</xm:sqref>
        </x14:conditionalFormatting>
        <x14:conditionalFormatting xmlns:xm="http://schemas.microsoft.com/office/excel/2006/main">
          <x14:cfRule type="expression" priority="540" id="{CA96AC2C-8E28-47B4-A621-870283299D46}">
            <xm:f>'G:\Users\GEC\Documents\LUZ\[Copia de 20200615.xlsx]DATOS'!#REF!="NO"</xm:f>
            <x14:dxf>
              <border>
                <left/>
                <right/>
                <top/>
                <bottom/>
                <vertical/>
                <horizontal/>
              </border>
            </x14:dxf>
          </x14:cfRule>
          <xm:sqref>AK32 AK35 AK38 AK41 AK44 AE44 AE41 AE38 AE35 AE32</xm:sqref>
        </x14:conditionalFormatting>
        <x14:conditionalFormatting xmlns:xm="http://schemas.microsoft.com/office/excel/2006/main">
          <x14:cfRule type="expression" priority="539" id="{832BDB1C-F81D-40E2-BBAC-9FB47F250B82}">
            <xm:f>OR('G:\Users\GEC\Documents\LUZ\[Copia de 20200615.xlsx]AUX'!#REF!=TRUE,'G:\Users\GEC\Documents\LUZ\[Copia de 20200615.xlsx]AUX'!#REF!=TRUE)</xm:f>
            <x14:dxf>
              <font>
                <color theme="0"/>
              </font>
              <fill>
                <patternFill>
                  <bgColor theme="0"/>
                </patternFill>
              </fill>
              <border>
                <left/>
                <right/>
                <top/>
                <bottom/>
                <vertical/>
                <horizontal/>
              </border>
            </x14:dxf>
          </x14:cfRule>
          <xm:sqref>AJ32:AK32 AJ35:AK35 AJ38:AK38 AJ41:AK41 AJ44:AK44 AD44:AE44 AD41:AE41 AD38:AE38 AD35:AE35 AD32:AE32</xm:sqref>
        </x14:conditionalFormatting>
        <x14:conditionalFormatting xmlns:xm="http://schemas.microsoft.com/office/excel/2006/main">
          <x14:cfRule type="expression" priority="536" id="{2D3FEF20-FC2C-4B73-BFC0-7EBF4286E22B}">
            <xm:f>OR('G:\Users\GEC\Documents\LUZ\[Copia de 20200615.xlsx]AUX'!#REF!=TRUE,'G:\Users\GEC\Documents\LUZ\[Copia de 20200615.xlsx]AUX'!#REF!=TRUE)</xm:f>
            <x14:dxf>
              <font>
                <color theme="0"/>
              </font>
              <fill>
                <patternFill>
                  <bgColor theme="0"/>
                </patternFill>
              </fill>
              <border>
                <left/>
                <right/>
                <top/>
                <bottom/>
                <vertical/>
                <horizontal/>
              </border>
            </x14:dxf>
          </x14:cfRule>
          <xm:sqref>AL32 AL35 AL38 AL41 AL44 AF44 AF41 AF38 AF35 AF32</xm:sqref>
        </x14:conditionalFormatting>
        <x14:conditionalFormatting xmlns:xm="http://schemas.microsoft.com/office/excel/2006/main">
          <x14:cfRule type="expression" priority="535" id="{09D33E13-D2DA-4E14-8BE6-339CCB9D957B}">
            <xm:f>'G:\Users\GEC\Documents\LUZ\[Copia de 20200615.xlsx]DATOS'!#REF!="NO"</xm:f>
            <x14:dxf>
              <border>
                <left/>
                <right/>
                <top/>
                <bottom/>
                <vertical/>
                <horizontal/>
              </border>
            </x14:dxf>
          </x14:cfRule>
          <xm:sqref>AK59 AE59</xm:sqref>
        </x14:conditionalFormatting>
        <x14:conditionalFormatting xmlns:xm="http://schemas.microsoft.com/office/excel/2006/main">
          <x14:cfRule type="expression" priority="534" id="{A6E5C453-FE15-4555-A8DC-88ECD2C62151}">
            <xm:f>OR('G:\Users\GEC\Documents\LUZ\[Copia de 20200615.xlsx]AUX'!#REF!=TRUE,'G:\Users\GEC\Documents\LUZ\[Copia de 20200615.xlsx]AUX'!#REF!=TRUE)</xm:f>
            <x14:dxf>
              <font>
                <color theme="0"/>
              </font>
              <fill>
                <patternFill>
                  <bgColor theme="0"/>
                </patternFill>
              </fill>
              <border>
                <left/>
                <right/>
                <top/>
                <bottom/>
                <vertical/>
                <horizontal/>
              </border>
            </x14:dxf>
          </x14:cfRule>
          <xm:sqref>AJ59:AK59 AD59:AE59</xm:sqref>
        </x14:conditionalFormatting>
        <x14:conditionalFormatting xmlns:xm="http://schemas.microsoft.com/office/excel/2006/main">
          <x14:cfRule type="expression" priority="531" id="{7BFBAEE3-33AA-46C9-85A7-D42F417E0379}">
            <xm:f>OR('G:\Users\GEC\Documents\LUZ\[Copia de 20200615.xlsx]AUX'!#REF!=TRUE,'G:\Users\GEC\Documents\LUZ\[Copia de 20200615.xlsx]AUX'!#REF!=TRUE)</xm:f>
            <x14:dxf>
              <font>
                <color theme="0"/>
              </font>
              <fill>
                <patternFill>
                  <bgColor theme="0"/>
                </patternFill>
              </fill>
              <border>
                <left/>
                <right/>
                <top/>
                <bottom/>
                <vertical/>
                <horizontal/>
              </border>
            </x14:dxf>
          </x14:cfRule>
          <xm:sqref>AL59 AF59</xm:sqref>
        </x14:conditionalFormatting>
        <x14:conditionalFormatting xmlns:xm="http://schemas.microsoft.com/office/excel/2006/main">
          <x14:cfRule type="expression" priority="525" id="{9762599C-BF2E-4E2A-B701-181057552943}">
            <xm:f>'G:\Users\GEC\Documents\LUZ\[Copia de 20200615.xlsx]DATOS'!#REF!="NO"</xm:f>
            <x14:dxf>
              <border>
                <left/>
                <right/>
                <top/>
                <bottom/>
                <vertical/>
                <horizontal/>
              </border>
            </x14:dxf>
          </x14:cfRule>
          <xm:sqref>AK65 AE65 AK62 AE62</xm:sqref>
        </x14:conditionalFormatting>
        <x14:conditionalFormatting xmlns:xm="http://schemas.microsoft.com/office/excel/2006/main">
          <x14:cfRule type="expression" priority="524" id="{4E2A73DB-8F6D-4530-9ED4-C1EEFC318732}">
            <xm:f>OR('G:\Users\GEC\Documents\LUZ\[Copia de 20200615.xlsx]AUX'!#REF!=TRUE,'G:\Users\GEC\Documents\LUZ\[Copia de 20200615.xlsx]AUX'!#REF!=TRUE)</xm:f>
            <x14:dxf>
              <font>
                <color theme="0"/>
              </font>
              <fill>
                <patternFill>
                  <bgColor theme="0"/>
                </patternFill>
              </fill>
              <border>
                <left/>
                <right/>
                <top/>
                <bottom/>
                <vertical/>
                <horizontal/>
              </border>
            </x14:dxf>
          </x14:cfRule>
          <xm:sqref>AJ65:AK65 AD65:AE65 AJ62:AK62 AD62:AE62</xm:sqref>
        </x14:conditionalFormatting>
        <x14:conditionalFormatting xmlns:xm="http://schemas.microsoft.com/office/excel/2006/main">
          <x14:cfRule type="expression" priority="521" id="{B2D52DE1-B7D1-4194-A2B8-95C26B6250B2}">
            <xm:f>OR('G:\Users\GEC\Documents\LUZ\[Copia de 20200615.xlsx]AUX'!#REF!=TRUE,'G:\Users\GEC\Documents\LUZ\[Copia de 20200615.xlsx]AUX'!#REF!=TRUE)</xm:f>
            <x14:dxf>
              <font>
                <color theme="0"/>
              </font>
              <fill>
                <patternFill>
                  <bgColor theme="0"/>
                </patternFill>
              </fill>
              <border>
                <left/>
                <right/>
                <top/>
                <bottom/>
                <vertical/>
                <horizontal/>
              </border>
            </x14:dxf>
          </x14:cfRule>
          <xm:sqref>AL65 AF65 AL62 AF62</xm:sqref>
        </x14:conditionalFormatting>
        <x14:conditionalFormatting xmlns:xm="http://schemas.microsoft.com/office/excel/2006/main">
          <x14:cfRule type="expression" priority="490" id="{74061120-C3CF-437E-B222-FC46FBE2CBB7}">
            <xm:f>'G:\Users\GEC\Documents\LUZ\[Copia de 20200615.xlsx]DATOS'!#REF!="NO"</xm:f>
            <x14:dxf>
              <border>
                <left/>
                <right/>
                <top/>
                <bottom/>
                <vertical/>
                <horizontal/>
              </border>
            </x14:dxf>
          </x14:cfRule>
          <xm:sqref>AK98 AE98 AK95 AE95 AK92 AE92 AK89 AE89 AK86 AE86 AK71 AE71 AK68 AE68</xm:sqref>
        </x14:conditionalFormatting>
        <x14:conditionalFormatting xmlns:xm="http://schemas.microsoft.com/office/excel/2006/main">
          <x14:cfRule type="expression" priority="489" id="{958E6CAB-DE0B-4C64-98A2-E14A4319A06D}">
            <xm:f>OR('G:\Users\GEC\Documents\LUZ\[Copia de 20200615.xlsx]AUX'!#REF!=TRUE,'G:\Users\GEC\Documents\LUZ\[Copia de 20200615.xlsx]AUX'!#REF!=TRUE)</xm:f>
            <x14:dxf>
              <font>
                <color theme="0"/>
              </font>
              <fill>
                <patternFill>
                  <bgColor theme="0"/>
                </patternFill>
              </fill>
              <border>
                <left/>
                <right/>
                <top/>
                <bottom/>
                <vertical/>
                <horizontal/>
              </border>
            </x14:dxf>
          </x14:cfRule>
          <xm:sqref>AJ98:AK98 AD98:AE98 AJ95:AK95 AD95:AE95 AJ92:AK92 AD92:AE92 AJ89:AK89 AD89:AE89 AJ86:AK86 AD86:AE86 AJ71:AK71 AD71:AE71 AJ68:AK68 AD68:AE68</xm:sqref>
        </x14:conditionalFormatting>
        <x14:conditionalFormatting xmlns:xm="http://schemas.microsoft.com/office/excel/2006/main">
          <x14:cfRule type="expression" priority="486" id="{307557AB-D254-4025-A165-8596A4DDC146}">
            <xm:f>OR('G:\Users\GEC\Documents\LUZ\[Copia de 20200615.xlsx]AUX'!#REF!=TRUE,'G:\Users\GEC\Documents\LUZ\[Copia de 20200615.xlsx]AUX'!#REF!=TRUE)</xm:f>
            <x14:dxf>
              <font>
                <color theme="0"/>
              </font>
              <fill>
                <patternFill>
                  <bgColor theme="0"/>
                </patternFill>
              </fill>
              <border>
                <left/>
                <right/>
                <top/>
                <bottom/>
                <vertical/>
                <horizontal/>
              </border>
            </x14:dxf>
          </x14:cfRule>
          <xm:sqref>AL98 AF98 AL95 AF95 AL92 AF92 AL89 AF89 AL86 AF86 AL71 AF71 AL68 AF68</xm:sqref>
        </x14:conditionalFormatting>
        <x14:conditionalFormatting xmlns:xm="http://schemas.microsoft.com/office/excel/2006/main">
          <x14:cfRule type="expression" priority="465" id="{05BE095D-A931-4DE7-89BD-50561E41B36C}">
            <xm:f>'G:\Users\GEC\Documents\LUZ\[Copia de 20200615.xlsx]DATOS'!#REF!="NO"</xm:f>
            <x14:dxf>
              <border>
                <left/>
                <right/>
                <top/>
                <bottom/>
                <vertical/>
                <horizontal/>
              </border>
            </x14:dxf>
          </x14:cfRule>
          <xm:sqref>AK125 AE125 AK122 AE122 AK119 AE119 AK116 AE116 AK113 AE113</xm:sqref>
        </x14:conditionalFormatting>
        <x14:conditionalFormatting xmlns:xm="http://schemas.microsoft.com/office/excel/2006/main">
          <x14:cfRule type="expression" priority="464" id="{FDBBB9CF-5656-4581-A68A-39FAA7578270}">
            <xm:f>OR('G:\Users\GEC\Documents\LUZ\[Copia de 20200615.xlsx]AUX'!#REF!=TRUE,'G:\Users\GEC\Documents\LUZ\[Copia de 20200615.xlsx]AUX'!#REF!=TRUE)</xm:f>
            <x14:dxf>
              <font>
                <color theme="0"/>
              </font>
              <fill>
                <patternFill>
                  <bgColor theme="0"/>
                </patternFill>
              </fill>
              <border>
                <left/>
                <right/>
                <top/>
                <bottom/>
                <vertical/>
                <horizontal/>
              </border>
            </x14:dxf>
          </x14:cfRule>
          <xm:sqref>AJ125:AK125 AD125:AE125 AJ122:AK122 AD122:AE122 AJ119:AK119 AD119:AE119 AJ116:AK116 AD116:AE116 AJ113:AK113 AD113:AE113</xm:sqref>
        </x14:conditionalFormatting>
        <x14:conditionalFormatting xmlns:xm="http://schemas.microsoft.com/office/excel/2006/main">
          <x14:cfRule type="expression" priority="461" id="{1518B9CA-5DFB-4158-BDB9-553B349419EA}">
            <xm:f>OR('G:\Users\GEC\Documents\LUZ\[Copia de 20200615.xlsx]AUX'!#REF!=TRUE,'G:\Users\GEC\Documents\LUZ\[Copia de 20200615.xlsx]AUX'!#REF!=TRUE)</xm:f>
            <x14:dxf>
              <font>
                <color theme="0"/>
              </font>
              <fill>
                <patternFill>
                  <bgColor theme="0"/>
                </patternFill>
              </fill>
              <border>
                <left/>
                <right/>
                <top/>
                <bottom/>
                <vertical/>
                <horizontal/>
              </border>
            </x14:dxf>
          </x14:cfRule>
          <xm:sqref>AL125 AF125 AL122 AF122 AL119 AF119 AL116 AF116 AL113 AF113</xm:sqref>
        </x14:conditionalFormatting>
        <x14:conditionalFormatting xmlns:xm="http://schemas.microsoft.com/office/excel/2006/main">
          <x14:cfRule type="expression" priority="450" id="{84AD1D18-C554-406C-AF6E-A1DECEC9E66A}">
            <xm:f>'G:\Users\GEC\Documents\LUZ\[Copia de 20200615.xlsx]DATOS'!#REF!="NO"</xm:f>
            <x14:dxf>
              <border>
                <left/>
                <right/>
                <top/>
                <bottom/>
                <vertical/>
                <horizontal/>
              </border>
            </x14:dxf>
          </x14:cfRule>
          <xm:sqref>AK140 AE140 Y140</xm:sqref>
        </x14:conditionalFormatting>
        <x14:conditionalFormatting xmlns:xm="http://schemas.microsoft.com/office/excel/2006/main">
          <x14:cfRule type="expression" priority="449" id="{0AD0F691-2E5F-4F75-A23A-338BDA594FCF}">
            <xm:f>OR('G:\Users\GEC\Documents\LUZ\[Copia de 20200615.xlsx]AUX'!#REF!=TRUE,'G:\Users\GEC\Documents\LUZ\[Copia de 20200615.xlsx]AUX'!#REF!=TRUE)</xm:f>
            <x14:dxf>
              <font>
                <color theme="0"/>
              </font>
              <fill>
                <patternFill>
                  <bgColor theme="0"/>
                </patternFill>
              </fill>
              <border>
                <left/>
                <right/>
                <top/>
                <bottom/>
                <vertical/>
                <horizontal/>
              </border>
            </x14:dxf>
          </x14:cfRule>
          <xm:sqref>AJ140:AK140 AD140:AE140 X140:Y140</xm:sqref>
        </x14:conditionalFormatting>
        <x14:conditionalFormatting xmlns:xm="http://schemas.microsoft.com/office/excel/2006/main">
          <x14:cfRule type="expression" priority="446" id="{795C7340-35D6-49A5-B446-02B8B5580D8D}">
            <xm:f>OR('G:\Users\GEC\Documents\LUZ\[Copia de 20200615.xlsx]AUX'!#REF!=TRUE,'G:\Users\GEC\Documents\LUZ\[Copia de 20200615.xlsx]AUX'!#REF!=TRUE)</xm:f>
            <x14:dxf>
              <font>
                <color theme="0"/>
              </font>
              <fill>
                <patternFill>
                  <bgColor theme="0"/>
                </patternFill>
              </fill>
              <border>
                <left/>
                <right/>
                <top/>
                <bottom/>
                <vertical/>
                <horizontal/>
              </border>
            </x14:dxf>
          </x14:cfRule>
          <xm:sqref>AL140 AF140 Z140</xm:sqref>
        </x14:conditionalFormatting>
        <x14:conditionalFormatting xmlns:xm="http://schemas.microsoft.com/office/excel/2006/main">
          <x14:cfRule type="expression" priority="430" id="{F5EB2922-C7D3-4007-9A3E-0AFBC03E39EA}">
            <xm:f>'G:\Users\GEC\Documents\LUZ\[Copia de 20200615.xlsx]DATOS'!#REF!="NO"</xm:f>
            <x14:dxf>
              <border>
                <left/>
                <right/>
                <top/>
                <bottom/>
                <vertical/>
                <horizontal/>
              </border>
            </x14:dxf>
          </x14:cfRule>
          <xm:sqref>AK152 AE152 Y152 AK149 AE149 Y149 AK146 AE146 Y146 AK143 AE143 Y143</xm:sqref>
        </x14:conditionalFormatting>
        <x14:conditionalFormatting xmlns:xm="http://schemas.microsoft.com/office/excel/2006/main">
          <x14:cfRule type="expression" priority="429" id="{AC0B8ED3-0BC8-4AB1-915B-8C12B5207BCE}">
            <xm:f>OR('G:\Users\GEC\Documents\LUZ\[Copia de 20200615.xlsx]AUX'!#REF!=TRUE,'G:\Users\GEC\Documents\LUZ\[Copia de 20200615.xlsx]AUX'!#REF!=TRUE)</xm:f>
            <x14:dxf>
              <font>
                <color theme="0"/>
              </font>
              <fill>
                <patternFill>
                  <bgColor theme="0"/>
                </patternFill>
              </fill>
              <border>
                <left/>
                <right/>
                <top/>
                <bottom/>
                <vertical/>
                <horizontal/>
              </border>
            </x14:dxf>
          </x14:cfRule>
          <xm:sqref>AJ152:AK152 AD152:AE152 X152:Y152 AJ149:AK149 AD149:AE149 X149:Y149 AJ146:AK146 AD146:AE146 X146:Y146 AJ143:AK143 AD143:AE143 X143:Y143</xm:sqref>
        </x14:conditionalFormatting>
        <x14:conditionalFormatting xmlns:xm="http://schemas.microsoft.com/office/excel/2006/main">
          <x14:cfRule type="expression" priority="426" id="{FC7864BF-E1BC-4829-958D-307B4B4971DC}">
            <xm:f>OR('G:\Users\GEC\Documents\LUZ\[Copia de 20200615.xlsx]AUX'!#REF!=TRUE,'G:\Users\GEC\Documents\LUZ\[Copia de 20200615.xlsx]AUX'!#REF!=TRUE)</xm:f>
            <x14:dxf>
              <font>
                <color theme="0"/>
              </font>
              <fill>
                <patternFill>
                  <bgColor theme="0"/>
                </patternFill>
              </fill>
              <border>
                <left/>
                <right/>
                <top/>
                <bottom/>
                <vertical/>
                <horizontal/>
              </border>
            </x14:dxf>
          </x14:cfRule>
          <xm:sqref>AL152 AF152 Z152 AL149 AF149 Z149 AL146 AF146 Z146 AL143 AF143 Z143</xm:sqref>
        </x14:conditionalFormatting>
        <x14:conditionalFormatting xmlns:xm="http://schemas.microsoft.com/office/excel/2006/main">
          <x14:cfRule type="expression" priority="410" id="{9B9C8590-E829-471F-B7CC-8CC2A7DA155F}">
            <xm:f>'G:\Users\GEC\Documents\LUZ\[Copia de 20200615.xlsx]DATOS'!#REF!="NO"</xm:f>
            <x14:dxf>
              <border>
                <left/>
                <right/>
                <top/>
                <bottom/>
                <vertical/>
                <horizontal/>
              </border>
            </x14:dxf>
          </x14:cfRule>
          <xm:sqref>Y164 Y161 Y158 Y155</xm:sqref>
        </x14:conditionalFormatting>
        <x14:conditionalFormatting xmlns:xm="http://schemas.microsoft.com/office/excel/2006/main">
          <x14:cfRule type="expression" priority="409" id="{B49C6252-4696-4317-8D38-E55BDA984F53}">
            <xm:f>OR('G:\Users\GEC\Documents\LUZ\[Copia de 20200615.xlsx]AUX'!#REF!=TRUE,'G:\Users\GEC\Documents\LUZ\[Copia de 20200615.xlsx]AUX'!#REF!=TRUE)</xm:f>
            <x14:dxf>
              <font>
                <color theme="0"/>
              </font>
              <fill>
                <patternFill>
                  <bgColor theme="0"/>
                </patternFill>
              </fill>
              <border>
                <left/>
                <right/>
                <top/>
                <bottom/>
                <vertical/>
                <horizontal/>
              </border>
            </x14:dxf>
          </x14:cfRule>
          <xm:sqref>X164:Y164 X161:Y161 X158:Y158 X155:Y155</xm:sqref>
        </x14:conditionalFormatting>
        <x14:conditionalFormatting xmlns:xm="http://schemas.microsoft.com/office/excel/2006/main">
          <x14:cfRule type="expression" priority="406" id="{03DBCD01-11DD-46D2-9354-4A981393E085}">
            <xm:f>OR('G:\Users\GEC\Documents\LUZ\[Copia de 20200615.xlsx]AUX'!#REF!=TRUE,'G:\Users\GEC\Documents\LUZ\[Copia de 20200615.xlsx]AUX'!#REF!=TRUE)</xm:f>
            <x14:dxf>
              <font>
                <color theme="0"/>
              </font>
              <fill>
                <patternFill>
                  <bgColor theme="0"/>
                </patternFill>
              </fill>
              <border>
                <left/>
                <right/>
                <top/>
                <bottom/>
                <vertical/>
                <horizontal/>
              </border>
            </x14:dxf>
          </x14:cfRule>
          <xm:sqref>Z164 Z161 Z158 Z155</xm:sqref>
        </x14:conditionalFormatting>
        <x14:conditionalFormatting xmlns:xm="http://schemas.microsoft.com/office/excel/2006/main">
          <x14:cfRule type="expression" priority="360" id="{12E62C9A-CA9D-469F-8FC2-4422E9040F41}">
            <xm:f>'G:\Users\GEC\Documents\LUZ\[Copia de 20200615.xlsx]DATOS'!#REF!="NO"</xm:f>
            <x14:dxf>
              <border>
                <left/>
                <right/>
                <top/>
                <bottom/>
                <vertical/>
                <horizontal/>
              </border>
            </x14:dxf>
          </x14:cfRule>
          <xm:sqref>AK206 AE206 Y206 AK203 AE203 Y203 AK200 AE200 Y200 AK197 AE197 Y197 AK194 AE194 Y194 AK179 AE179 Y179 AK176 AE176 Y176 AK173 AE173 Y173 AK170 AE170 Y170 AK167 AE167 Y167</xm:sqref>
        </x14:conditionalFormatting>
        <x14:conditionalFormatting xmlns:xm="http://schemas.microsoft.com/office/excel/2006/main">
          <x14:cfRule type="expression" priority="359" id="{95263712-02FC-43C0-9491-A9C05956F027}">
            <xm:f>OR('G:\Users\GEC\Documents\LUZ\[Copia de 20200615.xlsx]AUX'!#REF!=TRUE,'G:\Users\GEC\Documents\LUZ\[Copia de 20200615.xlsx]AUX'!#REF!=TRUE)</xm:f>
            <x14:dxf>
              <font>
                <color theme="0"/>
              </font>
              <fill>
                <patternFill>
                  <bgColor theme="0"/>
                </patternFill>
              </fill>
              <border>
                <left/>
                <right/>
                <top/>
                <bottom/>
                <vertical/>
                <horizontal/>
              </border>
            </x14:dxf>
          </x14:cfRule>
          <xm:sqref>AJ206:AK206 AD206:AE206 X206:Y206 AJ203:AK203 AD203:AE203 X203:Y203 AJ200:AK200 AD200:AE200 X200:Y200 AJ197:AK197 AD197:AE197 X197:Y197 AJ194:AK194 AD194:AE194 X194:Y194 AJ179:AK179 AD179:AE179 X179:Y179 AJ176:AK176 AD176:AE176 X176:Y176 AJ173:AK173 AD173:AE173 X173:Y173 AJ170:AK170 AD170:AE170 X170:Y170 AJ167:AK167 AD167:AE167 X167:Y167</xm:sqref>
        </x14:conditionalFormatting>
        <x14:conditionalFormatting xmlns:xm="http://schemas.microsoft.com/office/excel/2006/main">
          <x14:cfRule type="expression" priority="356" id="{49F70DE1-6436-44CE-8EEA-B391DEBF41D6}">
            <xm:f>OR('G:\Users\GEC\Documents\LUZ\[Copia de 20200615.xlsx]AUX'!#REF!=TRUE,'G:\Users\GEC\Documents\LUZ\[Copia de 20200615.xlsx]AUX'!#REF!=TRUE)</xm:f>
            <x14:dxf>
              <font>
                <color theme="0"/>
              </font>
              <fill>
                <patternFill>
                  <bgColor theme="0"/>
                </patternFill>
              </fill>
              <border>
                <left/>
                <right/>
                <top/>
                <bottom/>
                <vertical/>
                <horizontal/>
              </border>
            </x14:dxf>
          </x14:cfRule>
          <xm:sqref>AL206 AF206 Z206 AL203 AF203 Z203 AL200 AF200 Z200 AL197 AF197 Z197 AL194 AF194 Z194 AL179 AF179 Z179 AL176 AF176 Z176 AL173 AF173 Z173 AL170 AF170 Z170 AL167 AF167 Z167</xm:sqref>
        </x14:conditionalFormatting>
        <x14:conditionalFormatting xmlns:xm="http://schemas.microsoft.com/office/excel/2006/main">
          <x14:cfRule type="expression" priority="335" id="{1FAE2099-5A97-4AFA-B5E1-239E5080C68C}">
            <xm:f>'G:\Users\GEC\Documents\LUZ\[Copia de 20200615.xlsx]DATOS'!#REF!="NO"</xm:f>
            <x14:dxf>
              <border>
                <left/>
                <right/>
                <top/>
                <bottom/>
                <vertical/>
                <horizontal/>
              </border>
            </x14:dxf>
          </x14:cfRule>
          <xm:sqref>AK233 AE233 Y233 AK230 AE230 Y230 AK227 AE227 Y227 AK224 AE224 Y224 AK221 AE221 Y221</xm:sqref>
        </x14:conditionalFormatting>
        <x14:conditionalFormatting xmlns:xm="http://schemas.microsoft.com/office/excel/2006/main">
          <x14:cfRule type="expression" priority="334" id="{B127CA7C-C26C-4EA7-9F22-A53439B3CC9D}">
            <xm:f>OR('G:\Users\GEC\Documents\LUZ\[Copia de 20200615.xlsx]AUX'!#REF!=TRUE,'G:\Users\GEC\Documents\LUZ\[Copia de 20200615.xlsx]AUX'!#REF!=TRUE)</xm:f>
            <x14:dxf>
              <font>
                <color theme="0"/>
              </font>
              <fill>
                <patternFill>
                  <bgColor theme="0"/>
                </patternFill>
              </fill>
              <border>
                <left/>
                <right/>
                <top/>
                <bottom/>
                <vertical/>
                <horizontal/>
              </border>
            </x14:dxf>
          </x14:cfRule>
          <xm:sqref>AJ233:AK233 AD233:AE233 X233:Y233 AJ230:AK230 AD230:AE230 X230:Y230 AJ227:AK227 AD227:AE227 X227:Y227 AJ224:AK224 AD224:AE224 X224:Y224 AJ221:AK221 AD221:AE221 X221:Y221</xm:sqref>
        </x14:conditionalFormatting>
        <x14:conditionalFormatting xmlns:xm="http://schemas.microsoft.com/office/excel/2006/main">
          <x14:cfRule type="expression" priority="331" id="{AAFEBE25-3463-4C4C-9D2C-FDDE3312557A}">
            <xm:f>OR('G:\Users\GEC\Documents\LUZ\[Copia de 20200615.xlsx]AUX'!#REF!=TRUE,'G:\Users\GEC\Documents\LUZ\[Copia de 20200615.xlsx]AUX'!#REF!=TRUE)</xm:f>
            <x14:dxf>
              <font>
                <color theme="0"/>
              </font>
              <fill>
                <patternFill>
                  <bgColor theme="0"/>
                </patternFill>
              </fill>
              <border>
                <left/>
                <right/>
                <top/>
                <bottom/>
                <vertical/>
                <horizontal/>
              </border>
            </x14:dxf>
          </x14:cfRule>
          <xm:sqref>AL233 AF233 Z233 AL230 AF230 Z230 AL227 AF227 Z227 AL224 AF224 Z224 AL221 AF221 Z221</xm:sqref>
        </x14:conditionalFormatting>
        <x14:conditionalFormatting xmlns:xm="http://schemas.microsoft.com/office/excel/2006/main">
          <x14:cfRule type="expression" priority="310" id="{A4BF36E7-A9E8-4401-885E-9D8BDB4E8857}">
            <xm:f>'G:\Users\GEC\Documents\LUZ\[Copia de 20200615.xlsx]DATOS'!#REF!="NO"</xm:f>
            <x14:dxf>
              <border>
                <left/>
                <right/>
                <top/>
                <bottom/>
                <vertical/>
                <horizontal/>
              </border>
            </x14:dxf>
          </x14:cfRule>
          <xm:sqref>AK260 AE260 Y260 AK257 AE257 Y257 AK254 AE254 Y254 AK251 AE251 Y251 AK248 AE248 Y248</xm:sqref>
        </x14:conditionalFormatting>
        <x14:conditionalFormatting xmlns:xm="http://schemas.microsoft.com/office/excel/2006/main">
          <x14:cfRule type="expression" priority="309" id="{065DC831-B0AC-4BCF-8360-E8A73E87AD8F}">
            <xm:f>OR('G:\Users\GEC\Documents\LUZ\[Copia de 20200615.xlsx]AUX'!#REF!=TRUE,'G:\Users\GEC\Documents\LUZ\[Copia de 20200615.xlsx]AUX'!#REF!=TRUE)</xm:f>
            <x14:dxf>
              <font>
                <color theme="0"/>
              </font>
              <fill>
                <patternFill>
                  <bgColor theme="0"/>
                </patternFill>
              </fill>
              <border>
                <left/>
                <right/>
                <top/>
                <bottom/>
                <vertical/>
                <horizontal/>
              </border>
            </x14:dxf>
          </x14:cfRule>
          <xm:sqref>AJ260:AK260 AD260:AE260 X260:Y260 AJ257:AK257 AD257:AE257 X257:Y257 AJ254:AK254 AD254:AE254 X254:Y254 AJ251:AK251 AD251:AE251 X251:Y251 AJ248:AK248 AD248:AE248 X248:Y248</xm:sqref>
        </x14:conditionalFormatting>
        <x14:conditionalFormatting xmlns:xm="http://schemas.microsoft.com/office/excel/2006/main">
          <x14:cfRule type="expression" priority="306" id="{67D072A1-E599-4F17-8C79-9C5FCA9B1DEE}">
            <xm:f>OR('G:\Users\GEC\Documents\LUZ\[Copia de 20200615.xlsx]AUX'!#REF!=TRUE,'G:\Users\GEC\Documents\LUZ\[Copia de 20200615.xlsx]AUX'!#REF!=TRUE)</xm:f>
            <x14:dxf>
              <font>
                <color theme="0"/>
              </font>
              <fill>
                <patternFill>
                  <bgColor theme="0"/>
                </patternFill>
              </fill>
              <border>
                <left/>
                <right/>
                <top/>
                <bottom/>
                <vertical/>
                <horizontal/>
              </border>
            </x14:dxf>
          </x14:cfRule>
          <xm:sqref>AL260 AF260 Z260 AL257 AF257 Z257 AL254 AF254 Z254 AL251 AF251 Z251 AL248 AF248 Z248</xm:sqref>
        </x14:conditionalFormatting>
        <x14:conditionalFormatting xmlns:xm="http://schemas.microsoft.com/office/excel/2006/main">
          <x14:cfRule type="expression" priority="285" id="{D62ED64B-0A1F-4160-AEA3-DCD0BE1C5A8A}">
            <xm:f>'G:\Users\GEC\Documents\LUZ\[Copia de 20200615.xlsx]DATOS'!#REF!="NO"</xm:f>
            <x14:dxf>
              <border>
                <left/>
                <right/>
                <top/>
                <bottom/>
                <vertical/>
                <horizontal/>
              </border>
            </x14:dxf>
          </x14:cfRule>
          <xm:sqref>AK287 AE287 Y287 AK284 AE284 Y284 AK281 AE281 Y281 AK278 AE278 Y278 AK275 AE275 Y275</xm:sqref>
        </x14:conditionalFormatting>
        <x14:conditionalFormatting xmlns:xm="http://schemas.microsoft.com/office/excel/2006/main">
          <x14:cfRule type="expression" priority="284" id="{68E2595B-449B-465A-B9D6-8B506640502D}">
            <xm:f>OR('G:\Users\GEC\Documents\LUZ\[Copia de 20200615.xlsx]AUX'!#REF!=TRUE,'G:\Users\GEC\Documents\LUZ\[Copia de 20200615.xlsx]AUX'!#REF!=TRUE)</xm:f>
            <x14:dxf>
              <font>
                <color theme="0"/>
              </font>
              <fill>
                <patternFill>
                  <bgColor theme="0"/>
                </patternFill>
              </fill>
              <border>
                <left/>
                <right/>
                <top/>
                <bottom/>
                <vertical/>
                <horizontal/>
              </border>
            </x14:dxf>
          </x14:cfRule>
          <xm:sqref>AJ287:AK287 AD287:AE287 X287:Y287 AJ284:AK284 AD284:AE284 X284:Y284 AJ281:AK281 AD281:AE281 X281:Y281 AJ278:AK278 AD278:AE278 X278:Y278 AJ275:AK275 AD275:AE275 X275:Y275</xm:sqref>
        </x14:conditionalFormatting>
        <x14:conditionalFormatting xmlns:xm="http://schemas.microsoft.com/office/excel/2006/main">
          <x14:cfRule type="expression" priority="281" id="{C230444D-B14C-42FD-9DB1-736D5CD928D3}">
            <xm:f>OR('G:\Users\GEC\Documents\LUZ\[Copia de 20200615.xlsx]AUX'!#REF!=TRUE,'G:\Users\GEC\Documents\LUZ\[Copia de 20200615.xlsx]AUX'!#REF!=TRUE)</xm:f>
            <x14:dxf>
              <font>
                <color theme="0"/>
              </font>
              <fill>
                <patternFill>
                  <bgColor theme="0"/>
                </patternFill>
              </fill>
              <border>
                <left/>
                <right/>
                <top/>
                <bottom/>
                <vertical/>
                <horizontal/>
              </border>
            </x14:dxf>
          </x14:cfRule>
          <xm:sqref>AL287 AF287 Z287 AL284 AF284 Z284 AL281 AF281 Z281 AL278 AF278 Z278 AL275 AF275 Z275</xm:sqref>
        </x14:conditionalFormatting>
        <x14:conditionalFormatting xmlns:xm="http://schemas.microsoft.com/office/excel/2006/main">
          <x14:cfRule type="expression" priority="260" id="{5FFAF3FB-DC4A-445F-974C-952EB7B94992}">
            <xm:f>'G:\Users\GEC\Documents\LUZ\[Copia de 20200615.xlsx]DATOS'!#REF!="NO"</xm:f>
            <x14:dxf>
              <border>
                <left/>
                <right/>
                <top/>
                <bottom/>
                <vertical/>
                <horizontal/>
              </border>
            </x14:dxf>
          </x14:cfRule>
          <xm:sqref>AK314 AE314 Y314 AK311 AE311 Y311 AK308 AE308 Y308 AK305 AE305 Y305 AK302 AE302 Y302</xm:sqref>
        </x14:conditionalFormatting>
        <x14:conditionalFormatting xmlns:xm="http://schemas.microsoft.com/office/excel/2006/main">
          <x14:cfRule type="expression" priority="259" id="{DB43B18D-6732-4D1F-9888-A5403F863DBF}">
            <xm:f>OR('G:\Users\GEC\Documents\LUZ\[Copia de 20200615.xlsx]AUX'!#REF!=TRUE,'G:\Users\GEC\Documents\LUZ\[Copia de 20200615.xlsx]AUX'!#REF!=TRUE)</xm:f>
            <x14:dxf>
              <font>
                <color theme="0"/>
              </font>
              <fill>
                <patternFill>
                  <bgColor theme="0"/>
                </patternFill>
              </fill>
              <border>
                <left/>
                <right/>
                <top/>
                <bottom/>
                <vertical/>
                <horizontal/>
              </border>
            </x14:dxf>
          </x14:cfRule>
          <xm:sqref>AJ314:AK314 AD314:AE314 X314:Y314 AJ311:AK311 AD311:AE311 X311:Y311 AJ308:AK308 AD308:AE308 X308:Y308 AJ305:AK305 AD305:AE305 X305:Y305 AJ302:AK302 AD302:AE302 X302:Y302</xm:sqref>
        </x14:conditionalFormatting>
        <x14:conditionalFormatting xmlns:xm="http://schemas.microsoft.com/office/excel/2006/main">
          <x14:cfRule type="expression" priority="256" id="{45FE94F0-961B-40D5-A423-CF97595141DB}">
            <xm:f>OR('G:\Users\GEC\Documents\LUZ\[Copia de 20200615.xlsx]AUX'!#REF!=TRUE,'G:\Users\GEC\Documents\LUZ\[Copia de 20200615.xlsx]AUX'!#REF!=TRUE)</xm:f>
            <x14:dxf>
              <font>
                <color theme="0"/>
              </font>
              <fill>
                <patternFill>
                  <bgColor theme="0"/>
                </patternFill>
              </fill>
              <border>
                <left/>
                <right/>
                <top/>
                <bottom/>
                <vertical/>
                <horizontal/>
              </border>
            </x14:dxf>
          </x14:cfRule>
          <xm:sqref>AL314 AF314 Z314 AL311 AF311 Z311 AL308 AF308 Z308 AL305 AF305 Z305 AL302 AF302 Z302</xm:sqref>
        </x14:conditionalFormatting>
        <x14:conditionalFormatting xmlns:xm="http://schemas.microsoft.com/office/excel/2006/main">
          <x14:cfRule type="expression" priority="235" id="{E0FDBFCC-7FD8-4FB7-AC26-B07B26D5AD41}">
            <xm:f>'G:\Users\GEC\Documents\LUZ\[Copia de 20200615.xlsx]DATOS'!#REF!="NO"</xm:f>
            <x14:dxf>
              <border>
                <left/>
                <right/>
                <top/>
                <bottom/>
                <vertical/>
                <horizontal/>
              </border>
            </x14:dxf>
          </x14:cfRule>
          <xm:sqref>AK341 AE341 Y341 AK338 AE338 Y338 AK335 AE335 Y335 AK332 AE332 Y332 AK329 AE329 Y329</xm:sqref>
        </x14:conditionalFormatting>
        <x14:conditionalFormatting xmlns:xm="http://schemas.microsoft.com/office/excel/2006/main">
          <x14:cfRule type="expression" priority="234" id="{C0B43F0B-E9F4-46ED-8009-235D819104F5}">
            <xm:f>OR('G:\Users\GEC\Documents\LUZ\[Copia de 20200615.xlsx]AUX'!#REF!=TRUE,'G:\Users\GEC\Documents\LUZ\[Copia de 20200615.xlsx]AUX'!#REF!=TRUE)</xm:f>
            <x14:dxf>
              <font>
                <color theme="0"/>
              </font>
              <fill>
                <patternFill>
                  <bgColor theme="0"/>
                </patternFill>
              </fill>
              <border>
                <left/>
                <right/>
                <top/>
                <bottom/>
                <vertical/>
                <horizontal/>
              </border>
            </x14:dxf>
          </x14:cfRule>
          <xm:sqref>AJ341:AK341 AD341:AE341 X341:Y341 AJ338:AK338 AD338:AE338 X338:Y338 AJ335:AK335 AD335:AE335 X335:Y335 AJ332:AK332 AD332:AE332 X332:Y332 AJ329:AK329 AD329:AE329 X329:Y329</xm:sqref>
        </x14:conditionalFormatting>
        <x14:conditionalFormatting xmlns:xm="http://schemas.microsoft.com/office/excel/2006/main">
          <x14:cfRule type="expression" priority="231" id="{044D9EF2-335A-4C71-8DBB-D61C9891A607}">
            <xm:f>OR('G:\Users\GEC\Documents\LUZ\[Copia de 20200615.xlsx]AUX'!#REF!=TRUE,'G:\Users\GEC\Documents\LUZ\[Copia de 20200615.xlsx]AUX'!#REF!=TRUE)</xm:f>
            <x14:dxf>
              <font>
                <color theme="0"/>
              </font>
              <fill>
                <patternFill>
                  <bgColor theme="0"/>
                </patternFill>
              </fill>
              <border>
                <left/>
                <right/>
                <top/>
                <bottom/>
                <vertical/>
                <horizontal/>
              </border>
            </x14:dxf>
          </x14:cfRule>
          <xm:sqref>AL341 AF341 Z341 AL338 AF338 Z338 AL335 AF335 Z335 AL332 AF332 Z332 AL329 AF329 Z329</xm:sqref>
        </x14:conditionalFormatting>
        <x14:conditionalFormatting xmlns:xm="http://schemas.microsoft.com/office/excel/2006/main">
          <x14:cfRule type="expression" priority="210" id="{549D5369-2AC5-4955-9F64-213F733E0CE2}">
            <xm:f>'G:\Users\GEC\Documents\LUZ\[Copia de 20200615.xlsx]DATOS'!#REF!="NO"</xm:f>
            <x14:dxf>
              <border>
                <left/>
                <right/>
                <top/>
                <bottom/>
                <vertical/>
                <horizontal/>
              </border>
            </x14:dxf>
          </x14:cfRule>
          <xm:sqref>AK368 AE368 Y368 AK365 AE365 Y365 AK362 AE362 Y362 AK359 AE359 Y359 AK356 AE356 Y356</xm:sqref>
        </x14:conditionalFormatting>
        <x14:conditionalFormatting xmlns:xm="http://schemas.microsoft.com/office/excel/2006/main">
          <x14:cfRule type="expression" priority="209" id="{4EF102A3-66E7-47B9-8975-44639CBDB20F}">
            <xm:f>OR('G:\Users\GEC\Documents\LUZ\[Copia de 20200615.xlsx]AUX'!#REF!=TRUE,'G:\Users\GEC\Documents\LUZ\[Copia de 20200615.xlsx]AUX'!#REF!=TRUE)</xm:f>
            <x14:dxf>
              <font>
                <color theme="0"/>
              </font>
              <fill>
                <patternFill>
                  <bgColor theme="0"/>
                </patternFill>
              </fill>
              <border>
                <left/>
                <right/>
                <top/>
                <bottom/>
                <vertical/>
                <horizontal/>
              </border>
            </x14:dxf>
          </x14:cfRule>
          <xm:sqref>AJ368:AK368 AD368:AE368 X368:Y368 AJ365:AK365 AD365:AE365 X365:Y365 AJ362:AK362 AD362:AE362 X362:Y362 AJ359:AK359 AD359:AE359 X359:Y359 AJ356:AK356 AD356:AE356 X356:Y356</xm:sqref>
        </x14:conditionalFormatting>
        <x14:conditionalFormatting xmlns:xm="http://schemas.microsoft.com/office/excel/2006/main">
          <x14:cfRule type="expression" priority="206" id="{1DB2049E-6D59-4C57-A57E-09F2D39A7433}">
            <xm:f>OR('G:\Users\GEC\Documents\LUZ\[Copia de 20200615.xlsx]AUX'!#REF!=TRUE,'G:\Users\GEC\Documents\LUZ\[Copia de 20200615.xlsx]AUX'!#REF!=TRUE)</xm:f>
            <x14:dxf>
              <font>
                <color theme="0"/>
              </font>
              <fill>
                <patternFill>
                  <bgColor theme="0"/>
                </patternFill>
              </fill>
              <border>
                <left/>
                <right/>
                <top/>
                <bottom/>
                <vertical/>
                <horizontal/>
              </border>
            </x14:dxf>
          </x14:cfRule>
          <xm:sqref>AL368 AF368 Z368 AL365 AF365 Z365 AL362 AF362 Z362 AL359 AF359 Z359 AL356 AF356 Z356</xm:sqref>
        </x14:conditionalFormatting>
        <x14:conditionalFormatting xmlns:xm="http://schemas.microsoft.com/office/excel/2006/main">
          <x14:cfRule type="expression" priority="185" id="{7440913C-3A83-4C36-8307-6033572AF13D}">
            <xm:f>'G:\Users\GEC\Documents\LUZ\[Copia de 20200615.xlsx]DATOS'!#REF!="NO"</xm:f>
            <x14:dxf>
              <border>
                <left/>
                <right/>
                <top/>
                <bottom/>
                <vertical/>
                <horizontal/>
              </border>
            </x14:dxf>
          </x14:cfRule>
          <xm:sqref>AK395 AE395 Y395 AK392 AE392 Y392 AK389 AE389 Y389 AK386 AE386 Y386 AK383 AE383 Y383</xm:sqref>
        </x14:conditionalFormatting>
        <x14:conditionalFormatting xmlns:xm="http://schemas.microsoft.com/office/excel/2006/main">
          <x14:cfRule type="expression" priority="184" id="{0A42FA94-A179-455B-8299-163815BBF69E}">
            <xm:f>OR('G:\Users\GEC\Documents\LUZ\[Copia de 20200615.xlsx]AUX'!#REF!=TRUE,'G:\Users\GEC\Documents\LUZ\[Copia de 20200615.xlsx]AUX'!#REF!=TRUE)</xm:f>
            <x14:dxf>
              <font>
                <color theme="0"/>
              </font>
              <fill>
                <patternFill>
                  <bgColor theme="0"/>
                </patternFill>
              </fill>
              <border>
                <left/>
                <right/>
                <top/>
                <bottom/>
                <vertical/>
                <horizontal/>
              </border>
            </x14:dxf>
          </x14:cfRule>
          <xm:sqref>AJ395:AK395 AD395:AE395 X395:Y395 AJ392:AK392 AD392:AE392 X392:Y392 AJ389:AK389 AD389:AE389 X389:Y389 AJ386:AK386 AD386:AE386 X386:Y386 AJ383:AK383 AD383:AE383 X383:Y383</xm:sqref>
        </x14:conditionalFormatting>
        <x14:conditionalFormatting xmlns:xm="http://schemas.microsoft.com/office/excel/2006/main">
          <x14:cfRule type="expression" priority="181" id="{22B6068B-F12A-47D1-8D83-F3B068A764EB}">
            <xm:f>OR('G:\Users\GEC\Documents\LUZ\[Copia de 20200615.xlsx]AUX'!#REF!=TRUE,'G:\Users\GEC\Documents\LUZ\[Copia de 20200615.xlsx]AUX'!#REF!=TRUE)</xm:f>
            <x14:dxf>
              <font>
                <color theme="0"/>
              </font>
              <fill>
                <patternFill>
                  <bgColor theme="0"/>
                </patternFill>
              </fill>
              <border>
                <left/>
                <right/>
                <top/>
                <bottom/>
                <vertical/>
                <horizontal/>
              </border>
            </x14:dxf>
          </x14:cfRule>
          <xm:sqref>AL395 AF395 Z395 AL392 AF392 Z392 AL389 AF389 Z389 AL386 AF386 Z386 AL383 AF383 Z383</xm:sqref>
        </x14:conditionalFormatting>
        <x14:conditionalFormatting xmlns:xm="http://schemas.microsoft.com/office/excel/2006/main">
          <x14:cfRule type="expression" priority="5" id="{3231AD82-BDA9-415F-9FA4-298283406B5D}">
            <xm:f>'G:\Users\GEC\Documents\LUZ\[Copia de 20200615.xlsx]DATOS'!#REF!="NO"</xm:f>
            <x14:dxf>
              <border>
                <left/>
                <right/>
                <top/>
                <bottom/>
                <vertical/>
                <horizontal/>
              </border>
            </x14:dxf>
          </x14:cfRule>
          <xm:sqref>Y182 Y185 Y188 Y191 Y209 Y212 Y215 Y218 Y236 Y239 Y242 Y245 Y263 Y266 Y269 Y272 Y290 Y293 Y296 Y299 Y317 Y320 Y323 Y326 Y344 Y347 Y350 Y353 Y371 Y374 Y377 Y380 Y398 Y401 Y404 Y407</xm:sqref>
        </x14:conditionalFormatting>
        <x14:conditionalFormatting xmlns:xm="http://schemas.microsoft.com/office/excel/2006/main">
          <x14:cfRule type="expression" priority="4" id="{BC644EA0-EC32-44D2-B468-8C90ED47F918}">
            <xm:f>OR('G:\Users\GEC\Documents\LUZ\[Copia de 20200615.xlsx]AUX'!#REF!=TRUE,'G:\Users\GEC\Documents\LUZ\[Copia de 20200615.xlsx]AUX'!#REF!=TRUE)</xm:f>
            <x14:dxf>
              <font>
                <color theme="0"/>
              </font>
              <fill>
                <patternFill>
                  <bgColor theme="0"/>
                </patternFill>
              </fill>
              <border>
                <left/>
                <right/>
                <top/>
                <bottom/>
                <vertical/>
                <horizontal/>
              </border>
            </x14:dxf>
          </x14:cfRule>
          <xm:sqref>X182:Y182 X185:Y185 X188:Y188 X191:Y191 X209:Y209 X212:Y212 X215:Y215 X218:Y218 X236:Y236 X239:Y239 X242:Y242 X245:Y245 X263:Y263 X266:Y266 X269:Y269 X272:Y272 X290:Y290 X293:Y293 X296:Y296 X299:Y299 X317:Y317 X320:Y320 X323:Y323 X326:Y326 X344:Y344 X347:Y347 X350:Y350 X353:Y353 X371:Y371 X374:Y374 X377:Y377 X380:Y380 X398:Y398 X401:Y401 X404:Y404 X407:Y407</xm:sqref>
        </x14:conditionalFormatting>
        <x14:conditionalFormatting xmlns:xm="http://schemas.microsoft.com/office/excel/2006/main">
          <x14:cfRule type="expression" priority="1" id="{0545FF80-7F81-49C9-99E7-8747BB23A94C}">
            <xm:f>OR('G:\Users\GEC\Documents\LUZ\[Copia de 20200615.xlsx]AUX'!#REF!=TRUE,'G:\Users\GEC\Documents\LUZ\[Copia de 20200615.xlsx]AUX'!#REF!=TRUE)</xm:f>
            <x14:dxf>
              <font>
                <color theme="0"/>
              </font>
              <fill>
                <patternFill>
                  <bgColor theme="0"/>
                </patternFill>
              </fill>
              <border>
                <left/>
                <right/>
                <top/>
                <bottom/>
                <vertical/>
                <horizontal/>
              </border>
            </x14:dxf>
          </x14:cfRule>
          <xm:sqref>Z182 Z185 Z188 Z191 Z209 Z212 Z215 Z218 Z236 Z239 Z242 Z245 Z263 Z266 Z269 Z272 Z290 Z293 Z296 Z299 Z317 Z320 Z323 Z326 Z344 Z347 Z350 Z353 Z371 Z374 Z377 Z380 Z398 Z401 Z404 Z407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4"/>
  <dimension ref="A1:AQ26"/>
  <sheetViews>
    <sheetView zoomScale="85" zoomScaleNormal="85" workbookViewId="0">
      <selection activeCell="AL11" sqref="AL11"/>
    </sheetView>
  </sheetViews>
  <sheetFormatPr defaultColWidth="11.42578125" defaultRowHeight="14.45"/>
  <cols>
    <col min="1" max="1" width="11.42578125" style="44"/>
    <col min="2" max="16384" width="11.42578125" style="19"/>
  </cols>
  <sheetData>
    <row r="1" spans="1:25" s="44" customFormat="1" ht="15" thickBot="1">
      <c r="B1" s="615" t="s">
        <v>219</v>
      </c>
      <c r="C1" s="616"/>
      <c r="D1" s="616"/>
      <c r="E1" s="616"/>
      <c r="F1" s="616"/>
      <c r="G1" s="648"/>
      <c r="H1" s="615" t="s">
        <v>220</v>
      </c>
      <c r="I1" s="616"/>
      <c r="J1" s="616"/>
      <c r="K1" s="616"/>
      <c r="L1" s="616"/>
      <c r="M1" s="648"/>
      <c r="N1" s="615" t="s">
        <v>221</v>
      </c>
      <c r="O1" s="616"/>
      <c r="P1" s="616"/>
      <c r="Q1" s="616"/>
      <c r="R1" s="616"/>
      <c r="S1" s="648"/>
      <c r="T1" s="615" t="s">
        <v>181</v>
      </c>
      <c r="U1" s="616"/>
      <c r="V1" s="616"/>
      <c r="W1" s="616"/>
      <c r="X1" s="616"/>
      <c r="Y1" s="648"/>
    </row>
    <row r="2" spans="1:25" s="44" customFormat="1" ht="15" thickBot="1">
      <c r="A2" s="340"/>
      <c r="B2" s="49" t="s">
        <v>115</v>
      </c>
      <c r="C2" s="50" t="s">
        <v>116</v>
      </c>
      <c r="D2" s="50" t="s">
        <v>60</v>
      </c>
      <c r="E2" s="50" t="s">
        <v>62</v>
      </c>
      <c r="F2" s="50" t="s">
        <v>63</v>
      </c>
      <c r="G2" s="51" t="s">
        <v>65</v>
      </c>
      <c r="H2" s="52" t="s">
        <v>115</v>
      </c>
      <c r="I2" s="50" t="s">
        <v>116</v>
      </c>
      <c r="J2" s="50" t="s">
        <v>60</v>
      </c>
      <c r="K2" s="50" t="s">
        <v>62</v>
      </c>
      <c r="L2" s="50" t="s">
        <v>63</v>
      </c>
      <c r="M2" s="53" t="s">
        <v>65</v>
      </c>
      <c r="N2" s="49" t="s">
        <v>115</v>
      </c>
      <c r="O2" s="50" t="s">
        <v>116</v>
      </c>
      <c r="P2" s="50" t="s">
        <v>60</v>
      </c>
      <c r="Q2" s="50" t="s">
        <v>62</v>
      </c>
      <c r="R2" s="50" t="s">
        <v>63</v>
      </c>
      <c r="S2" s="51" t="s">
        <v>65</v>
      </c>
      <c r="T2" s="52" t="s">
        <v>115</v>
      </c>
      <c r="U2" s="50" t="s">
        <v>116</v>
      </c>
      <c r="V2" s="50" t="s">
        <v>60</v>
      </c>
      <c r="W2" s="50" t="s">
        <v>62</v>
      </c>
      <c r="X2" s="50" t="s">
        <v>63</v>
      </c>
      <c r="Y2" s="51" t="s">
        <v>65</v>
      </c>
    </row>
    <row r="3" spans="1:25">
      <c r="A3" s="45" t="s">
        <v>198</v>
      </c>
      <c r="B3" s="54">
        <f>IF('INTRODUCIR DATOS'!$D$18="2.0TD",'PRECIOS CYE'!H3,IF('INTRODUCIR DATOS'!$D$18="3.0TD",'PRECIOS CYE'!N3,IF('INTRODUCIR DATOS'!$D$18="6.1TD",'PRECIOS CYE'!T3)))</f>
        <v>0</v>
      </c>
      <c r="C3" s="55">
        <f>IF('INTRODUCIR DATOS'!$D$18="2.0TD",'PRECIOS CYE'!I3,IF('INTRODUCIR DATOS'!$D$18="3.0TD",'PRECIOS CYE'!O3,IF('INTRODUCIR DATOS'!$D$18="6.1TD",'PRECIOS CYE'!U3)))</f>
        <v>0</v>
      </c>
      <c r="D3" s="55">
        <f>IF('INTRODUCIR DATOS'!$D$18="2.0TD",'PRECIOS CYE'!J3,IF('INTRODUCIR DATOS'!$D$18="3.0TD",'PRECIOS CYE'!P3,IF('INTRODUCIR DATOS'!$D$18="6.1TD",'PRECIOS CYE'!V3)))</f>
        <v>0</v>
      </c>
      <c r="E3" s="55">
        <f>IF('INTRODUCIR DATOS'!$D$18="2.0TD",'PRECIOS CYE'!K3,IF('INTRODUCIR DATOS'!$D$18="3.0TD",'PRECIOS CYE'!Q3,IF('INTRODUCIR DATOS'!$D$18="6.1TD",'PRECIOS CYE'!W3)))</f>
        <v>0</v>
      </c>
      <c r="F3" s="55">
        <f>IF('INTRODUCIR DATOS'!$D$18="2.0TD",'PRECIOS CYE'!L3,IF('INTRODUCIR DATOS'!$D$18="3.0TD",'PRECIOS CYE'!R3,IF('INTRODUCIR DATOS'!$D$18="6.1TD",'PRECIOS CYE'!X3)))</f>
        <v>0</v>
      </c>
      <c r="G3" s="69">
        <f>IF('INTRODUCIR DATOS'!$D$18="2.0TD",'PRECIOS CYE'!M3,IF('INTRODUCIR DATOS'!$D$18="3.0TD",'PRECIOS CYE'!S3,IF('INTRODUCIR DATOS'!$D$18="6.1TD",'PRECIOS CYE'!Y3)))</f>
        <v>0</v>
      </c>
      <c r="H3" s="54"/>
      <c r="I3" s="55"/>
      <c r="J3" s="55"/>
      <c r="K3" s="55"/>
      <c r="L3" s="55"/>
      <c r="M3" s="56"/>
      <c r="N3" s="54"/>
      <c r="O3" s="55"/>
      <c r="P3" s="55"/>
      <c r="Q3" s="55"/>
      <c r="R3" s="55"/>
      <c r="S3" s="56"/>
      <c r="T3" s="57"/>
      <c r="U3" s="55"/>
      <c r="V3" s="55"/>
      <c r="W3" s="55"/>
      <c r="X3" s="55"/>
      <c r="Y3" s="56"/>
    </row>
    <row r="4" spans="1:25">
      <c r="A4" s="46" t="s">
        <v>201</v>
      </c>
      <c r="B4" s="58">
        <f>IF('INTRODUCIR DATOS'!$D$18="2.0TD",'PRECIOS CYE'!H4,IF('INTRODUCIR DATOS'!$D$18="3.0TD",'PRECIOS CYE'!N4,IF('INTRODUCIR DATOS'!$D$18="6.1TD",'PRECIOS CYE'!T4)))</f>
        <v>0</v>
      </c>
      <c r="C4" s="59">
        <f>IF('INTRODUCIR DATOS'!$D$18="2.0TD",'PRECIOS CYE'!I4,IF('INTRODUCIR DATOS'!$D$18="3.0TD",'PRECIOS CYE'!O4,IF('INTRODUCIR DATOS'!$D$18="6.1TD",'PRECIOS CYE'!U4)))</f>
        <v>0</v>
      </c>
      <c r="D4" s="59">
        <f>IF('INTRODUCIR DATOS'!$D$18="2.0TD",'PRECIOS CYE'!J4,IF('INTRODUCIR DATOS'!$D$18="3.0TD",'PRECIOS CYE'!P4,IF('INTRODUCIR DATOS'!$D$18="6.1TD",'PRECIOS CYE'!V4)))</f>
        <v>0</v>
      </c>
      <c r="E4" s="59">
        <f>IF('INTRODUCIR DATOS'!$D$18="2.0TD",'PRECIOS CYE'!K4,IF('INTRODUCIR DATOS'!$D$18="3.0TD",'PRECIOS CYE'!Q4,IF('INTRODUCIR DATOS'!$D$18="6.1TD",'PRECIOS CYE'!W4)))</f>
        <v>0</v>
      </c>
      <c r="F4" s="59">
        <f>IF('INTRODUCIR DATOS'!$D$18="2.0TD",'PRECIOS CYE'!L4,IF('INTRODUCIR DATOS'!$D$18="3.0TD",'PRECIOS CYE'!R4,IF('INTRODUCIR DATOS'!$D$18="6.1TD",'PRECIOS CYE'!X4)))</f>
        <v>0</v>
      </c>
      <c r="G4" s="70">
        <f>IF('INTRODUCIR DATOS'!$D$18="2.0TD",'PRECIOS CYE'!M4,IF('INTRODUCIR DATOS'!$D$18="3.0TD",'PRECIOS CYE'!S4,IF('INTRODUCIR DATOS'!$D$18="6.1TD",'PRECIOS CYE'!Y4)))</f>
        <v>0</v>
      </c>
      <c r="H4" s="58"/>
      <c r="I4" s="59"/>
      <c r="J4" s="59"/>
      <c r="K4" s="59"/>
      <c r="L4" s="59"/>
      <c r="M4" s="60"/>
      <c r="N4" s="58"/>
      <c r="O4" s="59"/>
      <c r="P4" s="59"/>
      <c r="Q4" s="59"/>
      <c r="R4" s="59"/>
      <c r="S4" s="60"/>
      <c r="T4" s="61"/>
      <c r="U4" s="59"/>
      <c r="V4" s="59"/>
      <c r="W4" s="59"/>
      <c r="X4" s="59"/>
      <c r="Y4" s="60"/>
    </row>
    <row r="5" spans="1:25">
      <c r="A5" s="46" t="s">
        <v>71</v>
      </c>
      <c r="B5" s="58">
        <f>IF('INTRODUCIR DATOS'!$D$18="2.0TD",'PRECIOS CYE'!H5,IF('INTRODUCIR DATOS'!$D$18="3.0TD",'PRECIOS CYE'!N5,IF('INTRODUCIR DATOS'!$D$18="6.1TD",'PRECIOS CYE'!T5)))</f>
        <v>0</v>
      </c>
      <c r="C5" s="59">
        <f>IF('INTRODUCIR DATOS'!$D$18="2.0TD",'PRECIOS CYE'!I5,IF('INTRODUCIR DATOS'!$D$18="3.0TD",'PRECIOS CYE'!O5,IF('INTRODUCIR DATOS'!$D$18="6.1TD",'PRECIOS CYE'!U5)))</f>
        <v>0</v>
      </c>
      <c r="D5" s="59">
        <f>IF('INTRODUCIR DATOS'!$D$18="2.0TD",'PRECIOS CYE'!J5,IF('INTRODUCIR DATOS'!$D$18="3.0TD",'PRECIOS CYE'!P5,IF('INTRODUCIR DATOS'!$D$18="6.1TD",'PRECIOS CYE'!V5)))</f>
        <v>0</v>
      </c>
      <c r="E5" s="59">
        <f>IF('INTRODUCIR DATOS'!$D$18="2.0TD",'PRECIOS CYE'!K5,IF('INTRODUCIR DATOS'!$D$18="3.0TD",'PRECIOS CYE'!Q5,IF('INTRODUCIR DATOS'!$D$18="6.1TD",'PRECIOS CYE'!W5)))</f>
        <v>0</v>
      </c>
      <c r="F5" s="59">
        <f>IF('INTRODUCIR DATOS'!$D$18="2.0TD",'PRECIOS CYE'!L5,IF('INTRODUCIR DATOS'!$D$18="3.0TD",'PRECIOS CYE'!R5,IF('INTRODUCIR DATOS'!$D$18="6.1TD",'PRECIOS CYE'!X5)))</f>
        <v>0</v>
      </c>
      <c r="G5" s="70">
        <f>IF('INTRODUCIR DATOS'!$D$18="2.0TD",'PRECIOS CYE'!M5,IF('INTRODUCIR DATOS'!$D$18="3.0TD",'PRECIOS CYE'!S5,IF('INTRODUCIR DATOS'!$D$18="6.1TD",'PRECIOS CYE'!Y5)))</f>
        <v>0</v>
      </c>
      <c r="H5" s="58"/>
      <c r="I5" s="59"/>
      <c r="J5" s="59"/>
      <c r="K5" s="59"/>
      <c r="L5" s="59"/>
      <c r="M5" s="60"/>
      <c r="N5" s="58"/>
      <c r="O5" s="59"/>
      <c r="P5" s="59"/>
      <c r="Q5" s="59"/>
      <c r="R5" s="59"/>
      <c r="S5" s="60"/>
      <c r="T5" s="61"/>
      <c r="U5" s="59"/>
      <c r="V5" s="59"/>
      <c r="W5" s="59"/>
      <c r="X5" s="59"/>
      <c r="Y5" s="60"/>
    </row>
    <row r="6" spans="1:25">
      <c r="A6" s="46" t="s">
        <v>205</v>
      </c>
      <c r="B6" s="58">
        <f>IF('INTRODUCIR DATOS'!$D$18="2.0TD",'PRECIOS CYE'!H6,IF('INTRODUCIR DATOS'!$D$18="3.0TD",'PRECIOS CYE'!N6,IF('INTRODUCIR DATOS'!$D$18="6.1TD",'PRECIOS CYE'!T6)))</f>
        <v>0</v>
      </c>
      <c r="C6" s="59">
        <f>IF('INTRODUCIR DATOS'!$D$18="2.0TD",'PRECIOS CYE'!I6,IF('INTRODUCIR DATOS'!$D$18="3.0TD",'PRECIOS CYE'!O6,IF('INTRODUCIR DATOS'!$D$18="6.1TD",'PRECIOS CYE'!U6)))</f>
        <v>0</v>
      </c>
      <c r="D6" s="59">
        <f>IF('INTRODUCIR DATOS'!$D$18="2.0TD",'PRECIOS CYE'!J6,IF('INTRODUCIR DATOS'!$D$18="3.0TD",'PRECIOS CYE'!P6,IF('INTRODUCIR DATOS'!$D$18="6.1TD",'PRECIOS CYE'!V6)))</f>
        <v>0</v>
      </c>
      <c r="E6" s="59">
        <f>IF('INTRODUCIR DATOS'!$D$18="2.0TD",'PRECIOS CYE'!K6,IF('INTRODUCIR DATOS'!$D$18="3.0TD",'PRECIOS CYE'!Q6,IF('INTRODUCIR DATOS'!$D$18="6.1TD",'PRECIOS CYE'!W6)))</f>
        <v>0</v>
      </c>
      <c r="F6" s="59">
        <f>IF('INTRODUCIR DATOS'!$D$18="2.0TD",'PRECIOS CYE'!L6,IF('INTRODUCIR DATOS'!$D$18="3.0TD",'PRECIOS CYE'!R6,IF('INTRODUCIR DATOS'!$D$18="6.1TD",'PRECIOS CYE'!X6)))</f>
        <v>0</v>
      </c>
      <c r="G6" s="70">
        <f>IF('INTRODUCIR DATOS'!$D$18="2.0TD",'PRECIOS CYE'!M6,IF('INTRODUCIR DATOS'!$D$18="3.0TD",'PRECIOS CYE'!S6,IF('INTRODUCIR DATOS'!$D$18="6.1TD",'PRECIOS CYE'!Y6)))</f>
        <v>0</v>
      </c>
      <c r="H6" s="58"/>
      <c r="I6" s="59"/>
      <c r="J6" s="59"/>
      <c r="K6" s="59"/>
      <c r="L6" s="59"/>
      <c r="M6" s="60"/>
      <c r="N6" s="58"/>
      <c r="O6" s="59"/>
      <c r="P6" s="59"/>
      <c r="Q6" s="59"/>
      <c r="R6" s="59"/>
      <c r="S6" s="60"/>
      <c r="T6" s="61"/>
      <c r="U6" s="59"/>
      <c r="V6" s="59"/>
      <c r="W6" s="59"/>
      <c r="X6" s="59"/>
      <c r="Y6" s="60"/>
    </row>
    <row r="7" spans="1:25">
      <c r="A7" s="46" t="s">
        <v>76</v>
      </c>
      <c r="B7" s="58">
        <f>IF('INTRODUCIR DATOS'!$D$18="2.0TD",'PRECIOS CYE'!H7,IF('INTRODUCIR DATOS'!$D$18="3.0TD",'PRECIOS CYE'!N7,IF('INTRODUCIR DATOS'!$D$18="6.1TD",'PRECIOS CYE'!T7)))</f>
        <v>0</v>
      </c>
      <c r="C7" s="59">
        <f>IF('INTRODUCIR DATOS'!$D$18="2.0TD",'PRECIOS CYE'!I7,IF('INTRODUCIR DATOS'!$D$18="3.0TD",'PRECIOS CYE'!O7,IF('INTRODUCIR DATOS'!$D$18="6.1TD",'PRECIOS CYE'!U7)))</f>
        <v>0</v>
      </c>
      <c r="D7" s="59">
        <f>IF('INTRODUCIR DATOS'!$D$18="2.0TD",'PRECIOS CYE'!J7,IF('INTRODUCIR DATOS'!$D$18="3.0TD",'PRECIOS CYE'!P7,IF('INTRODUCIR DATOS'!$D$18="6.1TD",'PRECIOS CYE'!V7)))</f>
        <v>0</v>
      </c>
      <c r="E7" s="59">
        <f>IF('INTRODUCIR DATOS'!$D$18="2.0TD",'PRECIOS CYE'!K7,IF('INTRODUCIR DATOS'!$D$18="3.0TD",'PRECIOS CYE'!Q7,IF('INTRODUCIR DATOS'!$D$18="6.1TD",'PRECIOS CYE'!W7)))</f>
        <v>0</v>
      </c>
      <c r="F7" s="59">
        <f>IF('INTRODUCIR DATOS'!$D$18="2.0TD",'PRECIOS CYE'!L7,IF('INTRODUCIR DATOS'!$D$18="3.0TD",'PRECIOS CYE'!R7,IF('INTRODUCIR DATOS'!$D$18="6.1TD",'PRECIOS CYE'!X7)))</f>
        <v>0</v>
      </c>
      <c r="G7" s="70">
        <f>IF('INTRODUCIR DATOS'!$D$18="2.0TD",'PRECIOS CYE'!M7,IF('INTRODUCIR DATOS'!$D$18="3.0TD",'PRECIOS CYE'!S7,IF('INTRODUCIR DATOS'!$D$18="6.1TD",'PRECIOS CYE'!Y7)))</f>
        <v>0</v>
      </c>
      <c r="H7" s="58"/>
      <c r="I7" s="59"/>
      <c r="J7" s="59"/>
      <c r="K7" s="59"/>
      <c r="L7" s="59"/>
      <c r="M7" s="60"/>
      <c r="N7" s="58"/>
      <c r="O7" s="59"/>
      <c r="P7" s="59"/>
      <c r="Q7" s="59"/>
      <c r="R7" s="59"/>
      <c r="S7" s="60"/>
      <c r="T7" s="61"/>
      <c r="U7" s="59"/>
      <c r="V7" s="59"/>
      <c r="W7" s="59"/>
      <c r="X7" s="59"/>
      <c r="Y7" s="60"/>
    </row>
    <row r="8" spans="1:25">
      <c r="A8" s="46" t="s">
        <v>79</v>
      </c>
      <c r="B8" s="58">
        <f>IF('INTRODUCIR DATOS'!$D$18="2.0TD",'PRECIOS CYE'!H8,IF('INTRODUCIR DATOS'!$D$18="3.0TD",'PRECIOS CYE'!N8,IF('INTRODUCIR DATOS'!$D$18="6.1TD",'PRECIOS CYE'!T8)))</f>
        <v>0</v>
      </c>
      <c r="C8" s="59">
        <f>IF('INTRODUCIR DATOS'!$D$18="2.0TD",'PRECIOS CYE'!I8,IF('INTRODUCIR DATOS'!$D$18="3.0TD",'PRECIOS CYE'!O8,IF('INTRODUCIR DATOS'!$D$18="6.1TD",'PRECIOS CYE'!U8)))</f>
        <v>0</v>
      </c>
      <c r="D8" s="59">
        <f>IF('INTRODUCIR DATOS'!$D$18="2.0TD",'PRECIOS CYE'!J8,IF('INTRODUCIR DATOS'!$D$18="3.0TD",'PRECIOS CYE'!P8,IF('INTRODUCIR DATOS'!$D$18="6.1TD",'PRECIOS CYE'!V8)))</f>
        <v>0</v>
      </c>
      <c r="E8" s="59">
        <f>IF('INTRODUCIR DATOS'!$D$18="2.0TD",'PRECIOS CYE'!K8,IF('INTRODUCIR DATOS'!$D$18="3.0TD",'PRECIOS CYE'!Q8,IF('INTRODUCIR DATOS'!$D$18="6.1TD",'PRECIOS CYE'!W8)))</f>
        <v>0</v>
      </c>
      <c r="F8" s="59">
        <f>IF('INTRODUCIR DATOS'!$D$18="2.0TD",'PRECIOS CYE'!L8,IF('INTRODUCIR DATOS'!$D$18="3.0TD",'PRECIOS CYE'!R8,IF('INTRODUCIR DATOS'!$D$18="6.1TD",'PRECIOS CYE'!X8)))</f>
        <v>0</v>
      </c>
      <c r="G8" s="70">
        <f>IF('INTRODUCIR DATOS'!$D$18="2.0TD",'PRECIOS CYE'!M8,IF('INTRODUCIR DATOS'!$D$18="3.0TD",'PRECIOS CYE'!S8,IF('INTRODUCIR DATOS'!$D$18="6.1TD",'PRECIOS CYE'!Y8)))</f>
        <v>0</v>
      </c>
      <c r="H8" s="58"/>
      <c r="I8" s="59"/>
      <c r="J8" s="59"/>
      <c r="K8" s="59"/>
      <c r="L8" s="59"/>
      <c r="M8" s="60"/>
      <c r="N8" s="58"/>
      <c r="O8" s="59"/>
      <c r="P8" s="59"/>
      <c r="Q8" s="59"/>
      <c r="R8" s="59"/>
      <c r="S8" s="60"/>
      <c r="T8" s="61"/>
      <c r="U8" s="59"/>
      <c r="V8" s="59"/>
      <c r="W8" s="59"/>
      <c r="X8" s="59"/>
      <c r="Y8" s="60"/>
    </row>
    <row r="9" spans="1:25">
      <c r="A9" s="46" t="s">
        <v>37</v>
      </c>
      <c r="B9" s="58">
        <f>IF('INTRODUCIR DATOS'!$D$18="2.0TD",'PRECIOS CYE'!H9,IF('INTRODUCIR DATOS'!$D$18="3.0TD",'PRECIOS CYE'!N9,IF('INTRODUCIR DATOS'!$D$18="6.1TD",'PRECIOS CYE'!T9)))</f>
        <v>0</v>
      </c>
      <c r="C9" s="59">
        <f>IF('INTRODUCIR DATOS'!$D$18="2.0TD",'PRECIOS CYE'!I9,IF('INTRODUCIR DATOS'!$D$18="3.0TD",'PRECIOS CYE'!O9,IF('INTRODUCIR DATOS'!$D$18="6.1TD",'PRECIOS CYE'!U9)))</f>
        <v>0</v>
      </c>
      <c r="D9" s="59">
        <f>IF('INTRODUCIR DATOS'!$D$18="2.0TD",'PRECIOS CYE'!J9,IF('INTRODUCIR DATOS'!$D$18="3.0TD",'PRECIOS CYE'!P9,IF('INTRODUCIR DATOS'!$D$18="6.1TD",'PRECIOS CYE'!V9)))</f>
        <v>0</v>
      </c>
      <c r="E9" s="59">
        <f>IF('INTRODUCIR DATOS'!$D$18="2.0TD",'PRECIOS CYE'!K9,IF('INTRODUCIR DATOS'!$D$18="3.0TD",'PRECIOS CYE'!Q9,IF('INTRODUCIR DATOS'!$D$18="6.1TD",'PRECIOS CYE'!W9)))</f>
        <v>0</v>
      </c>
      <c r="F9" s="59">
        <f>IF('INTRODUCIR DATOS'!$D$18="2.0TD",'PRECIOS CYE'!L9,IF('INTRODUCIR DATOS'!$D$18="3.0TD",'PRECIOS CYE'!R9,IF('INTRODUCIR DATOS'!$D$18="6.1TD",'PRECIOS CYE'!X9)))</f>
        <v>0</v>
      </c>
      <c r="G9" s="70">
        <f>IF('INTRODUCIR DATOS'!$D$18="2.0TD",'PRECIOS CYE'!M9,IF('INTRODUCIR DATOS'!$D$18="3.0TD",'PRECIOS CYE'!S9,IF('INTRODUCIR DATOS'!$D$18="6.1TD",'PRECIOS CYE'!Y9)))</f>
        <v>0</v>
      </c>
      <c r="H9" s="58"/>
      <c r="I9" s="59"/>
      <c r="J9" s="59"/>
      <c r="K9" s="59"/>
      <c r="L9" s="59"/>
      <c r="M9" s="60"/>
      <c r="N9" s="58"/>
      <c r="O9" s="59"/>
      <c r="P9" s="59"/>
      <c r="Q9" s="59"/>
      <c r="R9" s="59"/>
      <c r="S9" s="60"/>
      <c r="T9" s="61"/>
      <c r="U9" s="59"/>
      <c r="V9" s="59"/>
      <c r="W9" s="59"/>
      <c r="X9" s="59"/>
      <c r="Y9" s="60"/>
    </row>
    <row r="10" spans="1:25">
      <c r="A10" s="46" t="s">
        <v>208</v>
      </c>
      <c r="B10" s="58">
        <f>IF('INTRODUCIR DATOS'!$D$18="2.0TD",'PRECIOS CYE'!H10,IF('INTRODUCIR DATOS'!$D$18="3.0TD",'PRECIOS CYE'!N10,IF('INTRODUCIR DATOS'!$D$18="6.1TD",'PRECIOS CYE'!T10)))</f>
        <v>0</v>
      </c>
      <c r="C10" s="59">
        <f>IF('INTRODUCIR DATOS'!$D$18="2.0TD",'PRECIOS CYE'!I10,IF('INTRODUCIR DATOS'!$D$18="3.0TD",'PRECIOS CYE'!O10,IF('INTRODUCIR DATOS'!$D$18="6.1TD",'PRECIOS CYE'!U10)))</f>
        <v>0</v>
      </c>
      <c r="D10" s="59">
        <f>IF('INTRODUCIR DATOS'!$D$18="2.0TD",'PRECIOS CYE'!J10,IF('INTRODUCIR DATOS'!$D$18="3.0TD",'PRECIOS CYE'!P10,IF('INTRODUCIR DATOS'!$D$18="6.1TD",'PRECIOS CYE'!V10)))</f>
        <v>0</v>
      </c>
      <c r="E10" s="59">
        <f>IF('INTRODUCIR DATOS'!$D$18="2.0TD",'PRECIOS CYE'!K10,IF('INTRODUCIR DATOS'!$D$18="3.0TD",'PRECIOS CYE'!Q10,IF('INTRODUCIR DATOS'!$D$18="6.1TD",'PRECIOS CYE'!W10)))</f>
        <v>0</v>
      </c>
      <c r="F10" s="59">
        <f>IF('INTRODUCIR DATOS'!$D$18="2.0TD",'PRECIOS CYE'!L10,IF('INTRODUCIR DATOS'!$D$18="3.0TD",'PRECIOS CYE'!R10,IF('INTRODUCIR DATOS'!$D$18="6.1TD",'PRECIOS CYE'!X10)))</f>
        <v>0</v>
      </c>
      <c r="G10" s="70">
        <f>IF('INTRODUCIR DATOS'!$D$18="2.0TD",'PRECIOS CYE'!M10,IF('INTRODUCIR DATOS'!$D$18="3.0TD",'PRECIOS CYE'!S10,IF('INTRODUCIR DATOS'!$D$18="6.1TD",'PRECIOS CYE'!Y10)))</f>
        <v>0</v>
      </c>
      <c r="H10" s="58"/>
      <c r="I10" s="59"/>
      <c r="J10" s="59"/>
      <c r="K10" s="59"/>
      <c r="L10" s="59"/>
      <c r="M10" s="60"/>
      <c r="N10" s="58"/>
      <c r="O10" s="59"/>
      <c r="P10" s="59"/>
      <c r="Q10" s="59"/>
      <c r="R10" s="59"/>
      <c r="S10" s="60"/>
      <c r="T10" s="61"/>
      <c r="U10" s="59"/>
      <c r="V10" s="59"/>
      <c r="W10" s="59"/>
      <c r="X10" s="59"/>
      <c r="Y10" s="60"/>
    </row>
    <row r="11" spans="1:25">
      <c r="A11" s="46" t="s">
        <v>209</v>
      </c>
      <c r="B11" s="58">
        <f>IF('INTRODUCIR DATOS'!$D$18="2.0TD",'PRECIOS CYE'!H11,IF('INTRODUCIR DATOS'!$D$18="3.0TD",'PRECIOS CYE'!N11,IF('INTRODUCIR DATOS'!$D$18="6.1TD",'PRECIOS CYE'!T11)))</f>
        <v>0</v>
      </c>
      <c r="C11" s="59">
        <f>IF('INTRODUCIR DATOS'!$D$18="2.0TD",'PRECIOS CYE'!I11,IF('INTRODUCIR DATOS'!$D$18="3.0TD",'PRECIOS CYE'!O11,IF('INTRODUCIR DATOS'!$D$18="6.1TD",'PRECIOS CYE'!U11)))</f>
        <v>0</v>
      </c>
      <c r="D11" s="59">
        <f>IF('INTRODUCIR DATOS'!$D$18="2.0TD",'PRECIOS CYE'!J11,IF('INTRODUCIR DATOS'!$D$18="3.0TD",'PRECIOS CYE'!P11,IF('INTRODUCIR DATOS'!$D$18="6.1TD",'PRECIOS CYE'!V11)))</f>
        <v>0</v>
      </c>
      <c r="E11" s="59">
        <f>IF('INTRODUCIR DATOS'!$D$18="2.0TD",'PRECIOS CYE'!K11,IF('INTRODUCIR DATOS'!$D$18="3.0TD",'PRECIOS CYE'!Q11,IF('INTRODUCIR DATOS'!$D$18="6.1TD",'PRECIOS CYE'!W11)))</f>
        <v>0</v>
      </c>
      <c r="F11" s="59">
        <f>IF('INTRODUCIR DATOS'!$D$18="2.0TD",'PRECIOS CYE'!L11,IF('INTRODUCIR DATOS'!$D$18="3.0TD",'PRECIOS CYE'!R11,IF('INTRODUCIR DATOS'!$D$18="6.1TD",'PRECIOS CYE'!X11)))</f>
        <v>0</v>
      </c>
      <c r="G11" s="70">
        <f>IF('INTRODUCIR DATOS'!$D$18="2.0TD",'PRECIOS CYE'!M11,IF('INTRODUCIR DATOS'!$D$18="3.0TD",'PRECIOS CYE'!S11,IF('INTRODUCIR DATOS'!$D$18="6.1TD",'PRECIOS CYE'!Y11)))</f>
        <v>0</v>
      </c>
      <c r="H11" s="58"/>
      <c r="I11" s="59"/>
      <c r="J11" s="59"/>
      <c r="K11" s="59"/>
      <c r="L11" s="59"/>
      <c r="M11" s="60"/>
      <c r="N11" s="58"/>
      <c r="O11" s="59"/>
      <c r="P11" s="59"/>
      <c r="Q11" s="59"/>
      <c r="R11" s="59"/>
      <c r="S11" s="60"/>
      <c r="T11" s="61"/>
      <c r="U11" s="59"/>
      <c r="V11" s="59"/>
      <c r="W11" s="59"/>
      <c r="X11" s="59"/>
      <c r="Y11" s="60"/>
    </row>
    <row r="12" spans="1:25">
      <c r="A12" s="46" t="s">
        <v>210</v>
      </c>
      <c r="B12" s="58">
        <f>IF('INTRODUCIR DATOS'!$D$18="2.0TD",'PRECIOS CYE'!H12,IF('INTRODUCIR DATOS'!$D$18="3.0TD",'PRECIOS CYE'!N12,IF('INTRODUCIR DATOS'!$D$18="6.1TD",'PRECIOS CYE'!T12)))</f>
        <v>0</v>
      </c>
      <c r="C12" s="59">
        <f>IF('INTRODUCIR DATOS'!$D$18="2.0TD",'PRECIOS CYE'!I12,IF('INTRODUCIR DATOS'!$D$18="3.0TD",'PRECIOS CYE'!O12,IF('INTRODUCIR DATOS'!$D$18="6.1TD",'PRECIOS CYE'!U12)))</f>
        <v>0</v>
      </c>
      <c r="D12" s="59">
        <f>IF('INTRODUCIR DATOS'!$D$18="2.0TD",'PRECIOS CYE'!J12,IF('INTRODUCIR DATOS'!$D$18="3.0TD",'PRECIOS CYE'!P12,IF('INTRODUCIR DATOS'!$D$18="6.1TD",'PRECIOS CYE'!V12)))</f>
        <v>0</v>
      </c>
      <c r="E12" s="59">
        <f>IF('INTRODUCIR DATOS'!$D$18="2.0TD",'PRECIOS CYE'!K12,IF('INTRODUCIR DATOS'!$D$18="3.0TD",'PRECIOS CYE'!Q12,IF('INTRODUCIR DATOS'!$D$18="6.1TD",'PRECIOS CYE'!W12)))</f>
        <v>0</v>
      </c>
      <c r="F12" s="59">
        <f>IF('INTRODUCIR DATOS'!$D$18="2.0TD",'PRECIOS CYE'!L12,IF('INTRODUCIR DATOS'!$D$18="3.0TD",'PRECIOS CYE'!R12,IF('INTRODUCIR DATOS'!$D$18="6.1TD",'PRECIOS CYE'!X12)))</f>
        <v>0</v>
      </c>
      <c r="G12" s="70">
        <f>IF('INTRODUCIR DATOS'!$D$18="2.0TD",'PRECIOS CYE'!M12,IF('INTRODUCIR DATOS'!$D$18="3.0TD",'PRECIOS CYE'!S12,IF('INTRODUCIR DATOS'!$D$18="6.1TD",'PRECIOS CYE'!Y12)))</f>
        <v>0</v>
      </c>
      <c r="H12" s="58"/>
      <c r="I12" s="59"/>
      <c r="J12" s="59"/>
      <c r="K12" s="59"/>
      <c r="L12" s="59"/>
      <c r="M12" s="60"/>
      <c r="N12" s="58"/>
      <c r="O12" s="59"/>
      <c r="P12" s="59"/>
      <c r="Q12" s="59"/>
      <c r="R12" s="59"/>
      <c r="S12" s="60"/>
      <c r="T12" s="61"/>
      <c r="U12" s="59"/>
      <c r="V12" s="59"/>
      <c r="W12" s="59"/>
      <c r="X12" s="59"/>
      <c r="Y12" s="60"/>
    </row>
    <row r="13" spans="1:25">
      <c r="A13" s="46" t="s">
        <v>211</v>
      </c>
      <c r="B13" s="58">
        <f>IF('INTRODUCIR DATOS'!$D$18="2.0TD",'PRECIOS CYE'!H13,IF('INTRODUCIR DATOS'!$D$18="3.0TD",'PRECIOS CYE'!N13,IF('INTRODUCIR DATOS'!$D$18="6.1TD",'PRECIOS CYE'!T13)))</f>
        <v>0</v>
      </c>
      <c r="C13" s="59">
        <f>IF('INTRODUCIR DATOS'!$D$18="2.0TD",'PRECIOS CYE'!I13,IF('INTRODUCIR DATOS'!$D$18="3.0TD",'PRECIOS CYE'!O13,IF('INTRODUCIR DATOS'!$D$18="6.1TD",'PRECIOS CYE'!U13)))</f>
        <v>0</v>
      </c>
      <c r="D13" s="59">
        <f>IF('INTRODUCIR DATOS'!$D$18="2.0TD",'PRECIOS CYE'!J13,IF('INTRODUCIR DATOS'!$D$18="3.0TD",'PRECIOS CYE'!P13,IF('INTRODUCIR DATOS'!$D$18="6.1TD",'PRECIOS CYE'!V13)))</f>
        <v>0</v>
      </c>
      <c r="E13" s="59">
        <f>IF('INTRODUCIR DATOS'!$D$18="2.0TD",'PRECIOS CYE'!K13,IF('INTRODUCIR DATOS'!$D$18="3.0TD",'PRECIOS CYE'!Q13,IF('INTRODUCIR DATOS'!$D$18="6.1TD",'PRECIOS CYE'!W13)))</f>
        <v>0</v>
      </c>
      <c r="F13" s="59">
        <f>IF('INTRODUCIR DATOS'!$D$18="2.0TD",'PRECIOS CYE'!L13,IF('INTRODUCIR DATOS'!$D$18="3.0TD",'PRECIOS CYE'!R13,IF('INTRODUCIR DATOS'!$D$18="6.1TD",'PRECIOS CYE'!X13)))</f>
        <v>0</v>
      </c>
      <c r="G13" s="70">
        <f>IF('INTRODUCIR DATOS'!$D$18="2.0TD",'PRECIOS CYE'!M13,IF('INTRODUCIR DATOS'!$D$18="3.0TD",'PRECIOS CYE'!S13,IF('INTRODUCIR DATOS'!$D$18="6.1TD",'PRECIOS CYE'!Y13)))</f>
        <v>0</v>
      </c>
      <c r="H13" s="58"/>
      <c r="I13" s="59"/>
      <c r="J13" s="59"/>
      <c r="K13" s="59"/>
      <c r="L13" s="59"/>
      <c r="M13" s="60"/>
      <c r="N13" s="58"/>
      <c r="O13" s="59"/>
      <c r="P13" s="59"/>
      <c r="Q13" s="59"/>
      <c r="R13" s="59"/>
      <c r="S13" s="60"/>
      <c r="T13" s="61"/>
      <c r="U13" s="59"/>
      <c r="V13" s="59"/>
      <c r="W13" s="59"/>
      <c r="X13" s="59"/>
      <c r="Y13" s="60"/>
    </row>
    <row r="14" spans="1:25">
      <c r="A14" s="46" t="s">
        <v>212</v>
      </c>
      <c r="B14" s="58">
        <f>IF('INTRODUCIR DATOS'!$D$18="2.0TD",'PRECIOS CYE'!H14,IF('INTRODUCIR DATOS'!$D$18="3.0TD",'PRECIOS CYE'!N14,IF('INTRODUCIR DATOS'!$D$18="6.1TD",'PRECIOS CYE'!T14)))</f>
        <v>0</v>
      </c>
      <c r="C14" s="59">
        <f>IF('INTRODUCIR DATOS'!$D$18="2.0TD",'PRECIOS CYE'!I14,IF('INTRODUCIR DATOS'!$D$18="3.0TD",'PRECIOS CYE'!O14,IF('INTRODUCIR DATOS'!$D$18="6.1TD",'PRECIOS CYE'!U14)))</f>
        <v>0</v>
      </c>
      <c r="D14" s="59">
        <f>IF('INTRODUCIR DATOS'!$D$18="2.0TD",'PRECIOS CYE'!J14,IF('INTRODUCIR DATOS'!$D$18="3.0TD",'PRECIOS CYE'!P14,IF('INTRODUCIR DATOS'!$D$18="6.1TD",'PRECIOS CYE'!V14)))</f>
        <v>0</v>
      </c>
      <c r="E14" s="59">
        <f>IF('INTRODUCIR DATOS'!$D$18="2.0TD",'PRECIOS CYE'!K14,IF('INTRODUCIR DATOS'!$D$18="3.0TD",'PRECIOS CYE'!Q14,IF('INTRODUCIR DATOS'!$D$18="6.1TD",'PRECIOS CYE'!W14)))</f>
        <v>0</v>
      </c>
      <c r="F14" s="59">
        <f>IF('INTRODUCIR DATOS'!$D$18="2.0TD",'PRECIOS CYE'!L14,IF('INTRODUCIR DATOS'!$D$18="3.0TD",'PRECIOS CYE'!R14,IF('INTRODUCIR DATOS'!$D$18="6.1TD",'PRECIOS CYE'!X14)))</f>
        <v>0</v>
      </c>
      <c r="G14" s="70">
        <f>IF('INTRODUCIR DATOS'!$D$18="2.0TD",'PRECIOS CYE'!M14,IF('INTRODUCIR DATOS'!$D$18="3.0TD",'PRECIOS CYE'!S14,IF('INTRODUCIR DATOS'!$D$18="6.1TD",'PRECIOS CYE'!Y14)))</f>
        <v>0</v>
      </c>
      <c r="H14" s="58"/>
      <c r="I14" s="59"/>
      <c r="J14" s="59"/>
      <c r="K14" s="59"/>
      <c r="L14" s="59"/>
      <c r="M14" s="60"/>
      <c r="N14" s="58"/>
      <c r="O14" s="59"/>
      <c r="P14" s="59"/>
      <c r="Q14" s="59"/>
      <c r="R14" s="59"/>
      <c r="S14" s="60"/>
      <c r="T14" s="61"/>
      <c r="U14" s="59"/>
      <c r="V14" s="59"/>
      <c r="W14" s="59"/>
      <c r="X14" s="59"/>
      <c r="Y14" s="60"/>
    </row>
    <row r="15" spans="1:25">
      <c r="A15" s="46" t="s">
        <v>213</v>
      </c>
      <c r="B15" s="58">
        <f>IF('INTRODUCIR DATOS'!$D$18="2.0TD",'PRECIOS CYE'!H15,IF('INTRODUCIR DATOS'!$D$18="3.0TD",'PRECIOS CYE'!N15,IF('INTRODUCIR DATOS'!$D$18="6.1TD",'PRECIOS CYE'!T15)))</f>
        <v>0</v>
      </c>
      <c r="C15" s="59">
        <f>IF('INTRODUCIR DATOS'!$D$18="2.0TD",'PRECIOS CYE'!I15,IF('INTRODUCIR DATOS'!$D$18="3.0TD",'PRECIOS CYE'!O15,IF('INTRODUCIR DATOS'!$D$18="6.1TD",'PRECIOS CYE'!U15)))</f>
        <v>0</v>
      </c>
      <c r="D15" s="59">
        <f>IF('INTRODUCIR DATOS'!$D$18="2.0TD",'PRECIOS CYE'!J15,IF('INTRODUCIR DATOS'!$D$18="3.0TD",'PRECIOS CYE'!P15,IF('INTRODUCIR DATOS'!$D$18="6.1TD",'PRECIOS CYE'!V15)))</f>
        <v>0</v>
      </c>
      <c r="E15" s="59">
        <f>IF('INTRODUCIR DATOS'!$D$18="2.0TD",'PRECIOS CYE'!K15,IF('INTRODUCIR DATOS'!$D$18="3.0TD",'PRECIOS CYE'!Q15,IF('INTRODUCIR DATOS'!$D$18="6.1TD",'PRECIOS CYE'!W15)))</f>
        <v>0</v>
      </c>
      <c r="F15" s="59">
        <f>IF('INTRODUCIR DATOS'!$D$18="2.0TD",'PRECIOS CYE'!L15,IF('INTRODUCIR DATOS'!$D$18="3.0TD",'PRECIOS CYE'!R15,IF('INTRODUCIR DATOS'!$D$18="6.1TD",'PRECIOS CYE'!X15)))</f>
        <v>0</v>
      </c>
      <c r="G15" s="70">
        <f>IF('INTRODUCIR DATOS'!$D$18="2.0TD",'PRECIOS CYE'!M15,IF('INTRODUCIR DATOS'!$D$18="3.0TD",'PRECIOS CYE'!S15,IF('INTRODUCIR DATOS'!$D$18="6.1TD",'PRECIOS CYE'!Y15)))</f>
        <v>0</v>
      </c>
      <c r="H15" s="58"/>
      <c r="I15" s="59"/>
      <c r="J15" s="59"/>
      <c r="K15" s="59"/>
      <c r="L15" s="59"/>
      <c r="M15" s="60"/>
      <c r="N15" s="58"/>
      <c r="O15" s="59"/>
      <c r="P15" s="59"/>
      <c r="Q15" s="59"/>
      <c r="R15" s="59"/>
      <c r="S15" s="60"/>
      <c r="T15" s="61"/>
      <c r="U15" s="59"/>
      <c r="V15" s="59"/>
      <c r="W15" s="59"/>
      <c r="X15" s="59"/>
      <c r="Y15" s="60"/>
    </row>
    <row r="16" spans="1:25">
      <c r="A16" s="46" t="s">
        <v>214</v>
      </c>
      <c r="B16" s="58">
        <f>IF('INTRODUCIR DATOS'!$D$18="2.0TD",'PRECIOS CYE'!H16,IF('INTRODUCIR DATOS'!$D$18="3.0TD",'PRECIOS CYE'!N16,IF('INTRODUCIR DATOS'!$D$18="6.1TD",'PRECIOS CYE'!T16)))</f>
        <v>0</v>
      </c>
      <c r="C16" s="59">
        <f>IF('INTRODUCIR DATOS'!$D$18="2.0TD",'PRECIOS CYE'!I16,IF('INTRODUCIR DATOS'!$D$18="3.0TD",'PRECIOS CYE'!O16,IF('INTRODUCIR DATOS'!$D$18="6.1TD",'PRECIOS CYE'!U16)))</f>
        <v>0</v>
      </c>
      <c r="D16" s="59">
        <f>IF('INTRODUCIR DATOS'!$D$18="2.0TD",'PRECIOS CYE'!J16,IF('INTRODUCIR DATOS'!$D$18="3.0TD",'PRECIOS CYE'!P16,IF('INTRODUCIR DATOS'!$D$18="6.1TD",'PRECIOS CYE'!V16)))</f>
        <v>0</v>
      </c>
      <c r="E16" s="59">
        <f>IF('INTRODUCIR DATOS'!$D$18="2.0TD",'PRECIOS CYE'!K16,IF('INTRODUCIR DATOS'!$D$18="3.0TD",'PRECIOS CYE'!Q16,IF('INTRODUCIR DATOS'!$D$18="6.1TD",'PRECIOS CYE'!W16)))</f>
        <v>0</v>
      </c>
      <c r="F16" s="59">
        <f>IF('INTRODUCIR DATOS'!$D$18="2.0TD",'PRECIOS CYE'!L16,IF('INTRODUCIR DATOS'!$D$18="3.0TD",'PRECIOS CYE'!R16,IF('INTRODUCIR DATOS'!$D$18="6.1TD",'PRECIOS CYE'!X16)))</f>
        <v>0</v>
      </c>
      <c r="G16" s="70">
        <f>IF('INTRODUCIR DATOS'!$D$18="2.0TD",'PRECIOS CYE'!M16,IF('INTRODUCIR DATOS'!$D$18="3.0TD",'PRECIOS CYE'!S16,IF('INTRODUCIR DATOS'!$D$18="6.1TD",'PRECIOS CYE'!Y16)))</f>
        <v>0</v>
      </c>
      <c r="H16" s="58"/>
      <c r="I16" s="59"/>
      <c r="J16" s="59"/>
      <c r="K16" s="59"/>
      <c r="L16" s="59"/>
      <c r="M16" s="60"/>
      <c r="N16" s="58"/>
      <c r="O16" s="59"/>
      <c r="P16" s="59"/>
      <c r="Q16" s="59"/>
      <c r="R16" s="59"/>
      <c r="S16" s="60"/>
      <c r="T16" s="61"/>
      <c r="U16" s="59"/>
      <c r="V16" s="59"/>
      <c r="W16" s="59"/>
      <c r="X16" s="59"/>
      <c r="Y16" s="60"/>
    </row>
    <row r="17" spans="1:43" ht="15" thickBot="1">
      <c r="A17" s="47" t="s">
        <v>215</v>
      </c>
      <c r="B17" s="72">
        <f>IF('INTRODUCIR DATOS'!$D$18="2.0TD",'PRECIOS CYE'!H17,IF('INTRODUCIR DATOS'!$D$18="3.0TD",'PRECIOS CYE'!N17,IF('INTRODUCIR DATOS'!$D$18="6.1TD",'PRECIOS CYE'!T17)))</f>
        <v>0</v>
      </c>
      <c r="C17" s="73">
        <f>IF('INTRODUCIR DATOS'!$D$18="2.0TD",'PRECIOS CYE'!I17,IF('INTRODUCIR DATOS'!$D$18="3.0TD",'PRECIOS CYE'!O17,IF('INTRODUCIR DATOS'!$D$18="6.1TD",'PRECIOS CYE'!U17)))</f>
        <v>0</v>
      </c>
      <c r="D17" s="73">
        <f>IF('INTRODUCIR DATOS'!$D$18="2.0TD",'PRECIOS CYE'!J17,IF('INTRODUCIR DATOS'!$D$18="3.0TD",'PRECIOS CYE'!P17,IF('INTRODUCIR DATOS'!$D$18="6.1TD",'PRECIOS CYE'!V17)))</f>
        <v>0</v>
      </c>
      <c r="E17" s="73">
        <f>IF('INTRODUCIR DATOS'!$D$18="2.0TD",'PRECIOS CYE'!K17,IF('INTRODUCIR DATOS'!$D$18="3.0TD",'PRECIOS CYE'!Q17,IF('INTRODUCIR DATOS'!$D$18="6.1TD",'PRECIOS CYE'!W17)))</f>
        <v>0</v>
      </c>
      <c r="F17" s="73">
        <f>IF('INTRODUCIR DATOS'!$D$18="2.0TD",'PRECIOS CYE'!L17,IF('INTRODUCIR DATOS'!$D$18="3.0TD",'PRECIOS CYE'!R17,IF('INTRODUCIR DATOS'!$D$18="6.1TD",'PRECIOS CYE'!X17)))</f>
        <v>0</v>
      </c>
      <c r="G17" s="81">
        <f>IF('INTRODUCIR DATOS'!$D$18="2.0TD",'PRECIOS CYE'!M17,IF('INTRODUCIR DATOS'!$D$18="3.0TD",'PRECIOS CYE'!S17,IF('INTRODUCIR DATOS'!$D$18="6.1TD",'PRECIOS CYE'!Y17)))</f>
        <v>0</v>
      </c>
      <c r="H17" s="72"/>
      <c r="I17" s="73"/>
      <c r="J17" s="73"/>
      <c r="K17" s="73"/>
      <c r="L17" s="73"/>
      <c r="M17" s="74"/>
      <c r="N17" s="72"/>
      <c r="O17" s="73"/>
      <c r="P17" s="73"/>
      <c r="Q17" s="73"/>
      <c r="R17" s="73"/>
      <c r="S17" s="74"/>
      <c r="T17" s="75"/>
      <c r="U17" s="73"/>
      <c r="V17" s="73"/>
      <c r="W17" s="73"/>
      <c r="X17" s="73"/>
      <c r="Y17" s="74"/>
    </row>
    <row r="18" spans="1:43">
      <c r="A18" s="48" t="s">
        <v>41</v>
      </c>
      <c r="B18" s="54">
        <f>IF('INTRODUCIR DATOS'!$D$18="2.0TD",'PRECIOS CYE'!H18,IF('INTRODUCIR DATOS'!$D$18="3.0TD",'PRECIOS CYE'!N18,IF('INTRODUCIR DATOS'!$D$18="6.1TD",'PRECIOS CYE'!T18)))</f>
        <v>0</v>
      </c>
      <c r="C18" s="55">
        <f>IF('INTRODUCIR DATOS'!$D$18="2.0TD",'PRECIOS CYE'!I18,IF('INTRODUCIR DATOS'!$D$18="3.0TD",'PRECIOS CYE'!O18,IF('INTRODUCIR DATOS'!$D$18="6.1TD",'PRECIOS CYE'!U18)))</f>
        <v>0</v>
      </c>
      <c r="D18" s="55">
        <f>IF('INTRODUCIR DATOS'!$D$18="2.0TD",'PRECIOS CYE'!J18,IF('INTRODUCIR DATOS'!$D$18="3.0TD",'PRECIOS CYE'!P18,IF('INTRODUCIR DATOS'!$D$18="6.1TD",'PRECIOS CYE'!V18)))</f>
        <v>0</v>
      </c>
      <c r="E18" s="55">
        <f>IF('INTRODUCIR DATOS'!$D$18="2.0TD",'PRECIOS CYE'!K18,IF('INTRODUCIR DATOS'!$D$18="3.0TD",'PRECIOS CYE'!Q18,IF('INTRODUCIR DATOS'!$D$18="6.1TD",'PRECIOS CYE'!W18)))</f>
        <v>0</v>
      </c>
      <c r="F18" s="55">
        <f>IF('INTRODUCIR DATOS'!$D$18="2.0TD",'PRECIOS CYE'!L18,IF('INTRODUCIR DATOS'!$D$18="3.0TD",'PRECIOS CYE'!R18,IF('INTRODUCIR DATOS'!$D$18="6.1TD",'PRECIOS CYE'!X18)))</f>
        <v>0</v>
      </c>
      <c r="G18" s="56">
        <f>IF('INTRODUCIR DATOS'!$D$18="2.0TD",'PRECIOS CYE'!M18,IF('INTRODUCIR DATOS'!$D$18="3.0TD",'PRECIOS CYE'!S18,IF('INTRODUCIR DATOS'!$D$18="6.1TD",'PRECIOS CYE'!Y18)))</f>
        <v>0</v>
      </c>
      <c r="H18" s="78">
        <f>Z18/365</f>
        <v>0</v>
      </c>
      <c r="I18" s="21">
        <f t="shared" ref="I18:Y18" si="0">AA18/365</f>
        <v>0</v>
      </c>
      <c r="J18" s="21">
        <f t="shared" si="0"/>
        <v>0</v>
      </c>
      <c r="K18" s="21">
        <f t="shared" si="0"/>
        <v>0</v>
      </c>
      <c r="L18" s="21">
        <f t="shared" si="0"/>
        <v>0</v>
      </c>
      <c r="M18" s="76">
        <f t="shared" si="0"/>
        <v>0</v>
      </c>
      <c r="N18" s="23">
        <f t="shared" si="0"/>
        <v>0</v>
      </c>
      <c r="O18" s="21">
        <f t="shared" si="0"/>
        <v>0</v>
      </c>
      <c r="P18" s="21">
        <f t="shared" si="0"/>
        <v>0</v>
      </c>
      <c r="Q18" s="21">
        <f t="shared" si="0"/>
        <v>0</v>
      </c>
      <c r="R18" s="21">
        <f t="shared" si="0"/>
        <v>0</v>
      </c>
      <c r="S18" s="22">
        <f t="shared" si="0"/>
        <v>0</v>
      </c>
      <c r="T18" s="78">
        <f t="shared" si="0"/>
        <v>0</v>
      </c>
      <c r="U18" s="21">
        <f t="shared" si="0"/>
        <v>0</v>
      </c>
      <c r="V18" s="21">
        <f t="shared" si="0"/>
        <v>0</v>
      </c>
      <c r="W18" s="21">
        <f t="shared" si="0"/>
        <v>0</v>
      </c>
      <c r="X18" s="21">
        <f t="shared" si="0"/>
        <v>0</v>
      </c>
      <c r="Y18" s="22">
        <f t="shared" si="0"/>
        <v>0</v>
      </c>
      <c r="Z18" s="71"/>
      <c r="AA18" s="67"/>
      <c r="AB18" s="67"/>
      <c r="AC18" s="67"/>
      <c r="AD18" s="67"/>
      <c r="AE18" s="68"/>
      <c r="AF18" s="66"/>
      <c r="AG18" s="67"/>
      <c r="AH18" s="67"/>
      <c r="AI18" s="67"/>
      <c r="AJ18" s="67"/>
      <c r="AK18" s="68"/>
      <c r="AL18" s="54"/>
      <c r="AM18" s="55"/>
      <c r="AN18" s="55"/>
      <c r="AO18" s="55"/>
      <c r="AP18" s="55"/>
      <c r="AQ18" s="56"/>
    </row>
    <row r="19" spans="1:43">
      <c r="A19" s="46" t="s">
        <v>115</v>
      </c>
      <c r="B19" s="58">
        <f>IF('INTRODUCIR DATOS'!$D$18="2.0TD",'PRECIOS CYE'!H19,IF('INTRODUCIR DATOS'!$D$18="3.0TD",'PRECIOS CYE'!N19,IF('INTRODUCIR DATOS'!$D$18="6.1TD",'PRECIOS CYE'!T19)))</f>
        <v>0</v>
      </c>
      <c r="C19" s="59">
        <f>IF('INTRODUCIR DATOS'!$D$18="2.0TD",'PRECIOS CYE'!I19,IF('INTRODUCIR DATOS'!$D$18="3.0TD",'PRECIOS CYE'!O19,IF('INTRODUCIR DATOS'!$D$18="6.1TD",'PRECIOS CYE'!U19)))</f>
        <v>0</v>
      </c>
      <c r="D19" s="59">
        <f>IF('INTRODUCIR DATOS'!$D$18="2.0TD",'PRECIOS CYE'!J19,IF('INTRODUCIR DATOS'!$D$18="3.0TD",'PRECIOS CYE'!P19,IF('INTRODUCIR DATOS'!$D$18="6.1TD",'PRECIOS CYE'!V19)))</f>
        <v>0</v>
      </c>
      <c r="E19" s="59">
        <f>IF('INTRODUCIR DATOS'!$D$18="2.0TD",'PRECIOS CYE'!K19,IF('INTRODUCIR DATOS'!$D$18="3.0TD",'PRECIOS CYE'!Q19,IF('INTRODUCIR DATOS'!$D$18="6.1TD",'PRECIOS CYE'!W19)))</f>
        <v>0</v>
      </c>
      <c r="F19" s="59">
        <f>IF('INTRODUCIR DATOS'!$D$18="2.0TD",'PRECIOS CYE'!L19,IF('INTRODUCIR DATOS'!$D$18="3.0TD",'PRECIOS CYE'!R19,IF('INTRODUCIR DATOS'!$D$18="6.1TD",'PRECIOS CYE'!X19)))</f>
        <v>0</v>
      </c>
      <c r="G19" s="60">
        <f>IF('INTRODUCIR DATOS'!$D$18="2.0TD",'PRECIOS CYE'!M19,IF('INTRODUCIR DATOS'!$D$18="3.0TD",'PRECIOS CYE'!S19,IF('INTRODUCIR DATOS'!$D$18="6.1TD",'PRECIOS CYE'!Y19)))</f>
        <v>0</v>
      </c>
      <c r="H19" s="79">
        <f t="shared" ref="H19:H26" si="1">Z19/365</f>
        <v>0</v>
      </c>
      <c r="I19" s="40">
        <f t="shared" ref="I19:I26" si="2">AA19/365</f>
        <v>0</v>
      </c>
      <c r="J19" s="40">
        <f t="shared" ref="J19:J26" si="3">AB19/365</f>
        <v>0</v>
      </c>
      <c r="K19" s="40">
        <f t="shared" ref="K19:K26" si="4">AC19/365</f>
        <v>0</v>
      </c>
      <c r="L19" s="40">
        <f t="shared" ref="L19:L26" si="5">AD19/365</f>
        <v>0</v>
      </c>
      <c r="M19" s="335">
        <f t="shared" ref="M19:M26" si="6">AE19/365</f>
        <v>0</v>
      </c>
      <c r="N19" s="41">
        <f t="shared" ref="N19:N26" si="7">AF19/365</f>
        <v>0</v>
      </c>
      <c r="O19" s="40">
        <f t="shared" ref="O19:O26" si="8">AG19/365</f>
        <v>0</v>
      </c>
      <c r="P19" s="40">
        <f t="shared" ref="P19:P26" si="9">AH19/365</f>
        <v>0</v>
      </c>
      <c r="Q19" s="40">
        <f t="shared" ref="Q19:Q26" si="10">AI19/365</f>
        <v>0</v>
      </c>
      <c r="R19" s="40">
        <f t="shared" ref="R19:R26" si="11">AJ19/365</f>
        <v>0</v>
      </c>
      <c r="S19" s="145">
        <f t="shared" ref="S19:S26" si="12">AK19/365</f>
        <v>0</v>
      </c>
      <c r="T19" s="79">
        <f t="shared" ref="T19:T26" si="13">AL19/365</f>
        <v>0</v>
      </c>
      <c r="U19" s="40">
        <f t="shared" ref="U19:U26" si="14">AM19/365</f>
        <v>0</v>
      </c>
      <c r="V19" s="40">
        <f t="shared" ref="V19:V26" si="15">AN19/365</f>
        <v>0</v>
      </c>
      <c r="W19" s="40">
        <f t="shared" ref="W19:W26" si="16">AO19/365</f>
        <v>0</v>
      </c>
      <c r="X19" s="40">
        <f t="shared" ref="X19:X26" si="17">AP19/365</f>
        <v>0</v>
      </c>
      <c r="Y19" s="145">
        <f t="shared" ref="Y19:Y26" si="18">AQ19/365</f>
        <v>0</v>
      </c>
      <c r="Z19" s="61"/>
      <c r="AA19" s="59"/>
      <c r="AB19" s="59"/>
      <c r="AC19" s="59"/>
      <c r="AD19" s="59"/>
      <c r="AE19" s="60"/>
      <c r="AF19" s="58"/>
      <c r="AG19" s="59"/>
      <c r="AH19" s="59"/>
      <c r="AI19" s="59"/>
      <c r="AJ19" s="59"/>
      <c r="AK19" s="60"/>
      <c r="AL19" s="58"/>
      <c r="AM19" s="59"/>
      <c r="AN19" s="59"/>
      <c r="AO19" s="59"/>
      <c r="AP19" s="59"/>
      <c r="AQ19" s="60"/>
    </row>
    <row r="20" spans="1:43">
      <c r="A20" s="46" t="s">
        <v>116</v>
      </c>
      <c r="B20" s="58">
        <f>IF('INTRODUCIR DATOS'!$D$18="2.0TD",'PRECIOS CYE'!H20,IF('INTRODUCIR DATOS'!$D$18="3.0TD",'PRECIOS CYE'!N20,IF('INTRODUCIR DATOS'!$D$18="6.1TD",'PRECIOS CYE'!T20)))</f>
        <v>0</v>
      </c>
      <c r="C20" s="59">
        <f>IF('INTRODUCIR DATOS'!$D$18="2.0TD",'PRECIOS CYE'!I20,IF('INTRODUCIR DATOS'!$D$18="3.0TD",'PRECIOS CYE'!O20,IF('INTRODUCIR DATOS'!$D$18="6.1TD",'PRECIOS CYE'!U20)))</f>
        <v>0</v>
      </c>
      <c r="D20" s="59">
        <f>IF('INTRODUCIR DATOS'!$D$18="2.0TD",'PRECIOS CYE'!J20,IF('INTRODUCIR DATOS'!$D$18="3.0TD",'PRECIOS CYE'!P20,IF('INTRODUCIR DATOS'!$D$18="6.1TD",'PRECIOS CYE'!V20)))</f>
        <v>0</v>
      </c>
      <c r="E20" s="59">
        <f>IF('INTRODUCIR DATOS'!$D$18="2.0TD",'PRECIOS CYE'!K20,IF('INTRODUCIR DATOS'!$D$18="3.0TD",'PRECIOS CYE'!Q20,IF('INTRODUCIR DATOS'!$D$18="6.1TD",'PRECIOS CYE'!W20)))</f>
        <v>0</v>
      </c>
      <c r="F20" s="59">
        <f>IF('INTRODUCIR DATOS'!$D$18="2.0TD",'PRECIOS CYE'!L20,IF('INTRODUCIR DATOS'!$D$18="3.0TD",'PRECIOS CYE'!R20,IF('INTRODUCIR DATOS'!$D$18="6.1TD",'PRECIOS CYE'!X20)))</f>
        <v>0</v>
      </c>
      <c r="G20" s="60">
        <f>IF('INTRODUCIR DATOS'!$D$18="2.0TD",'PRECIOS CYE'!M20,IF('INTRODUCIR DATOS'!$D$18="3.0TD",'PRECIOS CYE'!S20,IF('INTRODUCIR DATOS'!$D$18="6.1TD",'PRECIOS CYE'!Y20)))</f>
        <v>0</v>
      </c>
      <c r="H20" s="79">
        <f t="shared" si="1"/>
        <v>0</v>
      </c>
      <c r="I20" s="40">
        <f t="shared" si="2"/>
        <v>0</v>
      </c>
      <c r="J20" s="40">
        <f t="shared" si="3"/>
        <v>0</v>
      </c>
      <c r="K20" s="40">
        <f t="shared" si="4"/>
        <v>0</v>
      </c>
      <c r="L20" s="40">
        <f t="shared" si="5"/>
        <v>0</v>
      </c>
      <c r="M20" s="335">
        <f t="shared" si="6"/>
        <v>0</v>
      </c>
      <c r="N20" s="41">
        <f t="shared" si="7"/>
        <v>0</v>
      </c>
      <c r="O20" s="40">
        <f t="shared" si="8"/>
        <v>0</v>
      </c>
      <c r="P20" s="40">
        <f t="shared" si="9"/>
        <v>0</v>
      </c>
      <c r="Q20" s="40">
        <f t="shared" si="10"/>
        <v>0</v>
      </c>
      <c r="R20" s="40">
        <f t="shared" si="11"/>
        <v>0</v>
      </c>
      <c r="S20" s="145">
        <f t="shared" si="12"/>
        <v>0</v>
      </c>
      <c r="T20" s="79">
        <f t="shared" si="13"/>
        <v>0</v>
      </c>
      <c r="U20" s="40">
        <f t="shared" si="14"/>
        <v>0</v>
      </c>
      <c r="V20" s="40">
        <f t="shared" si="15"/>
        <v>0</v>
      </c>
      <c r="W20" s="40">
        <f t="shared" si="16"/>
        <v>0</v>
      </c>
      <c r="X20" s="40">
        <f t="shared" si="17"/>
        <v>0</v>
      </c>
      <c r="Y20" s="145">
        <f t="shared" si="18"/>
        <v>0</v>
      </c>
      <c r="Z20" s="61"/>
      <c r="AA20" s="59"/>
      <c r="AB20" s="59"/>
      <c r="AC20" s="59"/>
      <c r="AD20" s="59"/>
      <c r="AE20" s="60"/>
      <c r="AF20" s="58"/>
      <c r="AG20" s="59"/>
      <c r="AH20" s="59"/>
      <c r="AI20" s="59"/>
      <c r="AJ20" s="59"/>
      <c r="AK20" s="60"/>
      <c r="AL20" s="58"/>
      <c r="AM20" s="59"/>
      <c r="AN20" s="59"/>
      <c r="AO20" s="59"/>
      <c r="AP20" s="59"/>
      <c r="AQ20" s="60"/>
    </row>
    <row r="21" spans="1:43">
      <c r="A21" s="46" t="s">
        <v>60</v>
      </c>
      <c r="B21" s="58">
        <f>IF('INTRODUCIR DATOS'!$D$18="2.0TD",'PRECIOS CYE'!H21,IF('INTRODUCIR DATOS'!$D$18="3.0TD",'PRECIOS CYE'!N21,IF('INTRODUCIR DATOS'!$D$18="6.1TD",'PRECIOS CYE'!T21)))</f>
        <v>0</v>
      </c>
      <c r="C21" s="59">
        <f>IF('INTRODUCIR DATOS'!$D$18="2.0TD",'PRECIOS CYE'!I21,IF('INTRODUCIR DATOS'!$D$18="3.0TD",'PRECIOS CYE'!O21,IF('INTRODUCIR DATOS'!$D$18="6.1TD",'PRECIOS CYE'!U21)))</f>
        <v>0</v>
      </c>
      <c r="D21" s="59">
        <f>IF('INTRODUCIR DATOS'!$D$18="2.0TD",'PRECIOS CYE'!J21,IF('INTRODUCIR DATOS'!$D$18="3.0TD",'PRECIOS CYE'!P21,IF('INTRODUCIR DATOS'!$D$18="6.1TD",'PRECIOS CYE'!V21)))</f>
        <v>0</v>
      </c>
      <c r="E21" s="59">
        <f>IF('INTRODUCIR DATOS'!$D$18="2.0TD",'PRECIOS CYE'!K21,IF('INTRODUCIR DATOS'!$D$18="3.0TD",'PRECIOS CYE'!Q21,IF('INTRODUCIR DATOS'!$D$18="6.1TD",'PRECIOS CYE'!W21)))</f>
        <v>0</v>
      </c>
      <c r="F21" s="59">
        <f>IF('INTRODUCIR DATOS'!$D$18="2.0TD",'PRECIOS CYE'!L21,IF('INTRODUCIR DATOS'!$D$18="3.0TD",'PRECIOS CYE'!R21,IF('INTRODUCIR DATOS'!$D$18="6.1TD",'PRECIOS CYE'!X21)))</f>
        <v>0</v>
      </c>
      <c r="G21" s="60">
        <f>IF('INTRODUCIR DATOS'!$D$18="2.0TD",'PRECIOS CYE'!M21,IF('INTRODUCIR DATOS'!$D$18="3.0TD",'PRECIOS CYE'!S21,IF('INTRODUCIR DATOS'!$D$18="6.1TD",'PRECIOS CYE'!Y21)))</f>
        <v>0</v>
      </c>
      <c r="H21" s="79">
        <f t="shared" si="1"/>
        <v>0</v>
      </c>
      <c r="I21" s="40">
        <f t="shared" si="2"/>
        <v>0</v>
      </c>
      <c r="J21" s="40">
        <f t="shared" si="3"/>
        <v>0</v>
      </c>
      <c r="K21" s="40">
        <f t="shared" si="4"/>
        <v>0</v>
      </c>
      <c r="L21" s="40">
        <f t="shared" si="5"/>
        <v>0</v>
      </c>
      <c r="M21" s="335">
        <f t="shared" si="6"/>
        <v>0</v>
      </c>
      <c r="N21" s="41">
        <f t="shared" si="7"/>
        <v>0</v>
      </c>
      <c r="O21" s="40">
        <f t="shared" si="8"/>
        <v>0</v>
      </c>
      <c r="P21" s="40">
        <f t="shared" si="9"/>
        <v>0</v>
      </c>
      <c r="Q21" s="40">
        <f t="shared" si="10"/>
        <v>0</v>
      </c>
      <c r="R21" s="40">
        <f t="shared" si="11"/>
        <v>0</v>
      </c>
      <c r="S21" s="145">
        <f t="shared" si="12"/>
        <v>0</v>
      </c>
      <c r="T21" s="79">
        <f t="shared" si="13"/>
        <v>0</v>
      </c>
      <c r="U21" s="40">
        <f t="shared" si="14"/>
        <v>0</v>
      </c>
      <c r="V21" s="40">
        <f t="shared" si="15"/>
        <v>0</v>
      </c>
      <c r="W21" s="40">
        <f t="shared" si="16"/>
        <v>0</v>
      </c>
      <c r="X21" s="40">
        <f t="shared" si="17"/>
        <v>0</v>
      </c>
      <c r="Y21" s="145">
        <f t="shared" si="18"/>
        <v>0</v>
      </c>
      <c r="Z21" s="61"/>
      <c r="AA21" s="59"/>
      <c r="AB21" s="59"/>
      <c r="AC21" s="59"/>
      <c r="AD21" s="59"/>
      <c r="AE21" s="60"/>
      <c r="AF21" s="58"/>
      <c r="AG21" s="59"/>
      <c r="AH21" s="59"/>
      <c r="AI21" s="59"/>
      <c r="AJ21" s="59"/>
      <c r="AK21" s="60"/>
      <c r="AL21" s="58"/>
      <c r="AM21" s="59"/>
      <c r="AN21" s="59"/>
      <c r="AO21" s="59"/>
      <c r="AP21" s="59"/>
      <c r="AQ21" s="60"/>
    </row>
    <row r="22" spans="1:43">
      <c r="A22" s="46" t="s">
        <v>62</v>
      </c>
      <c r="B22" s="58">
        <f>IF('INTRODUCIR DATOS'!$D$18="2.0TD",'PRECIOS CYE'!H22,IF('INTRODUCIR DATOS'!$D$18="3.0TD",'PRECIOS CYE'!N22,IF('INTRODUCIR DATOS'!$D$18="6.1TD",'PRECIOS CYE'!T22)))</f>
        <v>0</v>
      </c>
      <c r="C22" s="59">
        <f>IF('INTRODUCIR DATOS'!$D$18="2.0TD",'PRECIOS CYE'!I22,IF('INTRODUCIR DATOS'!$D$18="3.0TD",'PRECIOS CYE'!O22,IF('INTRODUCIR DATOS'!$D$18="6.1TD",'PRECIOS CYE'!U22)))</f>
        <v>0</v>
      </c>
      <c r="D22" s="59">
        <f>IF('INTRODUCIR DATOS'!$D$18="2.0TD",'PRECIOS CYE'!J22,IF('INTRODUCIR DATOS'!$D$18="3.0TD",'PRECIOS CYE'!P22,IF('INTRODUCIR DATOS'!$D$18="6.1TD",'PRECIOS CYE'!V22)))</f>
        <v>0</v>
      </c>
      <c r="E22" s="59">
        <f>IF('INTRODUCIR DATOS'!$D$18="2.0TD",'PRECIOS CYE'!K22,IF('INTRODUCIR DATOS'!$D$18="3.0TD",'PRECIOS CYE'!Q22,IF('INTRODUCIR DATOS'!$D$18="6.1TD",'PRECIOS CYE'!W22)))</f>
        <v>0</v>
      </c>
      <c r="F22" s="59">
        <f>IF('INTRODUCIR DATOS'!$D$18="2.0TD",'PRECIOS CYE'!L22,IF('INTRODUCIR DATOS'!$D$18="3.0TD",'PRECIOS CYE'!R22,IF('INTRODUCIR DATOS'!$D$18="6.1TD",'PRECIOS CYE'!X22)))</f>
        <v>0</v>
      </c>
      <c r="G22" s="60">
        <f>IF('INTRODUCIR DATOS'!$D$18="2.0TD",'PRECIOS CYE'!M22,IF('INTRODUCIR DATOS'!$D$18="3.0TD",'PRECIOS CYE'!S22,IF('INTRODUCIR DATOS'!$D$18="6.1TD",'PRECIOS CYE'!Y22)))</f>
        <v>0</v>
      </c>
      <c r="H22" s="79">
        <f t="shared" si="1"/>
        <v>0</v>
      </c>
      <c r="I22" s="40">
        <f t="shared" si="2"/>
        <v>0</v>
      </c>
      <c r="J22" s="40">
        <f t="shared" si="3"/>
        <v>0</v>
      </c>
      <c r="K22" s="40">
        <f t="shared" si="4"/>
        <v>0</v>
      </c>
      <c r="L22" s="40">
        <f t="shared" si="5"/>
        <v>0</v>
      </c>
      <c r="M22" s="335">
        <f t="shared" si="6"/>
        <v>0</v>
      </c>
      <c r="N22" s="41">
        <f t="shared" si="7"/>
        <v>0</v>
      </c>
      <c r="O22" s="40">
        <f t="shared" si="8"/>
        <v>0</v>
      </c>
      <c r="P22" s="40">
        <f t="shared" si="9"/>
        <v>0</v>
      </c>
      <c r="Q22" s="40">
        <f t="shared" si="10"/>
        <v>0</v>
      </c>
      <c r="R22" s="40">
        <f t="shared" si="11"/>
        <v>0</v>
      </c>
      <c r="S22" s="145">
        <f t="shared" si="12"/>
        <v>0</v>
      </c>
      <c r="T22" s="79">
        <f t="shared" si="13"/>
        <v>0</v>
      </c>
      <c r="U22" s="40">
        <f t="shared" si="14"/>
        <v>0</v>
      </c>
      <c r="V22" s="40">
        <f t="shared" si="15"/>
        <v>0</v>
      </c>
      <c r="W22" s="40">
        <f t="shared" si="16"/>
        <v>0</v>
      </c>
      <c r="X22" s="40">
        <f t="shared" si="17"/>
        <v>0</v>
      </c>
      <c r="Y22" s="145">
        <f t="shared" si="18"/>
        <v>0</v>
      </c>
      <c r="Z22" s="61"/>
      <c r="AA22" s="59"/>
      <c r="AB22" s="59"/>
      <c r="AC22" s="59"/>
      <c r="AD22" s="59"/>
      <c r="AE22" s="60"/>
      <c r="AF22" s="58"/>
      <c r="AG22" s="59"/>
      <c r="AH22" s="59"/>
      <c r="AI22" s="59"/>
      <c r="AJ22" s="59"/>
      <c r="AK22" s="60"/>
      <c r="AL22" s="58"/>
      <c r="AM22" s="59"/>
      <c r="AN22" s="59"/>
      <c r="AO22" s="59"/>
      <c r="AP22" s="59"/>
      <c r="AQ22" s="60"/>
    </row>
    <row r="23" spans="1:43">
      <c r="A23" s="46" t="s">
        <v>63</v>
      </c>
      <c r="B23" s="58">
        <f>IF('INTRODUCIR DATOS'!$D$18="2.0TD",'PRECIOS CYE'!H23,IF('INTRODUCIR DATOS'!$D$18="3.0TD",'PRECIOS CYE'!N23,IF('INTRODUCIR DATOS'!$D$18="6.1TD",'PRECIOS CYE'!T23)))</f>
        <v>0</v>
      </c>
      <c r="C23" s="59">
        <f>IF('INTRODUCIR DATOS'!$D$18="2.0TD",'PRECIOS CYE'!I23,IF('INTRODUCIR DATOS'!$D$18="3.0TD",'PRECIOS CYE'!O23,IF('INTRODUCIR DATOS'!$D$18="6.1TD",'PRECIOS CYE'!U23)))</f>
        <v>0</v>
      </c>
      <c r="D23" s="59">
        <f>IF('INTRODUCIR DATOS'!$D$18="2.0TD",'PRECIOS CYE'!J23,IF('INTRODUCIR DATOS'!$D$18="3.0TD",'PRECIOS CYE'!P23,IF('INTRODUCIR DATOS'!$D$18="6.1TD",'PRECIOS CYE'!V23)))</f>
        <v>0</v>
      </c>
      <c r="E23" s="59">
        <f>IF('INTRODUCIR DATOS'!$D$18="2.0TD",'PRECIOS CYE'!K23,IF('INTRODUCIR DATOS'!$D$18="3.0TD",'PRECIOS CYE'!Q23,IF('INTRODUCIR DATOS'!$D$18="6.1TD",'PRECIOS CYE'!W23)))</f>
        <v>0</v>
      </c>
      <c r="F23" s="59">
        <f>IF('INTRODUCIR DATOS'!$D$18="2.0TD",'PRECIOS CYE'!L23,IF('INTRODUCIR DATOS'!$D$18="3.0TD",'PRECIOS CYE'!R23,IF('INTRODUCIR DATOS'!$D$18="6.1TD",'PRECIOS CYE'!X23)))</f>
        <v>0</v>
      </c>
      <c r="G23" s="60">
        <f>IF('INTRODUCIR DATOS'!$D$18="2.0TD",'PRECIOS CYE'!M23,IF('INTRODUCIR DATOS'!$D$18="3.0TD",'PRECIOS CYE'!S23,IF('INTRODUCIR DATOS'!$D$18="6.1TD",'PRECIOS CYE'!Y23)))</f>
        <v>0</v>
      </c>
      <c r="H23" s="79">
        <f t="shared" si="1"/>
        <v>0</v>
      </c>
      <c r="I23" s="40">
        <f t="shared" si="2"/>
        <v>0</v>
      </c>
      <c r="J23" s="40">
        <f t="shared" si="3"/>
        <v>0</v>
      </c>
      <c r="K23" s="40">
        <f t="shared" si="4"/>
        <v>0</v>
      </c>
      <c r="L23" s="40">
        <f t="shared" si="5"/>
        <v>0</v>
      </c>
      <c r="M23" s="335">
        <f t="shared" si="6"/>
        <v>0</v>
      </c>
      <c r="N23" s="41">
        <f t="shared" si="7"/>
        <v>0</v>
      </c>
      <c r="O23" s="40">
        <f t="shared" si="8"/>
        <v>0</v>
      </c>
      <c r="P23" s="40">
        <f t="shared" si="9"/>
        <v>0</v>
      </c>
      <c r="Q23" s="40">
        <f t="shared" si="10"/>
        <v>0</v>
      </c>
      <c r="R23" s="40">
        <f t="shared" si="11"/>
        <v>0</v>
      </c>
      <c r="S23" s="145">
        <f t="shared" si="12"/>
        <v>0</v>
      </c>
      <c r="T23" s="79">
        <f t="shared" si="13"/>
        <v>0</v>
      </c>
      <c r="U23" s="40">
        <f t="shared" si="14"/>
        <v>0</v>
      </c>
      <c r="V23" s="40">
        <f t="shared" si="15"/>
        <v>0</v>
      </c>
      <c r="W23" s="40">
        <f t="shared" si="16"/>
        <v>0</v>
      </c>
      <c r="X23" s="40">
        <f t="shared" si="17"/>
        <v>0</v>
      </c>
      <c r="Y23" s="145">
        <f t="shared" si="18"/>
        <v>0</v>
      </c>
      <c r="Z23" s="61"/>
      <c r="AA23" s="59"/>
      <c r="AB23" s="59"/>
      <c r="AC23" s="59"/>
      <c r="AD23" s="59"/>
      <c r="AE23" s="60"/>
      <c r="AF23" s="58"/>
      <c r="AG23" s="59"/>
      <c r="AH23" s="59"/>
      <c r="AI23" s="59"/>
      <c r="AJ23" s="59"/>
      <c r="AK23" s="60"/>
      <c r="AL23" s="58"/>
      <c r="AM23" s="59"/>
      <c r="AN23" s="59"/>
      <c r="AO23" s="59"/>
      <c r="AP23" s="59"/>
      <c r="AQ23" s="60"/>
    </row>
    <row r="24" spans="1:43">
      <c r="A24" s="46" t="s">
        <v>65</v>
      </c>
      <c r="B24" s="58">
        <f>IF('INTRODUCIR DATOS'!$D$18="2.0TD",'PRECIOS CYE'!H24,IF('INTRODUCIR DATOS'!$D$18="3.0TD",'PRECIOS CYE'!N24,IF('INTRODUCIR DATOS'!$D$18="6.1TD",'PRECIOS CYE'!T24)))</f>
        <v>0</v>
      </c>
      <c r="C24" s="59">
        <f>IF('INTRODUCIR DATOS'!$D$18="2.0TD",'PRECIOS CYE'!I24,IF('INTRODUCIR DATOS'!$D$18="3.0TD",'PRECIOS CYE'!O24,IF('INTRODUCIR DATOS'!$D$18="6.1TD",'PRECIOS CYE'!U24)))</f>
        <v>0</v>
      </c>
      <c r="D24" s="59">
        <f>IF('INTRODUCIR DATOS'!$D$18="2.0TD",'PRECIOS CYE'!J24,IF('INTRODUCIR DATOS'!$D$18="3.0TD",'PRECIOS CYE'!P24,IF('INTRODUCIR DATOS'!$D$18="6.1TD",'PRECIOS CYE'!V24)))</f>
        <v>0</v>
      </c>
      <c r="E24" s="59">
        <f>IF('INTRODUCIR DATOS'!$D$18="2.0TD",'PRECIOS CYE'!K24,IF('INTRODUCIR DATOS'!$D$18="3.0TD",'PRECIOS CYE'!Q24,IF('INTRODUCIR DATOS'!$D$18="6.1TD",'PRECIOS CYE'!W24)))</f>
        <v>0</v>
      </c>
      <c r="F24" s="59">
        <f>IF('INTRODUCIR DATOS'!$D$18="2.0TD",'PRECIOS CYE'!L24,IF('INTRODUCIR DATOS'!$D$18="3.0TD",'PRECIOS CYE'!R24,IF('INTRODUCIR DATOS'!$D$18="6.1TD",'PRECIOS CYE'!X24)))</f>
        <v>0</v>
      </c>
      <c r="G24" s="60">
        <f>IF('INTRODUCIR DATOS'!$D$18="2.0TD",'PRECIOS CYE'!M24,IF('INTRODUCIR DATOS'!$D$18="3.0TD",'PRECIOS CYE'!S24,IF('INTRODUCIR DATOS'!$D$18="6.1TD",'PRECIOS CYE'!Y24)))</f>
        <v>0</v>
      </c>
      <c r="H24" s="79">
        <f t="shared" si="1"/>
        <v>0</v>
      </c>
      <c r="I24" s="40">
        <f t="shared" si="2"/>
        <v>0</v>
      </c>
      <c r="J24" s="40">
        <f t="shared" si="3"/>
        <v>0</v>
      </c>
      <c r="K24" s="40">
        <f t="shared" si="4"/>
        <v>0</v>
      </c>
      <c r="L24" s="40">
        <f t="shared" si="5"/>
        <v>0</v>
      </c>
      <c r="M24" s="335">
        <f t="shared" si="6"/>
        <v>0</v>
      </c>
      <c r="N24" s="41">
        <f t="shared" si="7"/>
        <v>0</v>
      </c>
      <c r="O24" s="40">
        <f t="shared" si="8"/>
        <v>0</v>
      </c>
      <c r="P24" s="40">
        <f t="shared" si="9"/>
        <v>0</v>
      </c>
      <c r="Q24" s="40">
        <f t="shared" si="10"/>
        <v>0</v>
      </c>
      <c r="R24" s="40">
        <f t="shared" si="11"/>
        <v>0</v>
      </c>
      <c r="S24" s="145">
        <f t="shared" si="12"/>
        <v>0</v>
      </c>
      <c r="T24" s="79">
        <f t="shared" si="13"/>
        <v>0</v>
      </c>
      <c r="U24" s="40">
        <f t="shared" si="14"/>
        <v>0</v>
      </c>
      <c r="V24" s="40">
        <f t="shared" si="15"/>
        <v>0</v>
      </c>
      <c r="W24" s="40">
        <f t="shared" si="16"/>
        <v>0</v>
      </c>
      <c r="X24" s="40">
        <f t="shared" si="17"/>
        <v>0</v>
      </c>
      <c r="Y24" s="145">
        <f t="shared" si="18"/>
        <v>0</v>
      </c>
      <c r="Z24" s="61"/>
      <c r="AA24" s="59"/>
      <c r="AB24" s="59"/>
      <c r="AC24" s="59"/>
      <c r="AD24" s="59"/>
      <c r="AE24" s="60"/>
      <c r="AF24" s="58"/>
      <c r="AG24" s="59"/>
      <c r="AH24" s="59"/>
      <c r="AI24" s="59"/>
      <c r="AJ24" s="59"/>
      <c r="AK24" s="60"/>
      <c r="AL24" s="58"/>
      <c r="AM24" s="59"/>
      <c r="AN24" s="59"/>
      <c r="AO24" s="59"/>
      <c r="AP24" s="59"/>
      <c r="AQ24" s="60"/>
    </row>
    <row r="25" spans="1:43">
      <c r="A25" s="46" t="s">
        <v>199</v>
      </c>
      <c r="B25" s="58">
        <f>IF('INTRODUCIR DATOS'!$D$18="2.0TD",'PRECIOS CYE'!H25,IF('INTRODUCIR DATOS'!$D$18="3.0TD",'PRECIOS CYE'!N25,IF('INTRODUCIR DATOS'!$D$18="6.1TD",'PRECIOS CYE'!T25)))</f>
        <v>0</v>
      </c>
      <c r="C25" s="59">
        <f>IF('INTRODUCIR DATOS'!$D$18="2.0TD",'PRECIOS CYE'!I25,IF('INTRODUCIR DATOS'!$D$18="3.0TD",'PRECIOS CYE'!O25,IF('INTRODUCIR DATOS'!$D$18="6.1TD",'PRECIOS CYE'!U25)))</f>
        <v>0</v>
      </c>
      <c r="D25" s="59">
        <f>IF('INTRODUCIR DATOS'!$D$18="2.0TD",'PRECIOS CYE'!J25,IF('INTRODUCIR DATOS'!$D$18="3.0TD",'PRECIOS CYE'!P25,IF('INTRODUCIR DATOS'!$D$18="6.1TD",'PRECIOS CYE'!V25)))</f>
        <v>0</v>
      </c>
      <c r="E25" s="59">
        <f>IF('INTRODUCIR DATOS'!$D$18="2.0TD",'PRECIOS CYE'!K25,IF('INTRODUCIR DATOS'!$D$18="3.0TD",'PRECIOS CYE'!Q25,IF('INTRODUCIR DATOS'!$D$18="6.1TD",'PRECIOS CYE'!W25)))</f>
        <v>0</v>
      </c>
      <c r="F25" s="59">
        <f>IF('INTRODUCIR DATOS'!$D$18="2.0TD",'PRECIOS CYE'!L25,IF('INTRODUCIR DATOS'!$D$18="3.0TD",'PRECIOS CYE'!R25,IF('INTRODUCIR DATOS'!$D$18="6.1TD",'PRECIOS CYE'!X25)))</f>
        <v>0</v>
      </c>
      <c r="G25" s="60">
        <f>IF('INTRODUCIR DATOS'!$D$18="2.0TD",'PRECIOS CYE'!M25,IF('INTRODUCIR DATOS'!$D$18="3.0TD",'PRECIOS CYE'!S25,IF('INTRODUCIR DATOS'!$D$18="6.1TD",'PRECIOS CYE'!Y25)))</f>
        <v>0</v>
      </c>
      <c r="H25" s="79">
        <f t="shared" si="1"/>
        <v>0</v>
      </c>
      <c r="I25" s="40">
        <f t="shared" si="2"/>
        <v>0</v>
      </c>
      <c r="J25" s="40">
        <f t="shared" si="3"/>
        <v>0</v>
      </c>
      <c r="K25" s="40">
        <f t="shared" si="4"/>
        <v>0</v>
      </c>
      <c r="L25" s="40">
        <f t="shared" si="5"/>
        <v>0</v>
      </c>
      <c r="M25" s="335">
        <f t="shared" si="6"/>
        <v>0</v>
      </c>
      <c r="N25" s="41">
        <f t="shared" si="7"/>
        <v>0</v>
      </c>
      <c r="O25" s="40">
        <f t="shared" si="8"/>
        <v>0</v>
      </c>
      <c r="P25" s="40">
        <f t="shared" si="9"/>
        <v>0</v>
      </c>
      <c r="Q25" s="40">
        <f t="shared" si="10"/>
        <v>0</v>
      </c>
      <c r="R25" s="40">
        <f t="shared" si="11"/>
        <v>0</v>
      </c>
      <c r="S25" s="145">
        <f t="shared" si="12"/>
        <v>0</v>
      </c>
      <c r="T25" s="79">
        <f t="shared" si="13"/>
        <v>0</v>
      </c>
      <c r="U25" s="40">
        <f t="shared" si="14"/>
        <v>0</v>
      </c>
      <c r="V25" s="40">
        <f t="shared" si="15"/>
        <v>0</v>
      </c>
      <c r="W25" s="40">
        <f t="shared" si="16"/>
        <v>0</v>
      </c>
      <c r="X25" s="40">
        <f t="shared" si="17"/>
        <v>0</v>
      </c>
      <c r="Y25" s="145">
        <f t="shared" si="18"/>
        <v>0</v>
      </c>
      <c r="Z25" s="61"/>
      <c r="AA25" s="59"/>
      <c r="AB25" s="59"/>
      <c r="AC25" s="59"/>
      <c r="AD25" s="59"/>
      <c r="AE25" s="60"/>
      <c r="AF25" s="58"/>
      <c r="AG25" s="59"/>
      <c r="AH25" s="59"/>
      <c r="AI25" s="59"/>
      <c r="AJ25" s="59"/>
      <c r="AK25" s="60"/>
      <c r="AL25" s="58"/>
      <c r="AM25" s="59"/>
      <c r="AN25" s="59"/>
      <c r="AO25" s="59"/>
      <c r="AP25" s="59"/>
      <c r="AQ25" s="60"/>
    </row>
    <row r="26" spans="1:43" ht="15" thickBot="1">
      <c r="A26" s="47" t="s">
        <v>200</v>
      </c>
      <c r="B26" s="62">
        <f>IF('INTRODUCIR DATOS'!$D$18="2.0TD",'PRECIOS CYE'!H26,IF('INTRODUCIR DATOS'!$D$18="3.0TD",'PRECIOS CYE'!N26,IF('INTRODUCIR DATOS'!$D$18="6.1TD",'PRECIOS CYE'!T26)))</f>
        <v>0</v>
      </c>
      <c r="C26" s="63">
        <f>IF('INTRODUCIR DATOS'!$D$18="2.0TD",'PRECIOS CYE'!I26,IF('INTRODUCIR DATOS'!$D$18="3.0TD",'PRECIOS CYE'!O26,IF('INTRODUCIR DATOS'!$D$18="6.1TD",'PRECIOS CYE'!U26)))</f>
        <v>0</v>
      </c>
      <c r="D26" s="63">
        <f>IF('INTRODUCIR DATOS'!$D$18="2.0TD",'PRECIOS CYE'!J26,IF('INTRODUCIR DATOS'!$D$18="3.0TD",'PRECIOS CYE'!P26,IF('INTRODUCIR DATOS'!$D$18="6.1TD",'PRECIOS CYE'!V26)))</f>
        <v>0</v>
      </c>
      <c r="E26" s="63">
        <f>IF('INTRODUCIR DATOS'!$D$18="2.0TD",'PRECIOS CYE'!K26,IF('INTRODUCIR DATOS'!$D$18="3.0TD",'PRECIOS CYE'!Q26,IF('INTRODUCIR DATOS'!$D$18="6.1TD",'PRECIOS CYE'!W26)))</f>
        <v>0</v>
      </c>
      <c r="F26" s="63">
        <f>IF('INTRODUCIR DATOS'!$D$18="2.0TD",'PRECIOS CYE'!L26,IF('INTRODUCIR DATOS'!$D$18="3.0TD",'PRECIOS CYE'!R26,IF('INTRODUCIR DATOS'!$D$18="6.1TD",'PRECIOS CYE'!X26)))</f>
        <v>0</v>
      </c>
      <c r="G26" s="64">
        <f>IF('INTRODUCIR DATOS'!$D$18="2.0TD",'PRECIOS CYE'!M26,IF('INTRODUCIR DATOS'!$D$18="3.0TD",'PRECIOS CYE'!S26,IF('INTRODUCIR DATOS'!$D$18="6.1TD",'PRECIOS CYE'!Y26)))</f>
        <v>0</v>
      </c>
      <c r="H26" s="80">
        <f t="shared" si="1"/>
        <v>0</v>
      </c>
      <c r="I26" s="43">
        <f t="shared" si="2"/>
        <v>0</v>
      </c>
      <c r="J26" s="43">
        <f t="shared" si="3"/>
        <v>0</v>
      </c>
      <c r="K26" s="43">
        <f t="shared" si="4"/>
        <v>0</v>
      </c>
      <c r="L26" s="43">
        <f t="shared" si="5"/>
        <v>0</v>
      </c>
      <c r="M26" s="77">
        <f t="shared" si="6"/>
        <v>0</v>
      </c>
      <c r="N26" s="42">
        <f t="shared" si="7"/>
        <v>0</v>
      </c>
      <c r="O26" s="43">
        <f t="shared" si="8"/>
        <v>0</v>
      </c>
      <c r="P26" s="43">
        <f t="shared" si="9"/>
        <v>0</v>
      </c>
      <c r="Q26" s="43">
        <f t="shared" si="10"/>
        <v>0</v>
      </c>
      <c r="R26" s="43">
        <f t="shared" si="11"/>
        <v>0</v>
      </c>
      <c r="S26" s="20">
        <f t="shared" si="12"/>
        <v>0</v>
      </c>
      <c r="T26" s="80">
        <f t="shared" si="13"/>
        <v>0</v>
      </c>
      <c r="U26" s="43">
        <f t="shared" si="14"/>
        <v>0</v>
      </c>
      <c r="V26" s="43">
        <f t="shared" si="15"/>
        <v>0</v>
      </c>
      <c r="W26" s="43">
        <f t="shared" si="16"/>
        <v>0</v>
      </c>
      <c r="X26" s="43">
        <f t="shared" si="17"/>
        <v>0</v>
      </c>
      <c r="Y26" s="20">
        <f t="shared" si="18"/>
        <v>0</v>
      </c>
      <c r="Z26" s="65"/>
      <c r="AA26" s="63"/>
      <c r="AB26" s="63"/>
      <c r="AC26" s="63"/>
      <c r="AD26" s="63"/>
      <c r="AE26" s="64"/>
      <c r="AF26" s="62"/>
      <c r="AG26" s="63"/>
      <c r="AH26" s="63"/>
      <c r="AI26" s="63"/>
      <c r="AJ26" s="63"/>
      <c r="AK26" s="64"/>
      <c r="AL26" s="62"/>
      <c r="AM26" s="63"/>
      <c r="AN26" s="63"/>
      <c r="AO26" s="63"/>
      <c r="AP26" s="63"/>
      <c r="AQ26" s="64"/>
    </row>
  </sheetData>
  <sheetProtection algorithmName="SHA-512" hashValue="UGRVLJ2dxpV2xhVlP3IYI57xf9nqX7Q1Xx6n4FwdyzZWrFOaYOmMwTk240K+12Ugikh/oYQBSjP5ErXBvadd7Q==" saltValue="gMZdxJ4LVDtWq1zxpPnA2Q==" spinCount="100000" sheet="1" objects="1" scenarios="1"/>
  <mergeCells count="4">
    <mergeCell ref="H1:M1"/>
    <mergeCell ref="N1:S1"/>
    <mergeCell ref="T1:Y1"/>
    <mergeCell ref="B1:G1"/>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418D8F272C3A8409909903DDAA453C8" ma:contentTypeVersion="11" ma:contentTypeDescription="Crear nuevo documento." ma:contentTypeScope="" ma:versionID="3dd62fe0445d41ee1ef61209f478b24b">
  <xsd:schema xmlns:xsd="http://www.w3.org/2001/XMLSchema" xmlns:xs="http://www.w3.org/2001/XMLSchema" xmlns:p="http://schemas.microsoft.com/office/2006/metadata/properties" xmlns:ns3="4e100408-b1a9-4af3-8c98-6f29979c1daf" xmlns:ns4="39b3e538-0eac-4e21-8e57-89605e2daf3b" targetNamespace="http://schemas.microsoft.com/office/2006/metadata/properties" ma:root="true" ma:fieldsID="97c13cb6193cc39cc21399c54f2536db" ns3:_="" ns4:_="">
    <xsd:import namespace="4e100408-b1a9-4af3-8c98-6f29979c1daf"/>
    <xsd:import namespace="39b3e538-0eac-4e21-8e57-89605e2daf3b"/>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00408-b1a9-4af3-8c98-6f29979c1da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SharingHintHash" ma:index="10" nillable="true" ma:displayName="Hash de la sugerencia para comparti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b3e538-0eac-4e21-8e57-89605e2daf3b"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9BF1BC-31AE-4879-B737-D3C9B8AA1FBF}"/>
</file>

<file path=customXml/itemProps2.xml><?xml version="1.0" encoding="utf-8"?>
<ds:datastoreItem xmlns:ds="http://schemas.openxmlformats.org/officeDocument/2006/customXml" ds:itemID="{3BE4D503-50C8-4625-9782-1A3E95EB8B9B}"/>
</file>

<file path=customXml/itemProps3.xml><?xml version="1.0" encoding="utf-8"?>
<ds:datastoreItem xmlns:ds="http://schemas.openxmlformats.org/officeDocument/2006/customXml" ds:itemID="{E6F87F77-CE80-4139-BCFE-134C3DBE049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GEC;U</dc:creator>
  <cp:keywords/>
  <dc:description/>
  <cp:lastModifiedBy>elena ruperez pe�a</cp:lastModifiedBy>
  <cp:revision/>
  <dcterms:created xsi:type="dcterms:W3CDTF">2020-11-26T10:29:41Z</dcterms:created>
  <dcterms:modified xsi:type="dcterms:W3CDTF">2023-03-09T09:23:11Z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0x0101005418D8F272C3A8409909903DDAA453C8</vt:lpwstr>
  </property>
</Properties>
</file>